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defaultThemeVersion="166925"/>
  <mc:AlternateContent xmlns:mc="http://schemas.openxmlformats.org/markup-compatibility/2006">
    <mc:Choice Requires="x15">
      <x15ac:absPath xmlns:x15ac="http://schemas.microsoft.com/office/spreadsheetml/2010/11/ac" url="C:\Users\anany\Downloads\"/>
    </mc:Choice>
  </mc:AlternateContent>
  <xr:revisionPtr revIDLastSave="0" documentId="8_{588E5FAC-1C64-4FCB-810F-18BE148990F0}" xr6:coauthVersionLast="47" xr6:coauthVersionMax="47" xr10:uidLastSave="{00000000-0000-0000-0000-000000000000}"/>
  <bookViews>
    <workbookView xWindow="-98" yWindow="-98" windowWidth="21795" windowHeight="12975" firstSheet="2" activeTab="6" xr2:uid="{B060A5BD-9BDD-47AD-8B99-3E4EECF2C7CE}"/>
  </bookViews>
  <sheets>
    <sheet name="Sheet2" sheetId="3" r:id="rId1"/>
    <sheet name="Sheet3" sheetId="5" r:id="rId2"/>
    <sheet name="Sales_Data" sheetId="2" r:id="rId3"/>
    <sheet name="pivot_Data2" sheetId="8" r:id="rId4"/>
    <sheet name="Pivot_Data" sheetId="6" r:id="rId5"/>
    <sheet name="Dashboard" sheetId="1" r:id="rId6"/>
    <sheet name="Objectives" sheetId="9" r:id="rId7"/>
  </sheets>
  <definedNames>
    <definedName name="_xlcn.WorksheetConnection_ExcelProject1st.xlsxTable11" hidden="1">Table1[]</definedName>
    <definedName name="_xlcn.WorksheetConnection_Sales_DataO3O41" hidden="1">Sales_Data!$O$3:$O$4</definedName>
    <definedName name="Slicer_Date">#N/A</definedName>
    <definedName name="Slicer_Day">#N/A</definedName>
    <definedName name="Slicer_Inventory_Status">#N/A</definedName>
  </definedNames>
  <calcPr calcId="191029"/>
  <pivotCaches>
    <pivotCache cacheId="0" r:id="rId8"/>
    <pivotCache cacheId="1" r:id="rId9"/>
    <pivotCache cacheId="2" r:id="rId10"/>
    <pivotCache cacheId="4" r:id="rId11"/>
    <pivotCache cacheId="5" r:id="rId12"/>
    <pivotCache cacheId="6"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ales_Data!$O$3:$O$4"/>
          <x15:modelTable id="Table1" name="Table1" connection="WorksheetConnection_Excel Project1s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 i="2" l="1"/>
  <c r="O5" i="2"/>
  <c r="O4" i="2"/>
  <c r="H2" i="2"/>
  <c r="H1270" i="2"/>
  <c r="H1269" i="2"/>
  <c r="H1268" i="2"/>
  <c r="H1267" i="2"/>
  <c r="H1266" i="2"/>
  <c r="H1265" i="2"/>
  <c r="H1264" i="2"/>
  <c r="H1263" i="2"/>
  <c r="H1262" i="2"/>
  <c r="H1261" i="2"/>
  <c r="H1260" i="2"/>
  <c r="H1259" i="2"/>
  <c r="H1258" i="2"/>
  <c r="H1257" i="2"/>
  <c r="H1256" i="2"/>
  <c r="H1255" i="2"/>
  <c r="H1254" i="2"/>
  <c r="H1253" i="2"/>
  <c r="H1252" i="2"/>
  <c r="H1251" i="2"/>
  <c r="H1250" i="2"/>
  <c r="H1249" i="2"/>
  <c r="H1248" i="2"/>
  <c r="H1247" i="2"/>
  <c r="H1246" i="2"/>
  <c r="H1245" i="2"/>
  <c r="H1244" i="2"/>
  <c r="H1243" i="2"/>
  <c r="H1242" i="2"/>
  <c r="H1241" i="2"/>
  <c r="H1240" i="2"/>
  <c r="H1239" i="2"/>
  <c r="H1238" i="2"/>
  <c r="H1237" i="2"/>
  <c r="H1236" i="2"/>
  <c r="H1235" i="2"/>
  <c r="H1234" i="2"/>
  <c r="H1233" i="2"/>
  <c r="H1232" i="2"/>
  <c r="H1231" i="2"/>
  <c r="H1230" i="2"/>
  <c r="H1229" i="2"/>
  <c r="H1228" i="2"/>
  <c r="H1227" i="2"/>
  <c r="H1226" i="2"/>
  <c r="H1225" i="2"/>
  <c r="H1224" i="2"/>
  <c r="H1223" i="2"/>
  <c r="H1222" i="2"/>
  <c r="H1221" i="2"/>
  <c r="H1220" i="2"/>
  <c r="H1219" i="2"/>
  <c r="H1218" i="2"/>
  <c r="H1217" i="2"/>
  <c r="H1216" i="2"/>
  <c r="H1215" i="2"/>
  <c r="H1214" i="2"/>
  <c r="H1213" i="2"/>
  <c r="H1212" i="2"/>
  <c r="H1211" i="2"/>
  <c r="H1210" i="2"/>
  <c r="H1209" i="2"/>
  <c r="H1208" i="2"/>
  <c r="H1207" i="2"/>
  <c r="H1206" i="2"/>
  <c r="H1205" i="2"/>
  <c r="H1204" i="2"/>
  <c r="H1203" i="2"/>
  <c r="H1202" i="2"/>
  <c r="H1201" i="2"/>
  <c r="H1200" i="2"/>
  <c r="H1199" i="2"/>
  <c r="H1198" i="2"/>
  <c r="H1197" i="2"/>
  <c r="H1196" i="2"/>
  <c r="H1195" i="2"/>
  <c r="H1194" i="2"/>
  <c r="H1193" i="2"/>
  <c r="H1192" i="2"/>
  <c r="H1191" i="2"/>
  <c r="H1190" i="2"/>
  <c r="H1189" i="2"/>
  <c r="H1188" i="2"/>
  <c r="H1187" i="2"/>
  <c r="H1186" i="2"/>
  <c r="H1185" i="2"/>
  <c r="H1184" i="2"/>
  <c r="H1183" i="2"/>
  <c r="H1182" i="2"/>
  <c r="H1181" i="2"/>
  <c r="H1180" i="2"/>
  <c r="H1179" i="2"/>
  <c r="H1178" i="2"/>
  <c r="H1177" i="2"/>
  <c r="H1176" i="2"/>
  <c r="H1175" i="2"/>
  <c r="H1174" i="2"/>
  <c r="H1173" i="2"/>
  <c r="H1172" i="2"/>
  <c r="H1171" i="2"/>
  <c r="H1170" i="2"/>
  <c r="H1169" i="2"/>
  <c r="H1168" i="2"/>
  <c r="H1167" i="2"/>
  <c r="H1166" i="2"/>
  <c r="H1165" i="2"/>
  <c r="H1164" i="2"/>
  <c r="H1163" i="2"/>
  <c r="H1162" i="2"/>
  <c r="H1161" i="2"/>
  <c r="H1160" i="2"/>
  <c r="H1159" i="2"/>
  <c r="H1158" i="2"/>
  <c r="H1157" i="2"/>
  <c r="H1156" i="2"/>
  <c r="H1155" i="2"/>
  <c r="H1154" i="2"/>
  <c r="H1153" i="2"/>
  <c r="H1152" i="2"/>
  <c r="H1151" i="2"/>
  <c r="H1150" i="2"/>
  <c r="H1149" i="2"/>
  <c r="H1148" i="2"/>
  <c r="H1147" i="2"/>
  <c r="H1146" i="2"/>
  <c r="H1145" i="2"/>
  <c r="H1144" i="2"/>
  <c r="H1143" i="2"/>
  <c r="H1142" i="2"/>
  <c r="H1141" i="2"/>
  <c r="H1140" i="2"/>
  <c r="H1139" i="2"/>
  <c r="H1138" i="2"/>
  <c r="H1137" i="2"/>
  <c r="H1136" i="2"/>
  <c r="H1135" i="2"/>
  <c r="H1134" i="2"/>
  <c r="H1133" i="2"/>
  <c r="H1132" i="2"/>
  <c r="H1131" i="2"/>
  <c r="H1130" i="2"/>
  <c r="H1129" i="2"/>
  <c r="H1128" i="2"/>
  <c r="H1127" i="2"/>
  <c r="H1126" i="2"/>
  <c r="H1125" i="2"/>
  <c r="H1124" i="2"/>
  <c r="H1123" i="2"/>
  <c r="H1122" i="2"/>
  <c r="H1121" i="2"/>
  <c r="H1120" i="2"/>
  <c r="H1119" i="2"/>
  <c r="H1118" i="2"/>
  <c r="H1117" i="2"/>
  <c r="H1116" i="2"/>
  <c r="H1115" i="2"/>
  <c r="H1114" i="2"/>
  <c r="H1113" i="2"/>
  <c r="H1112" i="2"/>
  <c r="H1111" i="2"/>
  <c r="H1110" i="2"/>
  <c r="H1109" i="2"/>
  <c r="H1108" i="2"/>
  <c r="H1107" i="2"/>
  <c r="H1106" i="2"/>
  <c r="H1105" i="2"/>
  <c r="H1104" i="2"/>
  <c r="H1103" i="2"/>
  <c r="H1102" i="2"/>
  <c r="H1101" i="2"/>
  <c r="H1100" i="2"/>
  <c r="H1099" i="2"/>
  <c r="H1098" i="2"/>
  <c r="H1097" i="2"/>
  <c r="H1096" i="2"/>
  <c r="H1095" i="2"/>
  <c r="H1094" i="2"/>
  <c r="H1093" i="2"/>
  <c r="H1092" i="2"/>
  <c r="H1091" i="2"/>
  <c r="H1090" i="2"/>
  <c r="H1089" i="2"/>
  <c r="H1088" i="2"/>
  <c r="H1087" i="2"/>
  <c r="H1086" i="2"/>
  <c r="H1085" i="2"/>
  <c r="H1084" i="2"/>
  <c r="H1083" i="2"/>
  <c r="H1082" i="2"/>
  <c r="H1081" i="2"/>
  <c r="H1080" i="2"/>
  <c r="H1079" i="2"/>
  <c r="H1078" i="2"/>
  <c r="H1077" i="2"/>
  <c r="H1076" i="2"/>
  <c r="H1075" i="2"/>
  <c r="H1074" i="2"/>
  <c r="H1073" i="2"/>
  <c r="H1072" i="2"/>
  <c r="H1071" i="2"/>
  <c r="H1070" i="2"/>
  <c r="H1069" i="2"/>
  <c r="H1068" i="2"/>
  <c r="H1067" i="2"/>
  <c r="H1066" i="2"/>
  <c r="H1065" i="2"/>
  <c r="H1064" i="2"/>
  <c r="H1063" i="2"/>
  <c r="H1062" i="2"/>
  <c r="H1061" i="2"/>
  <c r="H1060" i="2"/>
  <c r="H1059" i="2"/>
  <c r="H1058" i="2"/>
  <c r="H1057" i="2"/>
  <c r="H1056" i="2"/>
  <c r="H1055" i="2"/>
  <c r="H1054" i="2"/>
  <c r="H1053" i="2"/>
  <c r="H1052" i="2"/>
  <c r="H1051" i="2"/>
  <c r="H1050" i="2"/>
  <c r="H1049" i="2"/>
  <c r="H1048" i="2"/>
  <c r="H1047" i="2"/>
  <c r="H1046" i="2"/>
  <c r="H1045" i="2"/>
  <c r="H1044" i="2"/>
  <c r="H1043" i="2"/>
  <c r="H1042" i="2"/>
  <c r="H1041" i="2"/>
  <c r="H1040" i="2"/>
  <c r="H1039" i="2"/>
  <c r="H1038" i="2"/>
  <c r="H1037" i="2"/>
  <c r="H1036" i="2"/>
  <c r="H1035" i="2"/>
  <c r="H1034" i="2"/>
  <c r="H1033" i="2"/>
  <c r="H1032" i="2"/>
  <c r="H1031" i="2"/>
  <c r="H1030" i="2"/>
  <c r="H1029" i="2"/>
  <c r="H1028" i="2"/>
  <c r="H1027" i="2"/>
  <c r="H1026" i="2"/>
  <c r="H1025" i="2"/>
  <c r="H1024" i="2"/>
  <c r="H1023" i="2"/>
  <c r="H1022" i="2"/>
  <c r="H1021" i="2"/>
  <c r="H1020" i="2"/>
  <c r="H1019" i="2"/>
  <c r="H1018" i="2"/>
  <c r="H1017" i="2"/>
  <c r="H1016" i="2"/>
  <c r="H1015" i="2"/>
  <c r="H1014" i="2"/>
  <c r="H1013" i="2"/>
  <c r="H1012" i="2"/>
  <c r="H1011" i="2"/>
  <c r="H1010" i="2"/>
  <c r="H1009" i="2"/>
  <c r="H1008" i="2"/>
  <c r="H1007" i="2"/>
  <c r="H1006" i="2"/>
  <c r="H1005" i="2"/>
  <c r="H1004" i="2"/>
  <c r="H1003" i="2"/>
  <c r="H1002" i="2"/>
  <c r="H1001" i="2"/>
  <c r="H1000" i="2"/>
  <c r="H999" i="2"/>
  <c r="H998" i="2"/>
  <c r="H997" i="2"/>
  <c r="H996" i="2"/>
  <c r="H995" i="2"/>
  <c r="H994" i="2"/>
  <c r="H993" i="2"/>
  <c r="H992" i="2"/>
  <c r="H991" i="2"/>
  <c r="H990" i="2"/>
  <c r="H989" i="2"/>
  <c r="H988" i="2"/>
  <c r="H987" i="2"/>
  <c r="H986" i="2"/>
  <c r="H985" i="2"/>
  <c r="H984" i="2"/>
  <c r="H983" i="2"/>
  <c r="H982" i="2"/>
  <c r="H981" i="2"/>
  <c r="H980" i="2"/>
  <c r="H979" i="2"/>
  <c r="H978" i="2"/>
  <c r="H977" i="2"/>
  <c r="H976" i="2"/>
  <c r="H975" i="2"/>
  <c r="H974" i="2"/>
  <c r="H973" i="2"/>
  <c r="H972" i="2"/>
  <c r="H971" i="2"/>
  <c r="H970" i="2"/>
  <c r="H969" i="2"/>
  <c r="H968" i="2"/>
  <c r="H967" i="2"/>
  <c r="H966" i="2"/>
  <c r="H965" i="2"/>
  <c r="H964" i="2"/>
  <c r="H963" i="2"/>
  <c r="H962" i="2"/>
  <c r="H961" i="2"/>
  <c r="H960" i="2"/>
  <c r="H959" i="2"/>
  <c r="H958" i="2"/>
  <c r="H957" i="2"/>
  <c r="H956" i="2"/>
  <c r="H955" i="2"/>
  <c r="H954" i="2"/>
  <c r="H953" i="2"/>
  <c r="H952" i="2"/>
  <c r="H951" i="2"/>
  <c r="H950" i="2"/>
  <c r="H949" i="2"/>
  <c r="H948" i="2"/>
  <c r="H947" i="2"/>
  <c r="H946" i="2"/>
  <c r="H945" i="2"/>
  <c r="H944" i="2"/>
  <c r="H943" i="2"/>
  <c r="H942" i="2"/>
  <c r="H941" i="2"/>
  <c r="H940" i="2"/>
  <c r="H939" i="2"/>
  <c r="H938" i="2"/>
  <c r="H937" i="2"/>
  <c r="H936" i="2"/>
  <c r="H935" i="2"/>
  <c r="H934" i="2"/>
  <c r="H933" i="2"/>
  <c r="H932" i="2"/>
  <c r="H931" i="2"/>
  <c r="H930" i="2"/>
  <c r="H929" i="2"/>
  <c r="H928" i="2"/>
  <c r="H927" i="2"/>
  <c r="H926" i="2"/>
  <c r="H925" i="2"/>
  <c r="H924" i="2"/>
  <c r="H923" i="2"/>
  <c r="H922" i="2"/>
  <c r="H921" i="2"/>
  <c r="H920" i="2"/>
  <c r="H919" i="2"/>
  <c r="H918" i="2"/>
  <c r="H917" i="2"/>
  <c r="H916" i="2"/>
  <c r="H915" i="2"/>
  <c r="H914" i="2"/>
  <c r="H913" i="2"/>
  <c r="H912" i="2"/>
  <c r="H911" i="2"/>
  <c r="H910" i="2"/>
  <c r="H909" i="2"/>
  <c r="H908" i="2"/>
  <c r="H907" i="2"/>
  <c r="H906" i="2"/>
  <c r="H905" i="2"/>
  <c r="H904" i="2"/>
  <c r="H903" i="2"/>
  <c r="H902" i="2"/>
  <c r="H901" i="2"/>
  <c r="H900" i="2"/>
  <c r="H899" i="2"/>
  <c r="H898" i="2"/>
  <c r="H897" i="2"/>
  <c r="H896" i="2"/>
  <c r="H895" i="2"/>
  <c r="H894" i="2"/>
  <c r="H893" i="2"/>
  <c r="H892" i="2"/>
  <c r="H891" i="2"/>
  <c r="H890" i="2"/>
  <c r="H889" i="2"/>
  <c r="H888" i="2"/>
  <c r="H887" i="2"/>
  <c r="H886" i="2"/>
  <c r="H885" i="2"/>
  <c r="H884" i="2"/>
  <c r="H883" i="2"/>
  <c r="H882" i="2"/>
  <c r="H881" i="2"/>
  <c r="H880" i="2"/>
  <c r="H879" i="2"/>
  <c r="H878" i="2"/>
  <c r="H877" i="2"/>
  <c r="H876" i="2"/>
  <c r="H875" i="2"/>
  <c r="H874" i="2"/>
  <c r="H873" i="2"/>
  <c r="H872" i="2"/>
  <c r="H871" i="2"/>
  <c r="H870" i="2"/>
  <c r="H869" i="2"/>
  <c r="H868" i="2"/>
  <c r="H867" i="2"/>
  <c r="H866" i="2"/>
  <c r="H865" i="2"/>
  <c r="H864" i="2"/>
  <c r="H863" i="2"/>
  <c r="H862" i="2"/>
  <c r="H861" i="2"/>
  <c r="H860" i="2"/>
  <c r="H859" i="2"/>
  <c r="H858" i="2"/>
  <c r="H857" i="2"/>
  <c r="H856" i="2"/>
  <c r="H855" i="2"/>
  <c r="H854" i="2"/>
  <c r="H853" i="2"/>
  <c r="H852" i="2"/>
  <c r="H851" i="2"/>
  <c r="H850" i="2"/>
  <c r="H849" i="2"/>
  <c r="H848" i="2"/>
  <c r="H847" i="2"/>
  <c r="H846" i="2"/>
  <c r="H845" i="2"/>
  <c r="H844" i="2"/>
  <c r="H843" i="2"/>
  <c r="H842" i="2"/>
  <c r="H841" i="2"/>
  <c r="H840" i="2"/>
  <c r="H839" i="2"/>
  <c r="H838" i="2"/>
  <c r="H837" i="2"/>
  <c r="H836" i="2"/>
  <c r="H835" i="2"/>
  <c r="H834" i="2"/>
  <c r="H833" i="2"/>
  <c r="H832" i="2"/>
  <c r="H831" i="2"/>
  <c r="H830" i="2"/>
  <c r="H829" i="2"/>
  <c r="H828" i="2"/>
  <c r="H827" i="2"/>
  <c r="H826" i="2"/>
  <c r="H825" i="2"/>
  <c r="H824" i="2"/>
  <c r="H823" i="2"/>
  <c r="H822" i="2"/>
  <c r="H821" i="2"/>
  <c r="H820" i="2"/>
  <c r="H819" i="2"/>
  <c r="H818" i="2"/>
  <c r="H817" i="2"/>
  <c r="H816" i="2"/>
  <c r="H815" i="2"/>
  <c r="H814" i="2"/>
  <c r="H813" i="2"/>
  <c r="H812" i="2"/>
  <c r="H811" i="2"/>
  <c r="H810" i="2"/>
  <c r="H809" i="2"/>
  <c r="H808" i="2"/>
  <c r="H807" i="2"/>
  <c r="H806" i="2"/>
  <c r="H805" i="2"/>
  <c r="H804" i="2"/>
  <c r="H803" i="2"/>
  <c r="H802" i="2"/>
  <c r="H801" i="2"/>
  <c r="H800" i="2"/>
  <c r="H799" i="2"/>
  <c r="H798" i="2"/>
  <c r="H797" i="2"/>
  <c r="H796" i="2"/>
  <c r="H795" i="2"/>
  <c r="H794" i="2"/>
  <c r="H793" i="2"/>
  <c r="H792" i="2"/>
  <c r="H791" i="2"/>
  <c r="H790" i="2"/>
  <c r="H789" i="2"/>
  <c r="H788" i="2"/>
  <c r="H787" i="2"/>
  <c r="H786" i="2"/>
  <c r="H785" i="2"/>
  <c r="H784" i="2"/>
  <c r="H783" i="2"/>
  <c r="H782" i="2"/>
  <c r="H781" i="2"/>
  <c r="H780" i="2"/>
  <c r="H779" i="2"/>
  <c r="H778" i="2"/>
  <c r="H777" i="2"/>
  <c r="H776" i="2"/>
  <c r="H775" i="2"/>
  <c r="H774" i="2"/>
  <c r="H773" i="2"/>
  <c r="H772" i="2"/>
  <c r="H771" i="2"/>
  <c r="H770" i="2"/>
  <c r="H769" i="2"/>
  <c r="H768" i="2"/>
  <c r="H767" i="2"/>
  <c r="H766" i="2"/>
  <c r="H765" i="2"/>
  <c r="H764" i="2"/>
  <c r="H763" i="2"/>
  <c r="H762" i="2"/>
  <c r="H761" i="2"/>
  <c r="H760" i="2"/>
  <c r="H759" i="2"/>
  <c r="H758" i="2"/>
  <c r="H757" i="2"/>
  <c r="H756" i="2"/>
  <c r="H755" i="2"/>
  <c r="H754" i="2"/>
  <c r="H753" i="2"/>
  <c r="H752" i="2"/>
  <c r="H751" i="2"/>
  <c r="H750" i="2"/>
  <c r="H749" i="2"/>
  <c r="H748" i="2"/>
  <c r="H747" i="2"/>
  <c r="H746" i="2"/>
  <c r="H745" i="2"/>
  <c r="H744" i="2"/>
  <c r="H743" i="2"/>
  <c r="H742" i="2"/>
  <c r="H741" i="2"/>
  <c r="H740" i="2"/>
  <c r="H739" i="2"/>
  <c r="H738" i="2"/>
  <c r="H737" i="2"/>
  <c r="H736" i="2"/>
  <c r="H735" i="2"/>
  <c r="H734" i="2"/>
  <c r="H733" i="2"/>
  <c r="H732" i="2"/>
  <c r="H731" i="2"/>
  <c r="H730" i="2"/>
  <c r="H729" i="2"/>
  <c r="H728" i="2"/>
  <c r="H727" i="2"/>
  <c r="H726" i="2"/>
  <c r="H725" i="2"/>
  <c r="H724" i="2"/>
  <c r="H723" i="2"/>
  <c r="H722" i="2"/>
  <c r="H721" i="2"/>
  <c r="H720" i="2"/>
  <c r="H719" i="2"/>
  <c r="H718" i="2"/>
  <c r="H717" i="2"/>
  <c r="H716" i="2"/>
  <c r="H715" i="2"/>
  <c r="H714" i="2"/>
  <c r="H713" i="2"/>
  <c r="H712" i="2"/>
  <c r="H711" i="2"/>
  <c r="H710" i="2"/>
  <c r="H709" i="2"/>
  <c r="H708" i="2"/>
  <c r="H707" i="2"/>
  <c r="H706" i="2"/>
  <c r="H705" i="2"/>
  <c r="H704" i="2"/>
  <c r="H703" i="2"/>
  <c r="H702" i="2"/>
  <c r="H701" i="2"/>
  <c r="H700" i="2"/>
  <c r="H699" i="2"/>
  <c r="H698" i="2"/>
  <c r="H697" i="2"/>
  <c r="H696" i="2"/>
  <c r="H695" i="2"/>
  <c r="H694" i="2"/>
  <c r="H693" i="2"/>
  <c r="H692" i="2"/>
  <c r="H691" i="2"/>
  <c r="H690" i="2"/>
  <c r="H689" i="2"/>
  <c r="H688" i="2"/>
  <c r="H687" i="2"/>
  <c r="H686" i="2"/>
  <c r="H685" i="2"/>
  <c r="H684" i="2"/>
  <c r="H683" i="2"/>
  <c r="H682" i="2"/>
  <c r="H681" i="2"/>
  <c r="H680" i="2"/>
  <c r="H679" i="2"/>
  <c r="H678" i="2"/>
  <c r="H677" i="2"/>
  <c r="H676" i="2"/>
  <c r="H675" i="2"/>
  <c r="H674" i="2"/>
  <c r="H673" i="2"/>
  <c r="H672" i="2"/>
  <c r="H671" i="2"/>
  <c r="H670" i="2"/>
  <c r="H669" i="2"/>
  <c r="H668" i="2"/>
  <c r="H667" i="2"/>
  <c r="H666" i="2"/>
  <c r="H665" i="2"/>
  <c r="H664" i="2"/>
  <c r="H663" i="2"/>
  <c r="H662" i="2"/>
  <c r="H661" i="2"/>
  <c r="H660" i="2"/>
  <c r="H659" i="2"/>
  <c r="H658" i="2"/>
  <c r="H657" i="2"/>
  <c r="H656" i="2"/>
  <c r="H655" i="2"/>
  <c r="H654" i="2"/>
  <c r="H653" i="2"/>
  <c r="H652" i="2"/>
  <c r="H651" i="2"/>
  <c r="H650" i="2"/>
  <c r="H649" i="2"/>
  <c r="H648" i="2"/>
  <c r="H647" i="2"/>
  <c r="H646" i="2"/>
  <c r="H645" i="2"/>
  <c r="H644" i="2"/>
  <c r="H643" i="2"/>
  <c r="H642" i="2"/>
  <c r="H641" i="2"/>
  <c r="H640" i="2"/>
  <c r="H639" i="2"/>
  <c r="H638" i="2"/>
  <c r="H637" i="2"/>
  <c r="H636" i="2"/>
  <c r="H635" i="2"/>
  <c r="H634" i="2"/>
  <c r="H633" i="2"/>
  <c r="H632" i="2"/>
  <c r="H631" i="2"/>
  <c r="H630" i="2"/>
  <c r="H629" i="2"/>
  <c r="H628" i="2"/>
  <c r="H627" i="2"/>
  <c r="H626" i="2"/>
  <c r="H625" i="2"/>
  <c r="H624" i="2"/>
  <c r="H623" i="2"/>
  <c r="H622" i="2"/>
  <c r="H621" i="2"/>
  <c r="H620" i="2"/>
  <c r="H619" i="2"/>
  <c r="H618" i="2"/>
  <c r="H617" i="2"/>
  <c r="H616" i="2"/>
  <c r="H615" i="2"/>
  <c r="H614" i="2"/>
  <c r="H613" i="2"/>
  <c r="H612" i="2"/>
  <c r="H611" i="2"/>
  <c r="H610" i="2"/>
  <c r="H609" i="2"/>
  <c r="H608" i="2"/>
  <c r="H607" i="2"/>
  <c r="H606" i="2"/>
  <c r="H605" i="2"/>
  <c r="H604" i="2"/>
  <c r="H603" i="2"/>
  <c r="H602" i="2"/>
  <c r="H601" i="2"/>
  <c r="H600" i="2"/>
  <c r="H599" i="2"/>
  <c r="H598" i="2"/>
  <c r="H597" i="2"/>
  <c r="H596" i="2"/>
  <c r="H595" i="2"/>
  <c r="H594" i="2"/>
  <c r="H593" i="2"/>
  <c r="H592" i="2"/>
  <c r="H591" i="2"/>
  <c r="H590" i="2"/>
  <c r="H589" i="2"/>
  <c r="H588" i="2"/>
  <c r="H587" i="2"/>
  <c r="H586" i="2"/>
  <c r="H585" i="2"/>
  <c r="H584" i="2"/>
  <c r="H583" i="2"/>
  <c r="H582" i="2"/>
  <c r="H581" i="2"/>
  <c r="H580" i="2"/>
  <c r="H579" i="2"/>
  <c r="H578" i="2"/>
  <c r="H577" i="2"/>
  <c r="H576" i="2"/>
  <c r="H575" i="2"/>
  <c r="H574" i="2"/>
  <c r="H573" i="2"/>
  <c r="H572" i="2"/>
  <c r="H571" i="2"/>
  <c r="H570" i="2"/>
  <c r="H569" i="2"/>
  <c r="H568" i="2"/>
  <c r="H567" i="2"/>
  <c r="H566" i="2"/>
  <c r="H565" i="2"/>
  <c r="H564" i="2"/>
  <c r="H563" i="2"/>
  <c r="H562" i="2"/>
  <c r="H561" i="2"/>
  <c r="H560" i="2"/>
  <c r="H559" i="2"/>
  <c r="H558" i="2"/>
  <c r="H557" i="2"/>
  <c r="H556" i="2"/>
  <c r="H555" i="2"/>
  <c r="H554" i="2"/>
  <c r="H553" i="2"/>
  <c r="H552" i="2"/>
  <c r="H551" i="2"/>
  <c r="H550" i="2"/>
  <c r="H549" i="2"/>
  <c r="H548" i="2"/>
  <c r="H547" i="2"/>
  <c r="H546" i="2"/>
  <c r="H545" i="2"/>
  <c r="H544" i="2"/>
  <c r="H543" i="2"/>
  <c r="H542" i="2"/>
  <c r="H541" i="2"/>
  <c r="H540" i="2"/>
  <c r="H539" i="2"/>
  <c r="H538" i="2"/>
  <c r="H537" i="2"/>
  <c r="H536" i="2"/>
  <c r="H535" i="2"/>
  <c r="H534" i="2"/>
  <c r="H533" i="2"/>
  <c r="H532" i="2"/>
  <c r="H531" i="2"/>
  <c r="H530" i="2"/>
  <c r="H529" i="2"/>
  <c r="H528" i="2"/>
  <c r="H527" i="2"/>
  <c r="H526" i="2"/>
  <c r="H525" i="2"/>
  <c r="H524" i="2"/>
  <c r="H523" i="2"/>
  <c r="H522" i="2"/>
  <c r="H521" i="2"/>
  <c r="H520" i="2"/>
  <c r="H519" i="2"/>
  <c r="H518" i="2"/>
  <c r="H517" i="2"/>
  <c r="H516" i="2"/>
  <c r="H515" i="2"/>
  <c r="H514" i="2"/>
  <c r="H513" i="2"/>
  <c r="H512" i="2"/>
  <c r="H511" i="2"/>
  <c r="H510" i="2"/>
  <c r="H509" i="2"/>
  <c r="H508" i="2"/>
  <c r="H507" i="2"/>
  <c r="H506" i="2"/>
  <c r="H505" i="2"/>
  <c r="H504" i="2"/>
  <c r="H503" i="2"/>
  <c r="H502" i="2"/>
  <c r="H501" i="2"/>
  <c r="H500" i="2"/>
  <c r="H499" i="2"/>
  <c r="H498" i="2"/>
  <c r="H497" i="2"/>
  <c r="H496" i="2"/>
  <c r="H495" i="2"/>
  <c r="H494" i="2"/>
  <c r="H493" i="2"/>
  <c r="H492" i="2"/>
  <c r="H491" i="2"/>
  <c r="H490" i="2"/>
  <c r="H489" i="2"/>
  <c r="H488" i="2"/>
  <c r="H487" i="2"/>
  <c r="H486" i="2"/>
  <c r="H485" i="2"/>
  <c r="H484" i="2"/>
  <c r="H483" i="2"/>
  <c r="H482" i="2"/>
  <c r="H481" i="2"/>
  <c r="H480" i="2"/>
  <c r="H479" i="2"/>
  <c r="H478" i="2"/>
  <c r="H477" i="2"/>
  <c r="H476" i="2"/>
  <c r="H475" i="2"/>
  <c r="H474" i="2"/>
  <c r="H473" i="2"/>
  <c r="H472" i="2"/>
  <c r="H471" i="2"/>
  <c r="H470" i="2"/>
  <c r="H469" i="2"/>
  <c r="H468" i="2"/>
  <c r="H467" i="2"/>
  <c r="H466" i="2"/>
  <c r="H465" i="2"/>
  <c r="H464" i="2"/>
  <c r="H463" i="2"/>
  <c r="H462" i="2"/>
  <c r="H461" i="2"/>
  <c r="H460" i="2"/>
  <c r="H459" i="2"/>
  <c r="H458" i="2"/>
  <c r="H457" i="2"/>
  <c r="H456" i="2"/>
  <c r="H455" i="2"/>
  <c r="H454" i="2"/>
  <c r="H453" i="2"/>
  <c r="H452" i="2"/>
  <c r="H451" i="2"/>
  <c r="H450" i="2"/>
  <c r="H449" i="2"/>
  <c r="H448" i="2"/>
  <c r="H447" i="2"/>
  <c r="H446" i="2"/>
  <c r="H445" i="2"/>
  <c r="H444" i="2"/>
  <c r="H443" i="2"/>
  <c r="H442" i="2"/>
  <c r="H441" i="2"/>
  <c r="H440" i="2"/>
  <c r="H439" i="2"/>
  <c r="H438" i="2"/>
  <c r="H437" i="2"/>
  <c r="H436" i="2"/>
  <c r="H435" i="2"/>
  <c r="H434" i="2"/>
  <c r="H433" i="2"/>
  <c r="H432" i="2"/>
  <c r="H431" i="2"/>
  <c r="H430" i="2"/>
  <c r="H429" i="2"/>
  <c r="H428" i="2"/>
  <c r="H427" i="2"/>
  <c r="H426" i="2"/>
  <c r="H425" i="2"/>
  <c r="H424" i="2"/>
  <c r="H423" i="2"/>
  <c r="H422" i="2"/>
  <c r="H421" i="2"/>
  <c r="H420" i="2"/>
  <c r="H419" i="2"/>
  <c r="H418" i="2"/>
  <c r="H417" i="2"/>
  <c r="H416" i="2"/>
  <c r="H415" i="2"/>
  <c r="H414" i="2"/>
  <c r="H413" i="2"/>
  <c r="H412" i="2"/>
  <c r="H411" i="2"/>
  <c r="H410" i="2"/>
  <c r="H409" i="2"/>
  <c r="H408" i="2"/>
  <c r="H407" i="2"/>
  <c r="H406" i="2"/>
  <c r="H405" i="2"/>
  <c r="H404" i="2"/>
  <c r="H403" i="2"/>
  <c r="H402" i="2"/>
  <c r="H401" i="2"/>
  <c r="H400" i="2"/>
  <c r="H399" i="2"/>
  <c r="H398" i="2"/>
  <c r="H397" i="2"/>
  <c r="H396" i="2"/>
  <c r="H395" i="2"/>
  <c r="H394" i="2"/>
  <c r="H393" i="2"/>
  <c r="H392" i="2"/>
  <c r="H391" i="2"/>
  <c r="H390" i="2"/>
  <c r="H389" i="2"/>
  <c r="H388" i="2"/>
  <c r="H387" i="2"/>
  <c r="H386" i="2"/>
  <c r="H385" i="2"/>
  <c r="H384" i="2"/>
  <c r="H383" i="2"/>
  <c r="H382" i="2"/>
  <c r="H381" i="2"/>
  <c r="H380" i="2"/>
  <c r="H379" i="2"/>
  <c r="H378" i="2"/>
  <c r="H377" i="2"/>
  <c r="H376" i="2"/>
  <c r="H375" i="2"/>
  <c r="H374" i="2"/>
  <c r="H373" i="2"/>
  <c r="H372" i="2"/>
  <c r="H371" i="2"/>
  <c r="H370" i="2"/>
  <c r="H369" i="2"/>
  <c r="H368" i="2"/>
  <c r="H367" i="2"/>
  <c r="H366" i="2"/>
  <c r="H365" i="2"/>
  <c r="H364" i="2"/>
  <c r="H363" i="2"/>
  <c r="H362" i="2"/>
  <c r="H361" i="2"/>
  <c r="H360" i="2"/>
  <c r="H359" i="2"/>
  <c r="H358" i="2"/>
  <c r="H357" i="2"/>
  <c r="H356" i="2"/>
  <c r="H355" i="2"/>
  <c r="H354" i="2"/>
  <c r="H353" i="2"/>
  <c r="H352" i="2"/>
  <c r="H351" i="2"/>
  <c r="H350" i="2"/>
  <c r="H349" i="2"/>
  <c r="H348" i="2"/>
  <c r="H347" i="2"/>
  <c r="H346" i="2"/>
  <c r="H345" i="2"/>
  <c r="H344" i="2"/>
  <c r="H343" i="2"/>
  <c r="H342" i="2"/>
  <c r="H341" i="2"/>
  <c r="H340" i="2"/>
  <c r="H339" i="2"/>
  <c r="H338" i="2"/>
  <c r="H337" i="2"/>
  <c r="H336" i="2"/>
  <c r="H335" i="2"/>
  <c r="H334" i="2"/>
  <c r="H333" i="2"/>
  <c r="H332" i="2"/>
  <c r="H331" i="2"/>
  <c r="H330" i="2"/>
  <c r="H329" i="2"/>
  <c r="H328" i="2"/>
  <c r="H327" i="2"/>
  <c r="H326" i="2"/>
  <c r="H325" i="2"/>
  <c r="H324" i="2"/>
  <c r="H323" i="2"/>
  <c r="H322" i="2"/>
  <c r="H321" i="2"/>
  <c r="H320" i="2"/>
  <c r="H319" i="2"/>
  <c r="H318" i="2"/>
  <c r="H317" i="2"/>
  <c r="H316" i="2"/>
  <c r="H315" i="2"/>
  <c r="H314" i="2"/>
  <c r="H313" i="2"/>
  <c r="H312" i="2"/>
  <c r="H311" i="2"/>
  <c r="H310" i="2"/>
  <c r="H309" i="2"/>
  <c r="H308" i="2"/>
  <c r="H307" i="2"/>
  <c r="H306" i="2"/>
  <c r="H305" i="2"/>
  <c r="H304" i="2"/>
  <c r="H303" i="2"/>
  <c r="H302" i="2"/>
  <c r="H301" i="2"/>
  <c r="H300" i="2"/>
  <c r="H299" i="2"/>
  <c r="H298" i="2"/>
  <c r="H297" i="2"/>
  <c r="H296" i="2"/>
  <c r="H295" i="2"/>
  <c r="H294" i="2"/>
  <c r="H293" i="2"/>
  <c r="H292" i="2"/>
  <c r="H291" i="2"/>
  <c r="H290" i="2"/>
  <c r="H289" i="2"/>
  <c r="H288" i="2"/>
  <c r="H287" i="2"/>
  <c r="H286" i="2"/>
  <c r="H285" i="2"/>
  <c r="H284" i="2"/>
  <c r="H283" i="2"/>
  <c r="H282" i="2"/>
  <c r="H281" i="2"/>
  <c r="H280" i="2"/>
  <c r="H279" i="2"/>
  <c r="H278" i="2"/>
  <c r="H277" i="2"/>
  <c r="H276" i="2"/>
  <c r="H275" i="2"/>
  <c r="H274" i="2"/>
  <c r="H273" i="2"/>
  <c r="H272" i="2"/>
  <c r="H271" i="2"/>
  <c r="H270" i="2"/>
  <c r="H269" i="2"/>
  <c r="H268" i="2"/>
  <c r="H267" i="2"/>
  <c r="H266" i="2"/>
  <c r="H265" i="2"/>
  <c r="H264" i="2"/>
  <c r="H263" i="2"/>
  <c r="H262" i="2"/>
  <c r="H261" i="2"/>
  <c r="H260" i="2"/>
  <c r="H259" i="2"/>
  <c r="H258" i="2"/>
  <c r="H257" i="2"/>
  <c r="H256" i="2"/>
  <c r="H255" i="2"/>
  <c r="H254" i="2"/>
  <c r="H253" i="2"/>
  <c r="H252" i="2"/>
  <c r="H251" i="2"/>
  <c r="H250" i="2"/>
  <c r="H249" i="2"/>
  <c r="H248" i="2"/>
  <c r="H247" i="2"/>
  <c r="H246" i="2"/>
  <c r="H245" i="2"/>
  <c r="H244" i="2"/>
  <c r="H243" i="2"/>
  <c r="H242" i="2"/>
  <c r="H241" i="2"/>
  <c r="H240" i="2"/>
  <c r="H239" i="2"/>
  <c r="H238" i="2"/>
  <c r="H237" i="2"/>
  <c r="H236" i="2"/>
  <c r="H235" i="2"/>
  <c r="H234" i="2"/>
  <c r="H233" i="2"/>
  <c r="H232" i="2"/>
  <c r="H231" i="2"/>
  <c r="H230" i="2"/>
  <c r="H229" i="2"/>
  <c r="H228" i="2"/>
  <c r="H227" i="2"/>
  <c r="H226" i="2"/>
  <c r="H225" i="2"/>
  <c r="H224" i="2"/>
  <c r="H223" i="2"/>
  <c r="H222" i="2"/>
  <c r="H221" i="2"/>
  <c r="H220" i="2"/>
  <c r="H219" i="2"/>
  <c r="H218" i="2"/>
  <c r="H217" i="2"/>
  <c r="H216" i="2"/>
  <c r="H215" i="2"/>
  <c r="H214" i="2"/>
  <c r="H213" i="2"/>
  <c r="H212" i="2"/>
  <c r="H211" i="2"/>
  <c r="H210" i="2"/>
  <c r="H209" i="2"/>
  <c r="H208" i="2"/>
  <c r="H207" i="2"/>
  <c r="H206" i="2"/>
  <c r="H205" i="2"/>
  <c r="H204" i="2"/>
  <c r="H203" i="2"/>
  <c r="H202" i="2"/>
  <c r="H201" i="2"/>
  <c r="H200" i="2"/>
  <c r="H199" i="2"/>
  <c r="H198" i="2"/>
  <c r="H197" i="2"/>
  <c r="H196" i="2"/>
  <c r="H195" i="2"/>
  <c r="H194" i="2"/>
  <c r="H193" i="2"/>
  <c r="H192" i="2"/>
  <c r="H191" i="2"/>
  <c r="H190" i="2"/>
  <c r="H189" i="2"/>
  <c r="H188" i="2"/>
  <c r="H187" i="2"/>
  <c r="H186" i="2"/>
  <c r="H185" i="2"/>
  <c r="H184" i="2"/>
  <c r="H183" i="2"/>
  <c r="H182" i="2"/>
  <c r="H181" i="2"/>
  <c r="H180" i="2"/>
  <c r="H179" i="2"/>
  <c r="H178" i="2"/>
  <c r="H177" i="2"/>
  <c r="H176" i="2"/>
  <c r="H175" i="2"/>
  <c r="H174" i="2"/>
  <c r="H173" i="2"/>
  <c r="H172" i="2"/>
  <c r="H171" i="2"/>
  <c r="H170" i="2"/>
  <c r="H169" i="2"/>
  <c r="H168" i="2"/>
  <c r="H167" i="2"/>
  <c r="H166" i="2"/>
  <c r="H165" i="2"/>
  <c r="H164" i="2"/>
  <c r="H163" i="2"/>
  <c r="H162" i="2"/>
  <c r="H161" i="2"/>
  <c r="H160" i="2"/>
  <c r="H159" i="2"/>
  <c r="H158" i="2"/>
  <c r="H157" i="2"/>
  <c r="H156" i="2"/>
  <c r="H155" i="2"/>
  <c r="H154" i="2"/>
  <c r="H153" i="2"/>
  <c r="H152" i="2"/>
  <c r="H151" i="2"/>
  <c r="H150" i="2"/>
  <c r="H149" i="2"/>
  <c r="H148" i="2"/>
  <c r="H147" i="2"/>
  <c r="H146" i="2"/>
  <c r="H145" i="2"/>
  <c r="H144" i="2"/>
  <c r="H143" i="2"/>
  <c r="H142" i="2"/>
  <c r="H141" i="2"/>
  <c r="H140" i="2"/>
  <c r="H139" i="2"/>
  <c r="H138" i="2"/>
  <c r="H137" i="2"/>
  <c r="H136" i="2"/>
  <c r="H135" i="2"/>
  <c r="H134" i="2"/>
  <c r="H133" i="2"/>
  <c r="H132" i="2"/>
  <c r="H131" i="2"/>
  <c r="H130" i="2"/>
  <c r="H129" i="2"/>
  <c r="H128" i="2"/>
  <c r="H127" i="2"/>
  <c r="H126" i="2"/>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H3" i="2"/>
  <c r="L999"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K2" i="2"/>
  <c r="L2" i="2" s="1"/>
  <c r="K3" i="2"/>
  <c r="L3" i="2" s="1"/>
  <c r="K4" i="2"/>
  <c r="L4" i="2" s="1"/>
  <c r="K5" i="2"/>
  <c r="L5" i="2" s="1"/>
  <c r="K6" i="2"/>
  <c r="L6" i="2" s="1"/>
  <c r="K7" i="2"/>
  <c r="L7" i="2" s="1"/>
  <c r="K8" i="2"/>
  <c r="L8"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K35" i="2"/>
  <c r="L35" i="2" s="1"/>
  <c r="K36" i="2"/>
  <c r="L36" i="2" s="1"/>
  <c r="K37" i="2"/>
  <c r="L37" i="2" s="1"/>
  <c r="K38" i="2"/>
  <c r="L38" i="2" s="1"/>
  <c r="K39" i="2"/>
  <c r="L39" i="2" s="1"/>
  <c r="K40" i="2"/>
  <c r="L40" i="2" s="1"/>
  <c r="K41" i="2"/>
  <c r="L41" i="2" s="1"/>
  <c r="K42" i="2"/>
  <c r="L42" i="2" s="1"/>
  <c r="K43" i="2"/>
  <c r="L43" i="2" s="1"/>
  <c r="K44" i="2"/>
  <c r="L44" i="2" s="1"/>
  <c r="K45" i="2"/>
  <c r="L45" i="2" s="1"/>
  <c r="K46" i="2"/>
  <c r="L46" i="2" s="1"/>
  <c r="K47" i="2"/>
  <c r="L47" i="2" s="1"/>
  <c r="K48" i="2"/>
  <c r="L48" i="2" s="1"/>
  <c r="K49" i="2"/>
  <c r="L49" i="2" s="1"/>
  <c r="K50" i="2"/>
  <c r="L50" i="2" s="1"/>
  <c r="K51" i="2"/>
  <c r="L51" i="2" s="1"/>
  <c r="K52" i="2"/>
  <c r="L52" i="2" s="1"/>
  <c r="K53" i="2"/>
  <c r="L53" i="2" s="1"/>
  <c r="K54" i="2"/>
  <c r="L54" i="2" s="1"/>
  <c r="K55" i="2"/>
  <c r="L55" i="2" s="1"/>
  <c r="K56" i="2"/>
  <c r="L56" i="2" s="1"/>
  <c r="K57" i="2"/>
  <c r="L57" i="2" s="1"/>
  <c r="K58" i="2"/>
  <c r="L58" i="2" s="1"/>
  <c r="K59" i="2"/>
  <c r="L59" i="2" s="1"/>
  <c r="K60" i="2"/>
  <c r="L60" i="2" s="1"/>
  <c r="K61" i="2"/>
  <c r="L61" i="2" s="1"/>
  <c r="K62" i="2"/>
  <c r="L62" i="2" s="1"/>
  <c r="K63" i="2"/>
  <c r="L63" i="2" s="1"/>
  <c r="K64" i="2"/>
  <c r="L64" i="2" s="1"/>
  <c r="K65" i="2"/>
  <c r="L65" i="2" s="1"/>
  <c r="K66" i="2"/>
  <c r="L66" i="2" s="1"/>
  <c r="K67" i="2"/>
  <c r="L67" i="2" s="1"/>
  <c r="K68" i="2"/>
  <c r="L68" i="2" s="1"/>
  <c r="K69" i="2"/>
  <c r="L69" i="2" s="1"/>
  <c r="K70" i="2"/>
  <c r="L70" i="2" s="1"/>
  <c r="K71" i="2"/>
  <c r="L71" i="2" s="1"/>
  <c r="K72" i="2"/>
  <c r="L72" i="2" s="1"/>
  <c r="K73" i="2"/>
  <c r="L73" i="2" s="1"/>
  <c r="K74" i="2"/>
  <c r="L74" i="2" s="1"/>
  <c r="K75" i="2"/>
  <c r="L75" i="2" s="1"/>
  <c r="K76" i="2"/>
  <c r="L76" i="2" s="1"/>
  <c r="K77" i="2"/>
  <c r="L77" i="2" s="1"/>
  <c r="K78" i="2"/>
  <c r="L78" i="2" s="1"/>
  <c r="K79" i="2"/>
  <c r="L79" i="2" s="1"/>
  <c r="K80" i="2"/>
  <c r="L80" i="2" s="1"/>
  <c r="K81" i="2"/>
  <c r="L81" i="2" s="1"/>
  <c r="K82" i="2"/>
  <c r="L82" i="2" s="1"/>
  <c r="K83" i="2"/>
  <c r="L83" i="2" s="1"/>
  <c r="K84" i="2"/>
  <c r="L84" i="2" s="1"/>
  <c r="K85" i="2"/>
  <c r="L85" i="2" s="1"/>
  <c r="K86" i="2"/>
  <c r="L86" i="2" s="1"/>
  <c r="K87" i="2"/>
  <c r="L87" i="2" s="1"/>
  <c r="K88" i="2"/>
  <c r="L88" i="2" s="1"/>
  <c r="K89" i="2"/>
  <c r="L89" i="2" s="1"/>
  <c r="K90" i="2"/>
  <c r="L90" i="2" s="1"/>
  <c r="K91" i="2"/>
  <c r="L91" i="2" s="1"/>
  <c r="K92" i="2"/>
  <c r="L92" i="2" s="1"/>
  <c r="K93" i="2"/>
  <c r="L93" i="2" s="1"/>
  <c r="K94" i="2"/>
  <c r="L94" i="2" s="1"/>
  <c r="K95" i="2"/>
  <c r="L95" i="2" s="1"/>
  <c r="K96" i="2"/>
  <c r="L96" i="2" s="1"/>
  <c r="K97" i="2"/>
  <c r="L97" i="2" s="1"/>
  <c r="K98" i="2"/>
  <c r="L98" i="2" s="1"/>
  <c r="K99" i="2"/>
  <c r="L99" i="2" s="1"/>
  <c r="K100" i="2"/>
  <c r="L100" i="2" s="1"/>
  <c r="K101" i="2"/>
  <c r="L101" i="2" s="1"/>
  <c r="K102" i="2"/>
  <c r="L102" i="2" s="1"/>
  <c r="K103" i="2"/>
  <c r="L103" i="2" s="1"/>
  <c r="K104" i="2"/>
  <c r="L104" i="2" s="1"/>
  <c r="K105" i="2"/>
  <c r="L105" i="2" s="1"/>
  <c r="K106" i="2"/>
  <c r="L106" i="2" s="1"/>
  <c r="K107" i="2"/>
  <c r="L107" i="2" s="1"/>
  <c r="K108" i="2"/>
  <c r="L108" i="2" s="1"/>
  <c r="K109" i="2"/>
  <c r="L109" i="2" s="1"/>
  <c r="K110" i="2"/>
  <c r="L110" i="2" s="1"/>
  <c r="K111" i="2"/>
  <c r="L111" i="2" s="1"/>
  <c r="K112" i="2"/>
  <c r="L112" i="2" s="1"/>
  <c r="K113" i="2"/>
  <c r="L113" i="2" s="1"/>
  <c r="K114" i="2"/>
  <c r="L114" i="2" s="1"/>
  <c r="K115" i="2"/>
  <c r="L115" i="2" s="1"/>
  <c r="K116" i="2"/>
  <c r="L116" i="2" s="1"/>
  <c r="K117" i="2"/>
  <c r="L117" i="2" s="1"/>
  <c r="K118" i="2"/>
  <c r="L118" i="2" s="1"/>
  <c r="K119" i="2"/>
  <c r="L119" i="2" s="1"/>
  <c r="K120" i="2"/>
  <c r="L120" i="2" s="1"/>
  <c r="K121" i="2"/>
  <c r="L121" i="2" s="1"/>
  <c r="K122" i="2"/>
  <c r="L122" i="2" s="1"/>
  <c r="K123" i="2"/>
  <c r="L123" i="2" s="1"/>
  <c r="K124" i="2"/>
  <c r="L124" i="2" s="1"/>
  <c r="K125" i="2"/>
  <c r="L125" i="2" s="1"/>
  <c r="K126" i="2"/>
  <c r="L126" i="2" s="1"/>
  <c r="K127" i="2"/>
  <c r="L127" i="2" s="1"/>
  <c r="K128" i="2"/>
  <c r="L128" i="2" s="1"/>
  <c r="K129" i="2"/>
  <c r="L129" i="2" s="1"/>
  <c r="K130" i="2"/>
  <c r="L130" i="2" s="1"/>
  <c r="K131" i="2"/>
  <c r="L131" i="2" s="1"/>
  <c r="K132" i="2"/>
  <c r="L132" i="2" s="1"/>
  <c r="K133" i="2"/>
  <c r="L133" i="2" s="1"/>
  <c r="K134" i="2"/>
  <c r="L134" i="2" s="1"/>
  <c r="K135" i="2"/>
  <c r="L135" i="2" s="1"/>
  <c r="K136" i="2"/>
  <c r="L136" i="2" s="1"/>
  <c r="K137" i="2"/>
  <c r="L137" i="2" s="1"/>
  <c r="K138" i="2"/>
  <c r="L138" i="2" s="1"/>
  <c r="K139" i="2"/>
  <c r="L139" i="2" s="1"/>
  <c r="K140" i="2"/>
  <c r="L140" i="2" s="1"/>
  <c r="K141" i="2"/>
  <c r="L141" i="2" s="1"/>
  <c r="K142" i="2"/>
  <c r="L142" i="2" s="1"/>
  <c r="K143" i="2"/>
  <c r="L143" i="2" s="1"/>
  <c r="K144" i="2"/>
  <c r="L144" i="2" s="1"/>
  <c r="K145" i="2"/>
  <c r="L145" i="2" s="1"/>
  <c r="K146" i="2"/>
  <c r="L146" i="2" s="1"/>
  <c r="K147" i="2"/>
  <c r="L147" i="2" s="1"/>
  <c r="K148" i="2"/>
  <c r="L148" i="2" s="1"/>
  <c r="K149" i="2"/>
  <c r="L149" i="2" s="1"/>
  <c r="K150" i="2"/>
  <c r="L150" i="2" s="1"/>
  <c r="K151" i="2"/>
  <c r="L151" i="2" s="1"/>
  <c r="K152" i="2"/>
  <c r="L152" i="2" s="1"/>
  <c r="K153" i="2"/>
  <c r="L153" i="2" s="1"/>
  <c r="K154" i="2"/>
  <c r="L154" i="2" s="1"/>
  <c r="K155" i="2"/>
  <c r="L155" i="2" s="1"/>
  <c r="K156" i="2"/>
  <c r="L156" i="2" s="1"/>
  <c r="K157" i="2"/>
  <c r="L157" i="2" s="1"/>
  <c r="K158" i="2"/>
  <c r="L158" i="2" s="1"/>
  <c r="K159" i="2"/>
  <c r="L159" i="2" s="1"/>
  <c r="K160" i="2"/>
  <c r="L160" i="2" s="1"/>
  <c r="K161" i="2"/>
  <c r="L161" i="2" s="1"/>
  <c r="K162" i="2"/>
  <c r="L162" i="2" s="1"/>
  <c r="K163" i="2"/>
  <c r="L163" i="2" s="1"/>
  <c r="K164" i="2"/>
  <c r="L164" i="2" s="1"/>
  <c r="K165" i="2"/>
  <c r="L165" i="2" s="1"/>
  <c r="K166" i="2"/>
  <c r="L166" i="2" s="1"/>
  <c r="K167" i="2"/>
  <c r="L167" i="2" s="1"/>
  <c r="K168" i="2"/>
  <c r="L168" i="2" s="1"/>
  <c r="K169" i="2"/>
  <c r="L169" i="2" s="1"/>
  <c r="K170" i="2"/>
  <c r="L170" i="2" s="1"/>
  <c r="K171" i="2"/>
  <c r="L171" i="2" s="1"/>
  <c r="K172" i="2"/>
  <c r="L172" i="2" s="1"/>
  <c r="K173" i="2"/>
  <c r="L173" i="2" s="1"/>
  <c r="K174" i="2"/>
  <c r="L174" i="2" s="1"/>
  <c r="K175" i="2"/>
  <c r="L175" i="2" s="1"/>
  <c r="K176" i="2"/>
  <c r="L176" i="2" s="1"/>
  <c r="K177" i="2"/>
  <c r="L177" i="2" s="1"/>
  <c r="K178" i="2"/>
  <c r="L178" i="2" s="1"/>
  <c r="K179" i="2"/>
  <c r="L179" i="2" s="1"/>
  <c r="K180" i="2"/>
  <c r="L180" i="2" s="1"/>
  <c r="K181" i="2"/>
  <c r="L181" i="2" s="1"/>
  <c r="K182" i="2"/>
  <c r="L182" i="2" s="1"/>
  <c r="K183" i="2"/>
  <c r="L183" i="2" s="1"/>
  <c r="K184" i="2"/>
  <c r="L184" i="2" s="1"/>
  <c r="K185" i="2"/>
  <c r="L185" i="2" s="1"/>
  <c r="K186" i="2"/>
  <c r="L186" i="2" s="1"/>
  <c r="K187" i="2"/>
  <c r="L187" i="2" s="1"/>
  <c r="K188" i="2"/>
  <c r="L188" i="2" s="1"/>
  <c r="K189" i="2"/>
  <c r="L189" i="2" s="1"/>
  <c r="K190" i="2"/>
  <c r="L190" i="2" s="1"/>
  <c r="K191" i="2"/>
  <c r="L191" i="2" s="1"/>
  <c r="K192" i="2"/>
  <c r="L192" i="2" s="1"/>
  <c r="K193" i="2"/>
  <c r="L193" i="2" s="1"/>
  <c r="K194" i="2"/>
  <c r="L194" i="2" s="1"/>
  <c r="K195" i="2"/>
  <c r="L195" i="2" s="1"/>
  <c r="K196" i="2"/>
  <c r="L196" i="2" s="1"/>
  <c r="K197" i="2"/>
  <c r="L197" i="2" s="1"/>
  <c r="K198" i="2"/>
  <c r="L198" i="2" s="1"/>
  <c r="K199" i="2"/>
  <c r="L199" i="2" s="1"/>
  <c r="K200" i="2"/>
  <c r="L200" i="2" s="1"/>
  <c r="K201" i="2"/>
  <c r="L201" i="2" s="1"/>
  <c r="K202" i="2"/>
  <c r="L202" i="2" s="1"/>
  <c r="K203" i="2"/>
  <c r="L203" i="2" s="1"/>
  <c r="K204" i="2"/>
  <c r="L204" i="2" s="1"/>
  <c r="K205" i="2"/>
  <c r="L205" i="2" s="1"/>
  <c r="K206" i="2"/>
  <c r="L206" i="2" s="1"/>
  <c r="K207" i="2"/>
  <c r="L207" i="2" s="1"/>
  <c r="K208" i="2"/>
  <c r="L208" i="2" s="1"/>
  <c r="K209" i="2"/>
  <c r="L209" i="2" s="1"/>
  <c r="K210" i="2"/>
  <c r="L210" i="2" s="1"/>
  <c r="K211" i="2"/>
  <c r="L211" i="2" s="1"/>
  <c r="K212" i="2"/>
  <c r="L212" i="2" s="1"/>
  <c r="K213" i="2"/>
  <c r="L213" i="2" s="1"/>
  <c r="K214" i="2"/>
  <c r="L214" i="2" s="1"/>
  <c r="K215" i="2"/>
  <c r="L215" i="2" s="1"/>
  <c r="K216" i="2"/>
  <c r="L216" i="2" s="1"/>
  <c r="K217" i="2"/>
  <c r="L217" i="2" s="1"/>
  <c r="K218" i="2"/>
  <c r="L218" i="2" s="1"/>
  <c r="K219" i="2"/>
  <c r="L219" i="2" s="1"/>
  <c r="K220" i="2"/>
  <c r="L220" i="2" s="1"/>
  <c r="K221" i="2"/>
  <c r="L221" i="2" s="1"/>
  <c r="K222" i="2"/>
  <c r="L222" i="2" s="1"/>
  <c r="K223" i="2"/>
  <c r="L223" i="2" s="1"/>
  <c r="K224" i="2"/>
  <c r="L224" i="2" s="1"/>
  <c r="K225" i="2"/>
  <c r="L225" i="2" s="1"/>
  <c r="K226" i="2"/>
  <c r="L226" i="2" s="1"/>
  <c r="K227" i="2"/>
  <c r="L227" i="2" s="1"/>
  <c r="K228" i="2"/>
  <c r="L228" i="2" s="1"/>
  <c r="K229" i="2"/>
  <c r="L229" i="2" s="1"/>
  <c r="K230" i="2"/>
  <c r="L230" i="2" s="1"/>
  <c r="K231" i="2"/>
  <c r="L231" i="2" s="1"/>
  <c r="K232" i="2"/>
  <c r="L232" i="2" s="1"/>
  <c r="K233" i="2"/>
  <c r="L233" i="2" s="1"/>
  <c r="K234" i="2"/>
  <c r="L234" i="2" s="1"/>
  <c r="K235" i="2"/>
  <c r="L235" i="2" s="1"/>
  <c r="K236" i="2"/>
  <c r="L236" i="2" s="1"/>
  <c r="K237" i="2"/>
  <c r="L237" i="2" s="1"/>
  <c r="K238" i="2"/>
  <c r="L238" i="2" s="1"/>
  <c r="K239" i="2"/>
  <c r="L239" i="2" s="1"/>
  <c r="K240" i="2"/>
  <c r="L240" i="2" s="1"/>
  <c r="K241" i="2"/>
  <c r="L241" i="2" s="1"/>
  <c r="K242" i="2"/>
  <c r="L242" i="2" s="1"/>
  <c r="K243" i="2"/>
  <c r="L243" i="2" s="1"/>
  <c r="K244" i="2"/>
  <c r="L244" i="2" s="1"/>
  <c r="K245" i="2"/>
  <c r="L245" i="2" s="1"/>
  <c r="K246" i="2"/>
  <c r="L246" i="2" s="1"/>
  <c r="K247" i="2"/>
  <c r="L247" i="2" s="1"/>
  <c r="K248" i="2"/>
  <c r="L248" i="2" s="1"/>
  <c r="K249" i="2"/>
  <c r="L249" i="2" s="1"/>
  <c r="K250" i="2"/>
  <c r="L250" i="2" s="1"/>
  <c r="K251" i="2"/>
  <c r="L251" i="2" s="1"/>
  <c r="K252" i="2"/>
  <c r="L252" i="2" s="1"/>
  <c r="K253" i="2"/>
  <c r="L253" i="2" s="1"/>
  <c r="K254" i="2"/>
  <c r="L254" i="2" s="1"/>
  <c r="K255" i="2"/>
  <c r="L255" i="2" s="1"/>
  <c r="K256" i="2"/>
  <c r="L256" i="2" s="1"/>
  <c r="K257" i="2"/>
  <c r="L257" i="2" s="1"/>
  <c r="K258" i="2"/>
  <c r="L258" i="2" s="1"/>
  <c r="K259" i="2"/>
  <c r="L259" i="2" s="1"/>
  <c r="K260" i="2"/>
  <c r="L260" i="2" s="1"/>
  <c r="K261" i="2"/>
  <c r="L261" i="2" s="1"/>
  <c r="K262" i="2"/>
  <c r="L262" i="2" s="1"/>
  <c r="K263" i="2"/>
  <c r="L263" i="2" s="1"/>
  <c r="K264" i="2"/>
  <c r="L264" i="2" s="1"/>
  <c r="K265" i="2"/>
  <c r="L265" i="2" s="1"/>
  <c r="K266" i="2"/>
  <c r="L266" i="2" s="1"/>
  <c r="K267" i="2"/>
  <c r="L267" i="2" s="1"/>
  <c r="K268" i="2"/>
  <c r="L268" i="2" s="1"/>
  <c r="K269" i="2"/>
  <c r="L269" i="2" s="1"/>
  <c r="K270" i="2"/>
  <c r="L270" i="2" s="1"/>
  <c r="K271" i="2"/>
  <c r="L271" i="2" s="1"/>
  <c r="K272" i="2"/>
  <c r="L272" i="2" s="1"/>
  <c r="K273" i="2"/>
  <c r="L273" i="2" s="1"/>
  <c r="K274" i="2"/>
  <c r="L274" i="2" s="1"/>
  <c r="K275" i="2"/>
  <c r="L275" i="2" s="1"/>
  <c r="K276" i="2"/>
  <c r="L276" i="2" s="1"/>
  <c r="K277" i="2"/>
  <c r="L277" i="2" s="1"/>
  <c r="K278" i="2"/>
  <c r="L278" i="2" s="1"/>
  <c r="K279" i="2"/>
  <c r="L279" i="2" s="1"/>
  <c r="K280" i="2"/>
  <c r="L280" i="2" s="1"/>
  <c r="K281" i="2"/>
  <c r="L281" i="2" s="1"/>
  <c r="K282" i="2"/>
  <c r="L282" i="2" s="1"/>
  <c r="K283" i="2"/>
  <c r="L283" i="2" s="1"/>
  <c r="K284" i="2"/>
  <c r="L284" i="2" s="1"/>
  <c r="K285" i="2"/>
  <c r="L285" i="2" s="1"/>
  <c r="K286" i="2"/>
  <c r="L286" i="2" s="1"/>
  <c r="K287" i="2"/>
  <c r="L287" i="2" s="1"/>
  <c r="K288" i="2"/>
  <c r="L288" i="2" s="1"/>
  <c r="K289" i="2"/>
  <c r="L289" i="2" s="1"/>
  <c r="K290" i="2"/>
  <c r="L290" i="2" s="1"/>
  <c r="K291" i="2"/>
  <c r="L291" i="2" s="1"/>
  <c r="K292" i="2"/>
  <c r="L292" i="2" s="1"/>
  <c r="K293" i="2"/>
  <c r="L293" i="2" s="1"/>
  <c r="K294" i="2"/>
  <c r="L294" i="2" s="1"/>
  <c r="K295" i="2"/>
  <c r="L295" i="2" s="1"/>
  <c r="K296" i="2"/>
  <c r="L296" i="2" s="1"/>
  <c r="K297" i="2"/>
  <c r="L297" i="2" s="1"/>
  <c r="K298" i="2"/>
  <c r="L298" i="2" s="1"/>
  <c r="K299" i="2"/>
  <c r="L299" i="2" s="1"/>
  <c r="K300" i="2"/>
  <c r="L300" i="2" s="1"/>
  <c r="K301" i="2"/>
  <c r="L301" i="2" s="1"/>
  <c r="K302" i="2"/>
  <c r="L302" i="2" s="1"/>
  <c r="K303" i="2"/>
  <c r="L303" i="2" s="1"/>
  <c r="K304" i="2"/>
  <c r="L304" i="2" s="1"/>
  <c r="K305" i="2"/>
  <c r="L305" i="2" s="1"/>
  <c r="K306" i="2"/>
  <c r="L306" i="2" s="1"/>
  <c r="K307" i="2"/>
  <c r="L307" i="2" s="1"/>
  <c r="K308" i="2"/>
  <c r="L308" i="2" s="1"/>
  <c r="K309" i="2"/>
  <c r="L309" i="2" s="1"/>
  <c r="K310" i="2"/>
  <c r="L310" i="2" s="1"/>
  <c r="K311" i="2"/>
  <c r="L311" i="2" s="1"/>
  <c r="K312" i="2"/>
  <c r="L312" i="2" s="1"/>
  <c r="K313" i="2"/>
  <c r="L313" i="2" s="1"/>
  <c r="K314" i="2"/>
  <c r="L314" i="2" s="1"/>
  <c r="K315" i="2"/>
  <c r="L315" i="2" s="1"/>
  <c r="K316" i="2"/>
  <c r="L316" i="2" s="1"/>
  <c r="K317" i="2"/>
  <c r="L317" i="2" s="1"/>
  <c r="K318" i="2"/>
  <c r="L318" i="2" s="1"/>
  <c r="K319" i="2"/>
  <c r="L319" i="2" s="1"/>
  <c r="K320" i="2"/>
  <c r="L320" i="2" s="1"/>
  <c r="K321" i="2"/>
  <c r="L321" i="2" s="1"/>
  <c r="K322" i="2"/>
  <c r="L322" i="2" s="1"/>
  <c r="K323" i="2"/>
  <c r="L323" i="2" s="1"/>
  <c r="K324" i="2"/>
  <c r="L324" i="2" s="1"/>
  <c r="K325" i="2"/>
  <c r="L325" i="2" s="1"/>
  <c r="K326" i="2"/>
  <c r="L326" i="2" s="1"/>
  <c r="K327" i="2"/>
  <c r="L327" i="2" s="1"/>
  <c r="K328" i="2"/>
  <c r="L328" i="2" s="1"/>
  <c r="K329" i="2"/>
  <c r="L329" i="2" s="1"/>
  <c r="K330" i="2"/>
  <c r="L330" i="2" s="1"/>
  <c r="K331" i="2"/>
  <c r="L331" i="2" s="1"/>
  <c r="K332" i="2"/>
  <c r="L332" i="2" s="1"/>
  <c r="K333" i="2"/>
  <c r="L333" i="2" s="1"/>
  <c r="K334" i="2"/>
  <c r="L334" i="2" s="1"/>
  <c r="K335" i="2"/>
  <c r="L335" i="2" s="1"/>
  <c r="K336" i="2"/>
  <c r="L336" i="2" s="1"/>
  <c r="K337" i="2"/>
  <c r="L337" i="2" s="1"/>
  <c r="K338" i="2"/>
  <c r="L338" i="2" s="1"/>
  <c r="K339" i="2"/>
  <c r="L339" i="2" s="1"/>
  <c r="K340" i="2"/>
  <c r="L340" i="2" s="1"/>
  <c r="K341" i="2"/>
  <c r="L341" i="2" s="1"/>
  <c r="K342" i="2"/>
  <c r="L342" i="2" s="1"/>
  <c r="K343" i="2"/>
  <c r="L343" i="2" s="1"/>
  <c r="K344" i="2"/>
  <c r="L344" i="2" s="1"/>
  <c r="K345" i="2"/>
  <c r="L345" i="2" s="1"/>
  <c r="K346" i="2"/>
  <c r="L346" i="2" s="1"/>
  <c r="K347" i="2"/>
  <c r="L347" i="2" s="1"/>
  <c r="K348" i="2"/>
  <c r="L348" i="2" s="1"/>
  <c r="K349" i="2"/>
  <c r="L349" i="2" s="1"/>
  <c r="K350" i="2"/>
  <c r="L350" i="2" s="1"/>
  <c r="K351" i="2"/>
  <c r="L351" i="2" s="1"/>
  <c r="K352" i="2"/>
  <c r="L352" i="2" s="1"/>
  <c r="K353" i="2"/>
  <c r="L353" i="2" s="1"/>
  <c r="K354" i="2"/>
  <c r="L354" i="2" s="1"/>
  <c r="K355" i="2"/>
  <c r="L355" i="2" s="1"/>
  <c r="K356" i="2"/>
  <c r="L356" i="2" s="1"/>
  <c r="K357" i="2"/>
  <c r="L357" i="2" s="1"/>
  <c r="K358" i="2"/>
  <c r="L358" i="2" s="1"/>
  <c r="K359" i="2"/>
  <c r="L359" i="2" s="1"/>
  <c r="K360" i="2"/>
  <c r="L360" i="2" s="1"/>
  <c r="K361" i="2"/>
  <c r="L361" i="2" s="1"/>
  <c r="K362" i="2"/>
  <c r="L362" i="2" s="1"/>
  <c r="K363" i="2"/>
  <c r="L363" i="2" s="1"/>
  <c r="K364" i="2"/>
  <c r="L364" i="2" s="1"/>
  <c r="K365" i="2"/>
  <c r="L365" i="2" s="1"/>
  <c r="K366" i="2"/>
  <c r="L366" i="2" s="1"/>
  <c r="K367" i="2"/>
  <c r="L367" i="2" s="1"/>
  <c r="K368" i="2"/>
  <c r="L368" i="2" s="1"/>
  <c r="K369" i="2"/>
  <c r="L369" i="2" s="1"/>
  <c r="K370" i="2"/>
  <c r="L370" i="2" s="1"/>
  <c r="K371" i="2"/>
  <c r="L371" i="2" s="1"/>
  <c r="K372" i="2"/>
  <c r="L372" i="2" s="1"/>
  <c r="K373" i="2"/>
  <c r="L373" i="2" s="1"/>
  <c r="K374" i="2"/>
  <c r="L374" i="2" s="1"/>
  <c r="K375" i="2"/>
  <c r="L375" i="2" s="1"/>
  <c r="K376" i="2"/>
  <c r="L376" i="2" s="1"/>
  <c r="K377" i="2"/>
  <c r="L377" i="2" s="1"/>
  <c r="K378" i="2"/>
  <c r="L378" i="2" s="1"/>
  <c r="K379" i="2"/>
  <c r="L379" i="2" s="1"/>
  <c r="K380" i="2"/>
  <c r="L380" i="2" s="1"/>
  <c r="K381" i="2"/>
  <c r="L381" i="2" s="1"/>
  <c r="K382" i="2"/>
  <c r="L382" i="2" s="1"/>
  <c r="K383" i="2"/>
  <c r="L383" i="2" s="1"/>
  <c r="K384" i="2"/>
  <c r="L384" i="2" s="1"/>
  <c r="K385" i="2"/>
  <c r="L385" i="2" s="1"/>
  <c r="K386" i="2"/>
  <c r="L386" i="2" s="1"/>
  <c r="K387" i="2"/>
  <c r="L387" i="2" s="1"/>
  <c r="K388" i="2"/>
  <c r="L388" i="2" s="1"/>
  <c r="K389" i="2"/>
  <c r="L389" i="2" s="1"/>
  <c r="K390" i="2"/>
  <c r="L390" i="2" s="1"/>
  <c r="K391" i="2"/>
  <c r="L391" i="2" s="1"/>
  <c r="K392" i="2"/>
  <c r="L392" i="2" s="1"/>
  <c r="K393" i="2"/>
  <c r="L393" i="2" s="1"/>
  <c r="K394" i="2"/>
  <c r="L394" i="2" s="1"/>
  <c r="K395" i="2"/>
  <c r="L395" i="2" s="1"/>
  <c r="K396" i="2"/>
  <c r="L396" i="2" s="1"/>
  <c r="K397" i="2"/>
  <c r="L397" i="2" s="1"/>
  <c r="K398" i="2"/>
  <c r="L398" i="2" s="1"/>
  <c r="K399" i="2"/>
  <c r="L399" i="2" s="1"/>
  <c r="K400" i="2"/>
  <c r="L400" i="2" s="1"/>
  <c r="K401" i="2"/>
  <c r="L401" i="2" s="1"/>
  <c r="K402" i="2"/>
  <c r="L402" i="2" s="1"/>
  <c r="K403" i="2"/>
  <c r="L403" i="2" s="1"/>
  <c r="K404" i="2"/>
  <c r="L404" i="2" s="1"/>
  <c r="K405" i="2"/>
  <c r="L405" i="2" s="1"/>
  <c r="K406" i="2"/>
  <c r="L406" i="2" s="1"/>
  <c r="K407" i="2"/>
  <c r="L407" i="2" s="1"/>
  <c r="K408" i="2"/>
  <c r="L408" i="2" s="1"/>
  <c r="K409" i="2"/>
  <c r="L409" i="2" s="1"/>
  <c r="K410" i="2"/>
  <c r="L410" i="2" s="1"/>
  <c r="K411" i="2"/>
  <c r="L411" i="2" s="1"/>
  <c r="K412" i="2"/>
  <c r="L412" i="2" s="1"/>
  <c r="K413" i="2"/>
  <c r="L413" i="2" s="1"/>
  <c r="K414" i="2"/>
  <c r="L414" i="2" s="1"/>
  <c r="K415" i="2"/>
  <c r="L415" i="2" s="1"/>
  <c r="K416" i="2"/>
  <c r="L416" i="2" s="1"/>
  <c r="K417" i="2"/>
  <c r="L417" i="2" s="1"/>
  <c r="K418" i="2"/>
  <c r="L418" i="2" s="1"/>
  <c r="K419" i="2"/>
  <c r="L419" i="2" s="1"/>
  <c r="K420" i="2"/>
  <c r="L420" i="2" s="1"/>
  <c r="K421" i="2"/>
  <c r="L421" i="2" s="1"/>
  <c r="K422" i="2"/>
  <c r="L422" i="2" s="1"/>
  <c r="K423" i="2"/>
  <c r="L423" i="2" s="1"/>
  <c r="K424" i="2"/>
  <c r="L424" i="2" s="1"/>
  <c r="K425" i="2"/>
  <c r="L425" i="2" s="1"/>
  <c r="K426" i="2"/>
  <c r="L426" i="2" s="1"/>
  <c r="K427" i="2"/>
  <c r="L427" i="2" s="1"/>
  <c r="K428" i="2"/>
  <c r="L428" i="2" s="1"/>
  <c r="K429" i="2"/>
  <c r="L429" i="2" s="1"/>
  <c r="K430" i="2"/>
  <c r="L430" i="2" s="1"/>
  <c r="K431" i="2"/>
  <c r="L431" i="2" s="1"/>
  <c r="K432" i="2"/>
  <c r="L432" i="2" s="1"/>
  <c r="K433" i="2"/>
  <c r="L433" i="2" s="1"/>
  <c r="K434" i="2"/>
  <c r="L434" i="2" s="1"/>
  <c r="K435" i="2"/>
  <c r="L435" i="2" s="1"/>
  <c r="K436" i="2"/>
  <c r="L436" i="2" s="1"/>
  <c r="K437" i="2"/>
  <c r="L437" i="2" s="1"/>
  <c r="K438" i="2"/>
  <c r="L438" i="2" s="1"/>
  <c r="K439" i="2"/>
  <c r="L439" i="2" s="1"/>
  <c r="K440" i="2"/>
  <c r="L440" i="2" s="1"/>
  <c r="K441" i="2"/>
  <c r="L441" i="2" s="1"/>
  <c r="K442" i="2"/>
  <c r="L442" i="2" s="1"/>
  <c r="K443" i="2"/>
  <c r="L443" i="2" s="1"/>
  <c r="K444" i="2"/>
  <c r="L444" i="2" s="1"/>
  <c r="K445" i="2"/>
  <c r="L445" i="2" s="1"/>
  <c r="K446" i="2"/>
  <c r="L446" i="2" s="1"/>
  <c r="K447" i="2"/>
  <c r="L447" i="2" s="1"/>
  <c r="K448" i="2"/>
  <c r="L448" i="2" s="1"/>
  <c r="K449" i="2"/>
  <c r="L449" i="2" s="1"/>
  <c r="K450" i="2"/>
  <c r="L450" i="2" s="1"/>
  <c r="K451" i="2"/>
  <c r="L451" i="2" s="1"/>
  <c r="K452" i="2"/>
  <c r="L452" i="2" s="1"/>
  <c r="K453" i="2"/>
  <c r="L453" i="2" s="1"/>
  <c r="K454" i="2"/>
  <c r="L454" i="2" s="1"/>
  <c r="K455" i="2"/>
  <c r="L455" i="2" s="1"/>
  <c r="K456" i="2"/>
  <c r="L456" i="2" s="1"/>
  <c r="K457" i="2"/>
  <c r="L457" i="2" s="1"/>
  <c r="K458" i="2"/>
  <c r="L458" i="2" s="1"/>
  <c r="K459" i="2"/>
  <c r="L459" i="2" s="1"/>
  <c r="K460" i="2"/>
  <c r="L460" i="2" s="1"/>
  <c r="K461" i="2"/>
  <c r="L461" i="2" s="1"/>
  <c r="K462" i="2"/>
  <c r="L462" i="2" s="1"/>
  <c r="K463" i="2"/>
  <c r="L463" i="2" s="1"/>
  <c r="K464" i="2"/>
  <c r="L464" i="2" s="1"/>
  <c r="K465" i="2"/>
  <c r="L465" i="2" s="1"/>
  <c r="K466" i="2"/>
  <c r="L466" i="2" s="1"/>
  <c r="K467" i="2"/>
  <c r="L467" i="2" s="1"/>
  <c r="K468" i="2"/>
  <c r="L468" i="2" s="1"/>
  <c r="K469" i="2"/>
  <c r="L469" i="2" s="1"/>
  <c r="K470" i="2"/>
  <c r="L470" i="2" s="1"/>
  <c r="K471" i="2"/>
  <c r="L471" i="2" s="1"/>
  <c r="K472" i="2"/>
  <c r="L472" i="2" s="1"/>
  <c r="K473" i="2"/>
  <c r="L473" i="2" s="1"/>
  <c r="K474" i="2"/>
  <c r="L474" i="2" s="1"/>
  <c r="K475" i="2"/>
  <c r="L475" i="2" s="1"/>
  <c r="K476" i="2"/>
  <c r="L476" i="2" s="1"/>
  <c r="K477" i="2"/>
  <c r="L477" i="2" s="1"/>
  <c r="K478" i="2"/>
  <c r="L478" i="2" s="1"/>
  <c r="K479" i="2"/>
  <c r="L479" i="2" s="1"/>
  <c r="K480" i="2"/>
  <c r="L480" i="2" s="1"/>
  <c r="K481" i="2"/>
  <c r="L481" i="2" s="1"/>
  <c r="K482" i="2"/>
  <c r="L482" i="2" s="1"/>
  <c r="K483" i="2"/>
  <c r="L483" i="2" s="1"/>
  <c r="K484" i="2"/>
  <c r="L484" i="2" s="1"/>
  <c r="K485" i="2"/>
  <c r="L485" i="2" s="1"/>
  <c r="K486" i="2"/>
  <c r="L486" i="2" s="1"/>
  <c r="K487" i="2"/>
  <c r="L487" i="2" s="1"/>
  <c r="K488" i="2"/>
  <c r="L488" i="2" s="1"/>
  <c r="K489" i="2"/>
  <c r="L489" i="2" s="1"/>
  <c r="K490" i="2"/>
  <c r="L490" i="2" s="1"/>
  <c r="K491" i="2"/>
  <c r="L491" i="2" s="1"/>
  <c r="K492" i="2"/>
  <c r="L492" i="2" s="1"/>
  <c r="K493" i="2"/>
  <c r="L493" i="2" s="1"/>
  <c r="K494" i="2"/>
  <c r="L494" i="2" s="1"/>
  <c r="K495" i="2"/>
  <c r="L495" i="2" s="1"/>
  <c r="K496" i="2"/>
  <c r="L496" i="2" s="1"/>
  <c r="K497" i="2"/>
  <c r="L497" i="2" s="1"/>
  <c r="K498" i="2"/>
  <c r="L498" i="2" s="1"/>
  <c r="K499" i="2"/>
  <c r="L499" i="2" s="1"/>
  <c r="K500" i="2"/>
  <c r="L500" i="2" s="1"/>
  <c r="K501" i="2"/>
  <c r="L501" i="2" s="1"/>
  <c r="K502" i="2"/>
  <c r="L502" i="2" s="1"/>
  <c r="K503" i="2"/>
  <c r="L503" i="2" s="1"/>
  <c r="K504" i="2"/>
  <c r="L504" i="2" s="1"/>
  <c r="K505" i="2"/>
  <c r="L505" i="2" s="1"/>
  <c r="K506" i="2"/>
  <c r="L506" i="2" s="1"/>
  <c r="K507" i="2"/>
  <c r="L507" i="2" s="1"/>
  <c r="K508" i="2"/>
  <c r="L508" i="2" s="1"/>
  <c r="K509" i="2"/>
  <c r="L509" i="2" s="1"/>
  <c r="K510" i="2"/>
  <c r="L510" i="2" s="1"/>
  <c r="K511" i="2"/>
  <c r="L511" i="2" s="1"/>
  <c r="K512" i="2"/>
  <c r="L512" i="2" s="1"/>
  <c r="K513" i="2"/>
  <c r="L513" i="2" s="1"/>
  <c r="K514" i="2"/>
  <c r="L514" i="2" s="1"/>
  <c r="K515" i="2"/>
  <c r="L515" i="2" s="1"/>
  <c r="K516" i="2"/>
  <c r="L516" i="2" s="1"/>
  <c r="K517" i="2"/>
  <c r="L517" i="2" s="1"/>
  <c r="K518" i="2"/>
  <c r="L518" i="2" s="1"/>
  <c r="K519" i="2"/>
  <c r="L519" i="2" s="1"/>
  <c r="K520" i="2"/>
  <c r="L520" i="2" s="1"/>
  <c r="K521" i="2"/>
  <c r="L521" i="2" s="1"/>
  <c r="K522" i="2"/>
  <c r="L522" i="2" s="1"/>
  <c r="K523" i="2"/>
  <c r="L523" i="2" s="1"/>
  <c r="K524" i="2"/>
  <c r="L524" i="2" s="1"/>
  <c r="K525" i="2"/>
  <c r="L525" i="2" s="1"/>
  <c r="K526" i="2"/>
  <c r="L526" i="2" s="1"/>
  <c r="K527" i="2"/>
  <c r="L527" i="2" s="1"/>
  <c r="K528" i="2"/>
  <c r="L528" i="2" s="1"/>
  <c r="K529" i="2"/>
  <c r="L529" i="2" s="1"/>
  <c r="K530" i="2"/>
  <c r="L530" i="2" s="1"/>
  <c r="K531" i="2"/>
  <c r="L531" i="2" s="1"/>
  <c r="K532" i="2"/>
  <c r="L532" i="2" s="1"/>
  <c r="K533" i="2"/>
  <c r="L533" i="2" s="1"/>
  <c r="K534" i="2"/>
  <c r="L534" i="2" s="1"/>
  <c r="K535" i="2"/>
  <c r="L535" i="2" s="1"/>
  <c r="K536" i="2"/>
  <c r="L536" i="2" s="1"/>
  <c r="K537" i="2"/>
  <c r="L537" i="2" s="1"/>
  <c r="K538" i="2"/>
  <c r="L538" i="2" s="1"/>
  <c r="K539" i="2"/>
  <c r="L539" i="2" s="1"/>
  <c r="K540" i="2"/>
  <c r="L540" i="2" s="1"/>
  <c r="K541" i="2"/>
  <c r="L541" i="2" s="1"/>
  <c r="K542" i="2"/>
  <c r="L542" i="2" s="1"/>
  <c r="K543" i="2"/>
  <c r="L543" i="2" s="1"/>
  <c r="K544" i="2"/>
  <c r="L544" i="2" s="1"/>
  <c r="K545" i="2"/>
  <c r="L545" i="2" s="1"/>
  <c r="K546" i="2"/>
  <c r="L546" i="2" s="1"/>
  <c r="K547" i="2"/>
  <c r="L547" i="2" s="1"/>
  <c r="K548" i="2"/>
  <c r="L548" i="2" s="1"/>
  <c r="K549" i="2"/>
  <c r="L549" i="2" s="1"/>
  <c r="K550" i="2"/>
  <c r="L550" i="2" s="1"/>
  <c r="K551" i="2"/>
  <c r="L551" i="2" s="1"/>
  <c r="K552" i="2"/>
  <c r="L552" i="2" s="1"/>
  <c r="K553" i="2"/>
  <c r="L553" i="2" s="1"/>
  <c r="K554" i="2"/>
  <c r="L554" i="2" s="1"/>
  <c r="K555" i="2"/>
  <c r="L555" i="2" s="1"/>
  <c r="K556" i="2"/>
  <c r="L556" i="2" s="1"/>
  <c r="K557" i="2"/>
  <c r="L557" i="2" s="1"/>
  <c r="K558" i="2"/>
  <c r="L558" i="2" s="1"/>
  <c r="K559" i="2"/>
  <c r="L559" i="2" s="1"/>
  <c r="K560" i="2"/>
  <c r="L560" i="2" s="1"/>
  <c r="K561" i="2"/>
  <c r="L561" i="2" s="1"/>
  <c r="K562" i="2"/>
  <c r="L562" i="2" s="1"/>
  <c r="K563" i="2"/>
  <c r="L563" i="2" s="1"/>
  <c r="K564" i="2"/>
  <c r="L564" i="2" s="1"/>
  <c r="K565" i="2"/>
  <c r="L565" i="2" s="1"/>
  <c r="K566" i="2"/>
  <c r="L566" i="2" s="1"/>
  <c r="K567" i="2"/>
  <c r="L567" i="2" s="1"/>
  <c r="K568" i="2"/>
  <c r="L568" i="2" s="1"/>
  <c r="K569" i="2"/>
  <c r="L569" i="2" s="1"/>
  <c r="K570" i="2"/>
  <c r="L570" i="2" s="1"/>
  <c r="K571" i="2"/>
  <c r="L571" i="2" s="1"/>
  <c r="K572" i="2"/>
  <c r="L572" i="2" s="1"/>
  <c r="K573" i="2"/>
  <c r="L573" i="2" s="1"/>
  <c r="K574" i="2"/>
  <c r="L574" i="2" s="1"/>
  <c r="K575" i="2"/>
  <c r="L575" i="2" s="1"/>
  <c r="K576" i="2"/>
  <c r="L576" i="2" s="1"/>
  <c r="K577" i="2"/>
  <c r="L577" i="2" s="1"/>
  <c r="K578" i="2"/>
  <c r="L578" i="2" s="1"/>
  <c r="K579" i="2"/>
  <c r="L579" i="2" s="1"/>
  <c r="K580" i="2"/>
  <c r="L580" i="2" s="1"/>
  <c r="K581" i="2"/>
  <c r="L581" i="2" s="1"/>
  <c r="K582" i="2"/>
  <c r="L582" i="2" s="1"/>
  <c r="K583" i="2"/>
  <c r="L583" i="2" s="1"/>
  <c r="K584" i="2"/>
  <c r="L584" i="2" s="1"/>
  <c r="K585" i="2"/>
  <c r="L585" i="2" s="1"/>
  <c r="K586" i="2"/>
  <c r="L586" i="2" s="1"/>
  <c r="K587" i="2"/>
  <c r="L587" i="2" s="1"/>
  <c r="K588" i="2"/>
  <c r="L588" i="2" s="1"/>
  <c r="K589" i="2"/>
  <c r="L589" i="2" s="1"/>
  <c r="K590" i="2"/>
  <c r="L590" i="2" s="1"/>
  <c r="K591" i="2"/>
  <c r="L591" i="2" s="1"/>
  <c r="K592" i="2"/>
  <c r="L592" i="2" s="1"/>
  <c r="K593" i="2"/>
  <c r="L593" i="2" s="1"/>
  <c r="K594" i="2"/>
  <c r="L594" i="2" s="1"/>
  <c r="K595" i="2"/>
  <c r="L595" i="2" s="1"/>
  <c r="K596" i="2"/>
  <c r="L596" i="2" s="1"/>
  <c r="K597" i="2"/>
  <c r="L597" i="2" s="1"/>
  <c r="K598" i="2"/>
  <c r="L598" i="2" s="1"/>
  <c r="K599" i="2"/>
  <c r="L599" i="2" s="1"/>
  <c r="K600" i="2"/>
  <c r="L600" i="2" s="1"/>
  <c r="K601" i="2"/>
  <c r="L601" i="2" s="1"/>
  <c r="K602" i="2"/>
  <c r="L602" i="2" s="1"/>
  <c r="K603" i="2"/>
  <c r="L603" i="2" s="1"/>
  <c r="K604" i="2"/>
  <c r="L604" i="2" s="1"/>
  <c r="K605" i="2"/>
  <c r="L605" i="2" s="1"/>
  <c r="K606" i="2"/>
  <c r="L606" i="2" s="1"/>
  <c r="K607" i="2"/>
  <c r="L607" i="2" s="1"/>
  <c r="K608" i="2"/>
  <c r="L608" i="2" s="1"/>
  <c r="K609" i="2"/>
  <c r="L609" i="2" s="1"/>
  <c r="K610" i="2"/>
  <c r="L610" i="2" s="1"/>
  <c r="K611" i="2"/>
  <c r="L611" i="2" s="1"/>
  <c r="K612" i="2"/>
  <c r="L612" i="2" s="1"/>
  <c r="K613" i="2"/>
  <c r="L613" i="2" s="1"/>
  <c r="K614" i="2"/>
  <c r="L614" i="2" s="1"/>
  <c r="K615" i="2"/>
  <c r="L615" i="2" s="1"/>
  <c r="K616" i="2"/>
  <c r="L616" i="2" s="1"/>
  <c r="K617" i="2"/>
  <c r="L617" i="2" s="1"/>
  <c r="K618" i="2"/>
  <c r="L618" i="2" s="1"/>
  <c r="K619" i="2"/>
  <c r="L619" i="2" s="1"/>
  <c r="K620" i="2"/>
  <c r="L620" i="2" s="1"/>
  <c r="K621" i="2"/>
  <c r="L621" i="2" s="1"/>
  <c r="K622" i="2"/>
  <c r="L622" i="2" s="1"/>
  <c r="K623" i="2"/>
  <c r="L623" i="2" s="1"/>
  <c r="K624" i="2"/>
  <c r="L624" i="2" s="1"/>
  <c r="K625" i="2"/>
  <c r="L625" i="2" s="1"/>
  <c r="K626" i="2"/>
  <c r="L626" i="2" s="1"/>
  <c r="K627" i="2"/>
  <c r="L627" i="2" s="1"/>
  <c r="K628" i="2"/>
  <c r="L628" i="2" s="1"/>
  <c r="K629" i="2"/>
  <c r="L629" i="2" s="1"/>
  <c r="K630" i="2"/>
  <c r="L630" i="2" s="1"/>
  <c r="K631" i="2"/>
  <c r="L631" i="2" s="1"/>
  <c r="K632" i="2"/>
  <c r="L632" i="2" s="1"/>
  <c r="K633" i="2"/>
  <c r="L633" i="2" s="1"/>
  <c r="K634" i="2"/>
  <c r="L634" i="2" s="1"/>
  <c r="K635" i="2"/>
  <c r="L635" i="2" s="1"/>
  <c r="K636" i="2"/>
  <c r="L636" i="2" s="1"/>
  <c r="K637" i="2"/>
  <c r="L637" i="2" s="1"/>
  <c r="K638" i="2"/>
  <c r="L638" i="2" s="1"/>
  <c r="K639" i="2"/>
  <c r="L639" i="2" s="1"/>
  <c r="K640" i="2"/>
  <c r="L640" i="2" s="1"/>
  <c r="K641" i="2"/>
  <c r="L641" i="2" s="1"/>
  <c r="K642" i="2"/>
  <c r="L642" i="2" s="1"/>
  <c r="K643" i="2"/>
  <c r="L643" i="2" s="1"/>
  <c r="K644" i="2"/>
  <c r="L644" i="2" s="1"/>
  <c r="K645" i="2"/>
  <c r="L645" i="2" s="1"/>
  <c r="K646" i="2"/>
  <c r="L646" i="2" s="1"/>
  <c r="K647" i="2"/>
  <c r="L647" i="2" s="1"/>
  <c r="K648" i="2"/>
  <c r="L648" i="2" s="1"/>
  <c r="K649" i="2"/>
  <c r="L649" i="2" s="1"/>
  <c r="K650" i="2"/>
  <c r="L650" i="2" s="1"/>
  <c r="K651" i="2"/>
  <c r="L651" i="2" s="1"/>
  <c r="K652" i="2"/>
  <c r="L652" i="2" s="1"/>
  <c r="K653" i="2"/>
  <c r="L653" i="2" s="1"/>
  <c r="K654" i="2"/>
  <c r="L654" i="2" s="1"/>
  <c r="K655" i="2"/>
  <c r="L655" i="2" s="1"/>
  <c r="K656" i="2"/>
  <c r="L656" i="2" s="1"/>
  <c r="K657" i="2"/>
  <c r="L657" i="2" s="1"/>
  <c r="K658" i="2"/>
  <c r="L658" i="2" s="1"/>
  <c r="K659" i="2"/>
  <c r="L659" i="2" s="1"/>
  <c r="K660" i="2"/>
  <c r="L660" i="2" s="1"/>
  <c r="K661" i="2"/>
  <c r="L661" i="2" s="1"/>
  <c r="K662" i="2"/>
  <c r="L662" i="2" s="1"/>
  <c r="K663" i="2"/>
  <c r="L663" i="2" s="1"/>
  <c r="K664" i="2"/>
  <c r="L664" i="2" s="1"/>
  <c r="K665" i="2"/>
  <c r="L665" i="2" s="1"/>
  <c r="K666" i="2"/>
  <c r="L666" i="2" s="1"/>
  <c r="K667" i="2"/>
  <c r="L667" i="2" s="1"/>
  <c r="K668" i="2"/>
  <c r="L668" i="2" s="1"/>
  <c r="K669" i="2"/>
  <c r="L669" i="2" s="1"/>
  <c r="K670" i="2"/>
  <c r="L670" i="2" s="1"/>
  <c r="K671" i="2"/>
  <c r="L671" i="2" s="1"/>
  <c r="K672" i="2"/>
  <c r="L672" i="2" s="1"/>
  <c r="K673" i="2"/>
  <c r="L673" i="2" s="1"/>
  <c r="K674" i="2"/>
  <c r="L674" i="2" s="1"/>
  <c r="K675" i="2"/>
  <c r="L675" i="2" s="1"/>
  <c r="K676" i="2"/>
  <c r="L676" i="2" s="1"/>
  <c r="K677" i="2"/>
  <c r="L677" i="2" s="1"/>
  <c r="K678" i="2"/>
  <c r="L678" i="2" s="1"/>
  <c r="K679" i="2"/>
  <c r="L679" i="2" s="1"/>
  <c r="K680" i="2"/>
  <c r="L680" i="2" s="1"/>
  <c r="K681" i="2"/>
  <c r="L681" i="2" s="1"/>
  <c r="K682" i="2"/>
  <c r="L682" i="2" s="1"/>
  <c r="K683" i="2"/>
  <c r="L683" i="2" s="1"/>
  <c r="K684" i="2"/>
  <c r="L684" i="2" s="1"/>
  <c r="K685" i="2"/>
  <c r="L685" i="2" s="1"/>
  <c r="K686" i="2"/>
  <c r="L686" i="2" s="1"/>
  <c r="K687" i="2"/>
  <c r="L687" i="2" s="1"/>
  <c r="K688" i="2"/>
  <c r="L688" i="2" s="1"/>
  <c r="K689" i="2"/>
  <c r="L689" i="2" s="1"/>
  <c r="K690" i="2"/>
  <c r="L690" i="2" s="1"/>
  <c r="K691" i="2"/>
  <c r="L691" i="2" s="1"/>
  <c r="K692" i="2"/>
  <c r="L692" i="2" s="1"/>
  <c r="K693" i="2"/>
  <c r="L693" i="2" s="1"/>
  <c r="K694" i="2"/>
  <c r="L694" i="2" s="1"/>
  <c r="K695" i="2"/>
  <c r="L695" i="2" s="1"/>
  <c r="K696" i="2"/>
  <c r="L696" i="2" s="1"/>
  <c r="K697" i="2"/>
  <c r="L697" i="2" s="1"/>
  <c r="K698" i="2"/>
  <c r="L698" i="2" s="1"/>
  <c r="K699" i="2"/>
  <c r="L699" i="2" s="1"/>
  <c r="K700" i="2"/>
  <c r="L700" i="2" s="1"/>
  <c r="K701" i="2"/>
  <c r="L701" i="2" s="1"/>
  <c r="K702" i="2"/>
  <c r="L702" i="2" s="1"/>
  <c r="K703" i="2"/>
  <c r="L703" i="2" s="1"/>
  <c r="K704" i="2"/>
  <c r="L704" i="2" s="1"/>
  <c r="K705" i="2"/>
  <c r="L705" i="2" s="1"/>
  <c r="K706" i="2"/>
  <c r="L706" i="2" s="1"/>
  <c r="K707" i="2"/>
  <c r="L707" i="2" s="1"/>
  <c r="K708" i="2"/>
  <c r="L708" i="2" s="1"/>
  <c r="K709" i="2"/>
  <c r="L709" i="2" s="1"/>
  <c r="K710" i="2"/>
  <c r="L710" i="2" s="1"/>
  <c r="K711" i="2"/>
  <c r="L711" i="2" s="1"/>
  <c r="K712" i="2"/>
  <c r="L712" i="2" s="1"/>
  <c r="K713" i="2"/>
  <c r="L713" i="2" s="1"/>
  <c r="K714" i="2"/>
  <c r="L714" i="2" s="1"/>
  <c r="K715" i="2"/>
  <c r="L715" i="2" s="1"/>
  <c r="K716" i="2"/>
  <c r="L716" i="2" s="1"/>
  <c r="K717" i="2"/>
  <c r="L717" i="2" s="1"/>
  <c r="K718" i="2"/>
  <c r="L718" i="2" s="1"/>
  <c r="K719" i="2"/>
  <c r="L719" i="2" s="1"/>
  <c r="K720" i="2"/>
  <c r="L720" i="2" s="1"/>
  <c r="K721" i="2"/>
  <c r="L721" i="2" s="1"/>
  <c r="K722" i="2"/>
  <c r="L722" i="2" s="1"/>
  <c r="K723" i="2"/>
  <c r="L723" i="2" s="1"/>
  <c r="K724" i="2"/>
  <c r="L724" i="2" s="1"/>
  <c r="K725" i="2"/>
  <c r="L725" i="2" s="1"/>
  <c r="K726" i="2"/>
  <c r="L726" i="2" s="1"/>
  <c r="K727" i="2"/>
  <c r="L727" i="2" s="1"/>
  <c r="K728" i="2"/>
  <c r="L728" i="2" s="1"/>
  <c r="K729" i="2"/>
  <c r="L729" i="2" s="1"/>
  <c r="K730" i="2"/>
  <c r="L730" i="2" s="1"/>
  <c r="K731" i="2"/>
  <c r="L731" i="2" s="1"/>
  <c r="K732" i="2"/>
  <c r="L732" i="2" s="1"/>
  <c r="K733" i="2"/>
  <c r="L733" i="2" s="1"/>
  <c r="K734" i="2"/>
  <c r="L734" i="2" s="1"/>
  <c r="K735" i="2"/>
  <c r="L735" i="2" s="1"/>
  <c r="K736" i="2"/>
  <c r="L736" i="2" s="1"/>
  <c r="K737" i="2"/>
  <c r="L737" i="2" s="1"/>
  <c r="K738" i="2"/>
  <c r="L738" i="2" s="1"/>
  <c r="K739" i="2"/>
  <c r="L739" i="2" s="1"/>
  <c r="K740" i="2"/>
  <c r="L740" i="2" s="1"/>
  <c r="K741" i="2"/>
  <c r="L741" i="2" s="1"/>
  <c r="K742" i="2"/>
  <c r="L742" i="2" s="1"/>
  <c r="K743" i="2"/>
  <c r="L743" i="2" s="1"/>
  <c r="K744" i="2"/>
  <c r="L744" i="2" s="1"/>
  <c r="K745" i="2"/>
  <c r="L745" i="2" s="1"/>
  <c r="K746" i="2"/>
  <c r="L746" i="2" s="1"/>
  <c r="K747" i="2"/>
  <c r="L747" i="2" s="1"/>
  <c r="K748" i="2"/>
  <c r="L748" i="2" s="1"/>
  <c r="K749" i="2"/>
  <c r="L749" i="2" s="1"/>
  <c r="K750" i="2"/>
  <c r="L750" i="2" s="1"/>
  <c r="K751" i="2"/>
  <c r="L751" i="2" s="1"/>
  <c r="K752" i="2"/>
  <c r="L752" i="2" s="1"/>
  <c r="K753" i="2"/>
  <c r="L753" i="2" s="1"/>
  <c r="K754" i="2"/>
  <c r="L754" i="2" s="1"/>
  <c r="K755" i="2"/>
  <c r="L755" i="2" s="1"/>
  <c r="K756" i="2"/>
  <c r="L756" i="2" s="1"/>
  <c r="K757" i="2"/>
  <c r="L757" i="2" s="1"/>
  <c r="K758" i="2"/>
  <c r="L758" i="2" s="1"/>
  <c r="K759" i="2"/>
  <c r="L759" i="2" s="1"/>
  <c r="K760" i="2"/>
  <c r="L760" i="2" s="1"/>
  <c r="K761" i="2"/>
  <c r="L761" i="2" s="1"/>
  <c r="K762" i="2"/>
  <c r="L762" i="2" s="1"/>
  <c r="K763" i="2"/>
  <c r="L763" i="2" s="1"/>
  <c r="K764" i="2"/>
  <c r="L764" i="2" s="1"/>
  <c r="K765" i="2"/>
  <c r="L765" i="2" s="1"/>
  <c r="K766" i="2"/>
  <c r="L766" i="2" s="1"/>
  <c r="K767" i="2"/>
  <c r="L767" i="2" s="1"/>
  <c r="K768" i="2"/>
  <c r="L768" i="2" s="1"/>
  <c r="K769" i="2"/>
  <c r="L769" i="2" s="1"/>
  <c r="K770" i="2"/>
  <c r="L770" i="2" s="1"/>
  <c r="K771" i="2"/>
  <c r="L771" i="2" s="1"/>
  <c r="K772" i="2"/>
  <c r="L772" i="2" s="1"/>
  <c r="K773" i="2"/>
  <c r="L773" i="2" s="1"/>
  <c r="K774" i="2"/>
  <c r="L774" i="2" s="1"/>
  <c r="K775" i="2"/>
  <c r="L775" i="2" s="1"/>
  <c r="K776" i="2"/>
  <c r="L776" i="2" s="1"/>
  <c r="K777" i="2"/>
  <c r="L777" i="2" s="1"/>
  <c r="K778" i="2"/>
  <c r="L778" i="2" s="1"/>
  <c r="K779" i="2"/>
  <c r="L779" i="2" s="1"/>
  <c r="K780" i="2"/>
  <c r="L780" i="2" s="1"/>
  <c r="K781" i="2"/>
  <c r="L781" i="2" s="1"/>
  <c r="K782" i="2"/>
  <c r="L782" i="2" s="1"/>
  <c r="K783" i="2"/>
  <c r="L783" i="2" s="1"/>
  <c r="K784" i="2"/>
  <c r="L784" i="2" s="1"/>
  <c r="K785" i="2"/>
  <c r="L785" i="2" s="1"/>
  <c r="K786" i="2"/>
  <c r="L786" i="2" s="1"/>
  <c r="K787" i="2"/>
  <c r="L787" i="2" s="1"/>
  <c r="K788" i="2"/>
  <c r="L788" i="2" s="1"/>
  <c r="K789" i="2"/>
  <c r="L789" i="2" s="1"/>
  <c r="K790" i="2"/>
  <c r="L790" i="2" s="1"/>
  <c r="K791" i="2"/>
  <c r="L791" i="2" s="1"/>
  <c r="K792" i="2"/>
  <c r="L792" i="2" s="1"/>
  <c r="K793" i="2"/>
  <c r="L793" i="2" s="1"/>
  <c r="K794" i="2"/>
  <c r="L794" i="2" s="1"/>
  <c r="K795" i="2"/>
  <c r="L795" i="2" s="1"/>
  <c r="K796" i="2"/>
  <c r="L796" i="2" s="1"/>
  <c r="K797" i="2"/>
  <c r="L797" i="2" s="1"/>
  <c r="K798" i="2"/>
  <c r="L798" i="2" s="1"/>
  <c r="K799" i="2"/>
  <c r="L799" i="2" s="1"/>
  <c r="K800" i="2"/>
  <c r="L800" i="2" s="1"/>
  <c r="K801" i="2"/>
  <c r="L801" i="2" s="1"/>
  <c r="K802" i="2"/>
  <c r="L802" i="2" s="1"/>
  <c r="K803" i="2"/>
  <c r="L803" i="2" s="1"/>
  <c r="K804" i="2"/>
  <c r="L804" i="2" s="1"/>
  <c r="K805" i="2"/>
  <c r="L805" i="2" s="1"/>
  <c r="K806" i="2"/>
  <c r="L806" i="2" s="1"/>
  <c r="K807" i="2"/>
  <c r="L807" i="2" s="1"/>
  <c r="K808" i="2"/>
  <c r="L808" i="2" s="1"/>
  <c r="K809" i="2"/>
  <c r="L809" i="2" s="1"/>
  <c r="K810" i="2"/>
  <c r="L810" i="2" s="1"/>
  <c r="K811" i="2"/>
  <c r="L811" i="2" s="1"/>
  <c r="K812" i="2"/>
  <c r="L812" i="2" s="1"/>
  <c r="K813" i="2"/>
  <c r="L813" i="2" s="1"/>
  <c r="K814" i="2"/>
  <c r="L814" i="2" s="1"/>
  <c r="K815" i="2"/>
  <c r="L815" i="2" s="1"/>
  <c r="K816" i="2"/>
  <c r="L816" i="2" s="1"/>
  <c r="K817" i="2"/>
  <c r="L817" i="2" s="1"/>
  <c r="K818" i="2"/>
  <c r="L818" i="2" s="1"/>
  <c r="K819" i="2"/>
  <c r="L819" i="2" s="1"/>
  <c r="K820" i="2"/>
  <c r="L820" i="2" s="1"/>
  <c r="K821" i="2"/>
  <c r="L821" i="2" s="1"/>
  <c r="K822" i="2"/>
  <c r="L822" i="2" s="1"/>
  <c r="K823" i="2"/>
  <c r="L823" i="2" s="1"/>
  <c r="K824" i="2"/>
  <c r="L824" i="2" s="1"/>
  <c r="K825" i="2"/>
  <c r="L825" i="2" s="1"/>
  <c r="K826" i="2"/>
  <c r="L826" i="2" s="1"/>
  <c r="K827" i="2"/>
  <c r="L827" i="2" s="1"/>
  <c r="K828" i="2"/>
  <c r="L828" i="2" s="1"/>
  <c r="K829" i="2"/>
  <c r="L829" i="2" s="1"/>
  <c r="K830" i="2"/>
  <c r="L830" i="2" s="1"/>
  <c r="K831" i="2"/>
  <c r="L831" i="2" s="1"/>
  <c r="K832" i="2"/>
  <c r="L832" i="2" s="1"/>
  <c r="K833" i="2"/>
  <c r="L833" i="2" s="1"/>
  <c r="K834" i="2"/>
  <c r="L834" i="2" s="1"/>
  <c r="K835" i="2"/>
  <c r="L835" i="2" s="1"/>
  <c r="K836" i="2"/>
  <c r="L836" i="2" s="1"/>
  <c r="K837" i="2"/>
  <c r="L837" i="2" s="1"/>
  <c r="K838" i="2"/>
  <c r="L838" i="2" s="1"/>
  <c r="K839" i="2"/>
  <c r="L839" i="2" s="1"/>
  <c r="K840" i="2"/>
  <c r="L840" i="2" s="1"/>
  <c r="K841" i="2"/>
  <c r="L841" i="2" s="1"/>
  <c r="K842" i="2"/>
  <c r="L842" i="2" s="1"/>
  <c r="K843" i="2"/>
  <c r="L843" i="2" s="1"/>
  <c r="K844" i="2"/>
  <c r="L844" i="2" s="1"/>
  <c r="K845" i="2"/>
  <c r="L845" i="2" s="1"/>
  <c r="K846" i="2"/>
  <c r="L846" i="2" s="1"/>
  <c r="K847" i="2"/>
  <c r="L847" i="2" s="1"/>
  <c r="K848" i="2"/>
  <c r="L848" i="2" s="1"/>
  <c r="K849" i="2"/>
  <c r="L849" i="2" s="1"/>
  <c r="K850" i="2"/>
  <c r="L850" i="2" s="1"/>
  <c r="K851" i="2"/>
  <c r="L851" i="2" s="1"/>
  <c r="K852" i="2"/>
  <c r="L852" i="2" s="1"/>
  <c r="K853" i="2"/>
  <c r="L853" i="2" s="1"/>
  <c r="K854" i="2"/>
  <c r="L854" i="2" s="1"/>
  <c r="K855" i="2"/>
  <c r="L855" i="2" s="1"/>
  <c r="K856" i="2"/>
  <c r="L856" i="2" s="1"/>
  <c r="K857" i="2"/>
  <c r="L857" i="2" s="1"/>
  <c r="K858" i="2"/>
  <c r="L858" i="2" s="1"/>
  <c r="K859" i="2"/>
  <c r="L859" i="2" s="1"/>
  <c r="K860" i="2"/>
  <c r="L860" i="2" s="1"/>
  <c r="K861" i="2"/>
  <c r="L861" i="2" s="1"/>
  <c r="K862" i="2"/>
  <c r="L862" i="2" s="1"/>
  <c r="K863" i="2"/>
  <c r="L863" i="2" s="1"/>
  <c r="K864" i="2"/>
  <c r="L864" i="2" s="1"/>
  <c r="K865" i="2"/>
  <c r="L865" i="2" s="1"/>
  <c r="K866" i="2"/>
  <c r="L866" i="2" s="1"/>
  <c r="K867" i="2"/>
  <c r="L867" i="2" s="1"/>
  <c r="K868" i="2"/>
  <c r="L868" i="2" s="1"/>
  <c r="K869" i="2"/>
  <c r="L869" i="2" s="1"/>
  <c r="K870" i="2"/>
  <c r="L870" i="2" s="1"/>
  <c r="K871" i="2"/>
  <c r="L871" i="2" s="1"/>
  <c r="K872" i="2"/>
  <c r="L872" i="2" s="1"/>
  <c r="K873" i="2"/>
  <c r="L873" i="2" s="1"/>
  <c r="K874" i="2"/>
  <c r="L874" i="2" s="1"/>
  <c r="K875" i="2"/>
  <c r="L875" i="2" s="1"/>
  <c r="K876" i="2"/>
  <c r="L876" i="2" s="1"/>
  <c r="K877" i="2"/>
  <c r="L877" i="2" s="1"/>
  <c r="K878" i="2"/>
  <c r="L878" i="2" s="1"/>
  <c r="K879" i="2"/>
  <c r="L879" i="2" s="1"/>
  <c r="K880" i="2"/>
  <c r="L880" i="2" s="1"/>
  <c r="K881" i="2"/>
  <c r="L881" i="2" s="1"/>
  <c r="K882" i="2"/>
  <c r="L882" i="2" s="1"/>
  <c r="K883" i="2"/>
  <c r="L883" i="2" s="1"/>
  <c r="K884" i="2"/>
  <c r="L884" i="2" s="1"/>
  <c r="K885" i="2"/>
  <c r="L885" i="2" s="1"/>
  <c r="K886" i="2"/>
  <c r="L886" i="2" s="1"/>
  <c r="K887" i="2"/>
  <c r="L887" i="2" s="1"/>
  <c r="K888" i="2"/>
  <c r="L888" i="2" s="1"/>
  <c r="K889" i="2"/>
  <c r="L889" i="2" s="1"/>
  <c r="K890" i="2"/>
  <c r="L890" i="2" s="1"/>
  <c r="K891" i="2"/>
  <c r="L891" i="2" s="1"/>
  <c r="K892" i="2"/>
  <c r="L892" i="2" s="1"/>
  <c r="K893" i="2"/>
  <c r="L893" i="2" s="1"/>
  <c r="K894" i="2"/>
  <c r="L894" i="2" s="1"/>
  <c r="K895" i="2"/>
  <c r="L895" i="2" s="1"/>
  <c r="K896" i="2"/>
  <c r="L896" i="2" s="1"/>
  <c r="K897" i="2"/>
  <c r="L897" i="2" s="1"/>
  <c r="K898" i="2"/>
  <c r="L898" i="2" s="1"/>
  <c r="K899" i="2"/>
  <c r="L899" i="2" s="1"/>
  <c r="K900" i="2"/>
  <c r="L900" i="2" s="1"/>
  <c r="K901" i="2"/>
  <c r="L901" i="2" s="1"/>
  <c r="K902" i="2"/>
  <c r="L902" i="2" s="1"/>
  <c r="K903" i="2"/>
  <c r="L903" i="2" s="1"/>
  <c r="K904" i="2"/>
  <c r="L904" i="2" s="1"/>
  <c r="K905" i="2"/>
  <c r="L905" i="2" s="1"/>
  <c r="K906" i="2"/>
  <c r="L906" i="2" s="1"/>
  <c r="K907" i="2"/>
  <c r="L907" i="2" s="1"/>
  <c r="K908" i="2"/>
  <c r="L908" i="2" s="1"/>
  <c r="K909" i="2"/>
  <c r="L909" i="2" s="1"/>
  <c r="K910" i="2"/>
  <c r="L910" i="2" s="1"/>
  <c r="K911" i="2"/>
  <c r="L911" i="2" s="1"/>
  <c r="K912" i="2"/>
  <c r="L912" i="2" s="1"/>
  <c r="K913" i="2"/>
  <c r="L913" i="2" s="1"/>
  <c r="K914" i="2"/>
  <c r="L914" i="2" s="1"/>
  <c r="K915" i="2"/>
  <c r="L915" i="2" s="1"/>
  <c r="K916" i="2"/>
  <c r="L916" i="2" s="1"/>
  <c r="K917" i="2"/>
  <c r="L917" i="2" s="1"/>
  <c r="K918" i="2"/>
  <c r="L918" i="2" s="1"/>
  <c r="K919" i="2"/>
  <c r="L919" i="2" s="1"/>
  <c r="K920" i="2"/>
  <c r="L920" i="2" s="1"/>
  <c r="K921" i="2"/>
  <c r="L921" i="2" s="1"/>
  <c r="K922" i="2"/>
  <c r="L922" i="2" s="1"/>
  <c r="K923" i="2"/>
  <c r="L923" i="2" s="1"/>
  <c r="K924" i="2"/>
  <c r="L924" i="2" s="1"/>
  <c r="K925" i="2"/>
  <c r="L925" i="2" s="1"/>
  <c r="K926" i="2"/>
  <c r="L926" i="2" s="1"/>
  <c r="K927" i="2"/>
  <c r="L927" i="2" s="1"/>
  <c r="K928" i="2"/>
  <c r="L928" i="2" s="1"/>
  <c r="K929" i="2"/>
  <c r="L929" i="2" s="1"/>
  <c r="K930" i="2"/>
  <c r="L930" i="2" s="1"/>
  <c r="K931" i="2"/>
  <c r="L931" i="2" s="1"/>
  <c r="K932" i="2"/>
  <c r="L932" i="2" s="1"/>
  <c r="K933" i="2"/>
  <c r="L933" i="2" s="1"/>
  <c r="K934" i="2"/>
  <c r="L934" i="2" s="1"/>
  <c r="K935" i="2"/>
  <c r="L935" i="2" s="1"/>
  <c r="K936" i="2"/>
  <c r="L936" i="2" s="1"/>
  <c r="K937" i="2"/>
  <c r="L937" i="2" s="1"/>
  <c r="K938" i="2"/>
  <c r="L938" i="2" s="1"/>
  <c r="K939" i="2"/>
  <c r="L939" i="2" s="1"/>
  <c r="K940" i="2"/>
  <c r="L940" i="2" s="1"/>
  <c r="K941" i="2"/>
  <c r="L941" i="2" s="1"/>
  <c r="K942" i="2"/>
  <c r="L942" i="2" s="1"/>
  <c r="K943" i="2"/>
  <c r="L943" i="2" s="1"/>
  <c r="K944" i="2"/>
  <c r="L944" i="2" s="1"/>
  <c r="K945" i="2"/>
  <c r="L945" i="2" s="1"/>
  <c r="K946" i="2"/>
  <c r="L946" i="2" s="1"/>
  <c r="K947" i="2"/>
  <c r="L947" i="2" s="1"/>
  <c r="K948" i="2"/>
  <c r="L948" i="2" s="1"/>
  <c r="K949" i="2"/>
  <c r="L949" i="2" s="1"/>
  <c r="K950" i="2"/>
  <c r="L950" i="2" s="1"/>
  <c r="K951" i="2"/>
  <c r="L951" i="2" s="1"/>
  <c r="K952" i="2"/>
  <c r="L952" i="2" s="1"/>
  <c r="K953" i="2"/>
  <c r="L953" i="2" s="1"/>
  <c r="K954" i="2"/>
  <c r="L954" i="2" s="1"/>
  <c r="K955" i="2"/>
  <c r="L955" i="2" s="1"/>
  <c r="K956" i="2"/>
  <c r="L956" i="2" s="1"/>
  <c r="K957" i="2"/>
  <c r="L957" i="2" s="1"/>
  <c r="K958" i="2"/>
  <c r="L958" i="2" s="1"/>
  <c r="K959" i="2"/>
  <c r="L959" i="2" s="1"/>
  <c r="K960" i="2"/>
  <c r="L960" i="2" s="1"/>
  <c r="K961" i="2"/>
  <c r="L961" i="2" s="1"/>
  <c r="K962" i="2"/>
  <c r="L962" i="2" s="1"/>
  <c r="K963" i="2"/>
  <c r="L963" i="2" s="1"/>
  <c r="K964" i="2"/>
  <c r="L964" i="2" s="1"/>
  <c r="K965" i="2"/>
  <c r="L965" i="2" s="1"/>
  <c r="K966" i="2"/>
  <c r="L966" i="2" s="1"/>
  <c r="K967" i="2"/>
  <c r="L967" i="2" s="1"/>
  <c r="K968" i="2"/>
  <c r="L968" i="2" s="1"/>
  <c r="K969" i="2"/>
  <c r="L969" i="2" s="1"/>
  <c r="K970" i="2"/>
  <c r="L970" i="2" s="1"/>
  <c r="K971" i="2"/>
  <c r="L971" i="2" s="1"/>
  <c r="K972" i="2"/>
  <c r="L972" i="2" s="1"/>
  <c r="K973" i="2"/>
  <c r="L973" i="2" s="1"/>
  <c r="K974" i="2"/>
  <c r="L974" i="2" s="1"/>
  <c r="K975" i="2"/>
  <c r="L975" i="2" s="1"/>
  <c r="K976" i="2"/>
  <c r="L976" i="2" s="1"/>
  <c r="K977" i="2"/>
  <c r="L977" i="2" s="1"/>
  <c r="K978" i="2"/>
  <c r="L978" i="2" s="1"/>
  <c r="K979" i="2"/>
  <c r="L979" i="2" s="1"/>
  <c r="K980" i="2"/>
  <c r="L980" i="2" s="1"/>
  <c r="K981" i="2"/>
  <c r="L981" i="2" s="1"/>
  <c r="K982" i="2"/>
  <c r="L982" i="2" s="1"/>
  <c r="K983" i="2"/>
  <c r="L983" i="2" s="1"/>
  <c r="K984" i="2"/>
  <c r="L984" i="2" s="1"/>
  <c r="K985" i="2"/>
  <c r="L985" i="2" s="1"/>
  <c r="K986" i="2"/>
  <c r="L986" i="2" s="1"/>
  <c r="K987" i="2"/>
  <c r="L987" i="2" s="1"/>
  <c r="K988" i="2"/>
  <c r="L988" i="2" s="1"/>
  <c r="K989" i="2"/>
  <c r="L989" i="2" s="1"/>
  <c r="K990" i="2"/>
  <c r="L990" i="2" s="1"/>
  <c r="K991" i="2"/>
  <c r="L991" i="2" s="1"/>
  <c r="K992" i="2"/>
  <c r="L992" i="2" s="1"/>
  <c r="K993" i="2"/>
  <c r="L993" i="2" s="1"/>
  <c r="K994" i="2"/>
  <c r="L994" i="2" s="1"/>
  <c r="K995" i="2"/>
  <c r="L995" i="2" s="1"/>
  <c r="K996" i="2"/>
  <c r="L996" i="2" s="1"/>
  <c r="K997" i="2"/>
  <c r="L997" i="2" s="1"/>
  <c r="K998" i="2"/>
  <c r="L998" i="2" s="1"/>
  <c r="K999" i="2"/>
  <c r="K1000" i="2"/>
  <c r="L1000" i="2" s="1"/>
  <c r="K1001" i="2"/>
  <c r="L1001" i="2" s="1"/>
  <c r="K1002" i="2"/>
  <c r="L1002" i="2" s="1"/>
  <c r="K1003" i="2"/>
  <c r="L1003" i="2" s="1"/>
  <c r="K1004" i="2"/>
  <c r="L1004" i="2" s="1"/>
  <c r="K1005" i="2"/>
  <c r="L1005" i="2" s="1"/>
  <c r="K1006" i="2"/>
  <c r="L1006" i="2" s="1"/>
  <c r="K1007" i="2"/>
  <c r="L1007" i="2" s="1"/>
  <c r="K1008" i="2"/>
  <c r="L1008" i="2" s="1"/>
  <c r="K1009" i="2"/>
  <c r="L1009" i="2" s="1"/>
  <c r="K1010" i="2"/>
  <c r="L1010" i="2" s="1"/>
  <c r="K1011" i="2"/>
  <c r="L1011" i="2" s="1"/>
  <c r="K1012" i="2"/>
  <c r="L1012" i="2" s="1"/>
  <c r="K1013" i="2"/>
  <c r="L1013" i="2" s="1"/>
  <c r="K1014" i="2"/>
  <c r="L1014" i="2" s="1"/>
  <c r="K1015" i="2"/>
  <c r="L1015" i="2" s="1"/>
  <c r="K1016" i="2"/>
  <c r="L1016" i="2" s="1"/>
  <c r="K1017" i="2"/>
  <c r="L1017" i="2" s="1"/>
  <c r="K1018" i="2"/>
  <c r="L1018" i="2" s="1"/>
  <c r="K1019" i="2"/>
  <c r="L1019" i="2" s="1"/>
  <c r="K1020" i="2"/>
  <c r="L1020" i="2" s="1"/>
  <c r="K1021" i="2"/>
  <c r="L1021" i="2" s="1"/>
  <c r="K1022" i="2"/>
  <c r="L1022" i="2" s="1"/>
  <c r="K1023" i="2"/>
  <c r="L1023" i="2" s="1"/>
  <c r="K1024" i="2"/>
  <c r="L1024" i="2" s="1"/>
  <c r="K1025" i="2"/>
  <c r="L1025" i="2" s="1"/>
  <c r="K1026" i="2"/>
  <c r="L1026" i="2" s="1"/>
  <c r="K1027" i="2"/>
  <c r="L1027" i="2" s="1"/>
  <c r="K1028" i="2"/>
  <c r="L1028" i="2" s="1"/>
  <c r="K1029" i="2"/>
  <c r="L1029" i="2" s="1"/>
  <c r="K1030" i="2"/>
  <c r="L1030" i="2" s="1"/>
  <c r="K1031" i="2"/>
  <c r="L1031" i="2" s="1"/>
  <c r="K1032" i="2"/>
  <c r="L1032" i="2" s="1"/>
  <c r="K1033" i="2"/>
  <c r="L1033" i="2" s="1"/>
  <c r="K1034" i="2"/>
  <c r="L1034" i="2" s="1"/>
  <c r="K1035" i="2"/>
  <c r="L1035" i="2" s="1"/>
  <c r="K1036" i="2"/>
  <c r="L1036" i="2" s="1"/>
  <c r="K1037" i="2"/>
  <c r="L1037" i="2" s="1"/>
  <c r="K1038" i="2"/>
  <c r="L1038" i="2" s="1"/>
  <c r="K1039" i="2"/>
  <c r="L1039" i="2" s="1"/>
  <c r="K1040" i="2"/>
  <c r="L1040" i="2" s="1"/>
  <c r="K1041" i="2"/>
  <c r="L1041" i="2" s="1"/>
  <c r="K1042" i="2"/>
  <c r="L1042" i="2" s="1"/>
  <c r="K1043" i="2"/>
  <c r="L1043" i="2" s="1"/>
  <c r="K1044" i="2"/>
  <c r="L1044" i="2" s="1"/>
  <c r="K1045" i="2"/>
  <c r="L1045" i="2" s="1"/>
  <c r="K1046" i="2"/>
  <c r="L1046" i="2" s="1"/>
  <c r="K1047" i="2"/>
  <c r="L1047" i="2" s="1"/>
  <c r="K1048" i="2"/>
  <c r="L1048" i="2" s="1"/>
  <c r="K1049" i="2"/>
  <c r="L1049" i="2" s="1"/>
  <c r="K1050" i="2"/>
  <c r="L1050" i="2" s="1"/>
  <c r="K1051" i="2"/>
  <c r="L1051" i="2" s="1"/>
  <c r="K1052" i="2"/>
  <c r="L1052" i="2" s="1"/>
  <c r="K1053" i="2"/>
  <c r="L1053" i="2" s="1"/>
  <c r="K1054" i="2"/>
  <c r="L1054" i="2" s="1"/>
  <c r="K1055" i="2"/>
  <c r="L1055" i="2" s="1"/>
  <c r="K1056" i="2"/>
  <c r="L1056" i="2" s="1"/>
  <c r="K1057" i="2"/>
  <c r="L1057" i="2" s="1"/>
  <c r="K1058" i="2"/>
  <c r="L1058" i="2" s="1"/>
  <c r="K1059" i="2"/>
  <c r="L1059" i="2" s="1"/>
  <c r="K1060" i="2"/>
  <c r="L1060" i="2" s="1"/>
  <c r="K1061" i="2"/>
  <c r="L1061" i="2" s="1"/>
  <c r="K1062" i="2"/>
  <c r="L1062" i="2" s="1"/>
  <c r="K1063" i="2"/>
  <c r="L1063" i="2" s="1"/>
  <c r="K1064" i="2"/>
  <c r="L1064" i="2" s="1"/>
  <c r="K1065" i="2"/>
  <c r="L1065" i="2" s="1"/>
  <c r="K1066" i="2"/>
  <c r="L1066" i="2" s="1"/>
  <c r="K1067" i="2"/>
  <c r="L1067" i="2" s="1"/>
  <c r="K1068" i="2"/>
  <c r="L1068" i="2" s="1"/>
  <c r="K1069" i="2"/>
  <c r="L1069" i="2" s="1"/>
  <c r="K1070" i="2"/>
  <c r="L1070" i="2" s="1"/>
  <c r="K1071" i="2"/>
  <c r="L1071" i="2" s="1"/>
  <c r="K1072" i="2"/>
  <c r="L1072" i="2" s="1"/>
  <c r="K1073" i="2"/>
  <c r="L1073" i="2" s="1"/>
  <c r="K1074" i="2"/>
  <c r="L1074" i="2" s="1"/>
  <c r="K1075" i="2"/>
  <c r="L1075" i="2" s="1"/>
  <c r="K1076" i="2"/>
  <c r="L1076" i="2" s="1"/>
  <c r="K1077" i="2"/>
  <c r="L1077" i="2" s="1"/>
  <c r="K1078" i="2"/>
  <c r="L1078" i="2" s="1"/>
  <c r="K1079" i="2"/>
  <c r="L1079" i="2" s="1"/>
  <c r="K1080" i="2"/>
  <c r="L1080" i="2" s="1"/>
  <c r="K1081" i="2"/>
  <c r="L1081" i="2" s="1"/>
  <c r="K1082" i="2"/>
  <c r="L1082" i="2" s="1"/>
  <c r="K1083" i="2"/>
  <c r="L1083" i="2" s="1"/>
  <c r="K1084" i="2"/>
  <c r="L1084" i="2" s="1"/>
  <c r="K1085" i="2"/>
  <c r="L1085" i="2" s="1"/>
  <c r="K1086" i="2"/>
  <c r="L1086" i="2" s="1"/>
  <c r="K1087" i="2"/>
  <c r="L1087" i="2" s="1"/>
  <c r="K1088" i="2"/>
  <c r="L1088" i="2" s="1"/>
  <c r="K1089" i="2"/>
  <c r="L1089" i="2" s="1"/>
  <c r="K1090" i="2"/>
  <c r="L1090" i="2" s="1"/>
  <c r="K1091" i="2"/>
  <c r="L1091" i="2" s="1"/>
  <c r="K1092" i="2"/>
  <c r="L1092" i="2" s="1"/>
  <c r="K1093" i="2"/>
  <c r="L1093" i="2" s="1"/>
  <c r="K1094" i="2"/>
  <c r="L1094" i="2" s="1"/>
  <c r="K1095" i="2"/>
  <c r="L1095" i="2" s="1"/>
  <c r="K1096" i="2"/>
  <c r="L1096" i="2" s="1"/>
  <c r="K1097" i="2"/>
  <c r="L1097" i="2" s="1"/>
  <c r="K1098" i="2"/>
  <c r="L1098" i="2" s="1"/>
  <c r="K1099" i="2"/>
  <c r="L1099" i="2" s="1"/>
  <c r="K1100" i="2"/>
  <c r="L1100" i="2" s="1"/>
  <c r="K1101" i="2"/>
  <c r="L1101" i="2" s="1"/>
  <c r="K1102" i="2"/>
  <c r="L1102" i="2" s="1"/>
  <c r="K1103" i="2"/>
  <c r="L1103" i="2" s="1"/>
  <c r="K1104" i="2"/>
  <c r="L1104" i="2" s="1"/>
  <c r="K1105" i="2"/>
  <c r="L1105" i="2" s="1"/>
  <c r="K1106" i="2"/>
  <c r="L1106" i="2" s="1"/>
  <c r="K1107" i="2"/>
  <c r="L1107" i="2" s="1"/>
  <c r="K1108" i="2"/>
  <c r="L1108" i="2" s="1"/>
  <c r="K1109" i="2"/>
  <c r="L1109" i="2" s="1"/>
  <c r="K1110" i="2"/>
  <c r="L1110" i="2" s="1"/>
  <c r="K1111" i="2"/>
  <c r="L1111" i="2" s="1"/>
  <c r="K1112" i="2"/>
  <c r="L1112" i="2" s="1"/>
  <c r="K1113" i="2"/>
  <c r="L1113" i="2" s="1"/>
  <c r="K1114" i="2"/>
  <c r="L1114" i="2" s="1"/>
  <c r="K1115" i="2"/>
  <c r="L1115" i="2" s="1"/>
  <c r="K1116" i="2"/>
  <c r="L1116" i="2" s="1"/>
  <c r="K1117" i="2"/>
  <c r="L1117" i="2" s="1"/>
  <c r="K1118" i="2"/>
  <c r="L1118" i="2" s="1"/>
  <c r="K1119" i="2"/>
  <c r="L1119" i="2" s="1"/>
  <c r="K1120" i="2"/>
  <c r="L1120" i="2" s="1"/>
  <c r="K1121" i="2"/>
  <c r="L1121" i="2" s="1"/>
  <c r="K1122" i="2"/>
  <c r="L1122" i="2" s="1"/>
  <c r="K1123" i="2"/>
  <c r="L1123" i="2" s="1"/>
  <c r="K1124" i="2"/>
  <c r="L1124" i="2" s="1"/>
  <c r="K1125" i="2"/>
  <c r="L1125" i="2" s="1"/>
  <c r="K1126" i="2"/>
  <c r="L1126" i="2" s="1"/>
  <c r="K1127" i="2"/>
  <c r="L1127" i="2" s="1"/>
  <c r="K1128" i="2"/>
  <c r="L1128" i="2" s="1"/>
  <c r="K1129" i="2"/>
  <c r="L1129" i="2" s="1"/>
  <c r="K1130" i="2"/>
  <c r="L1130" i="2" s="1"/>
  <c r="K1131" i="2"/>
  <c r="L1131" i="2" s="1"/>
  <c r="K1132" i="2"/>
  <c r="L1132" i="2" s="1"/>
  <c r="K1133" i="2"/>
  <c r="L1133" i="2" s="1"/>
  <c r="K1134" i="2"/>
  <c r="L1134" i="2" s="1"/>
  <c r="K1135" i="2"/>
  <c r="L1135" i="2" s="1"/>
  <c r="K1136" i="2"/>
  <c r="L1136" i="2" s="1"/>
  <c r="K1137" i="2"/>
  <c r="L1137" i="2" s="1"/>
  <c r="K1138" i="2"/>
  <c r="L1138" i="2" s="1"/>
  <c r="K1139" i="2"/>
  <c r="L1139" i="2" s="1"/>
  <c r="K1140" i="2"/>
  <c r="L1140" i="2" s="1"/>
  <c r="K1141" i="2"/>
  <c r="L1141" i="2" s="1"/>
  <c r="K1142" i="2"/>
  <c r="L1142" i="2" s="1"/>
  <c r="K1143" i="2"/>
  <c r="L1143" i="2" s="1"/>
  <c r="K1144" i="2"/>
  <c r="L1144" i="2" s="1"/>
  <c r="K1145" i="2"/>
  <c r="L1145" i="2" s="1"/>
  <c r="K1146" i="2"/>
  <c r="L1146" i="2" s="1"/>
  <c r="K1147" i="2"/>
  <c r="L1147" i="2" s="1"/>
  <c r="K1148" i="2"/>
  <c r="L1148" i="2" s="1"/>
  <c r="K1149" i="2"/>
  <c r="L1149" i="2" s="1"/>
  <c r="K1150" i="2"/>
  <c r="L1150" i="2" s="1"/>
  <c r="K1151" i="2"/>
  <c r="L1151" i="2" s="1"/>
  <c r="K1152" i="2"/>
  <c r="L1152" i="2" s="1"/>
  <c r="K1153" i="2"/>
  <c r="L1153" i="2" s="1"/>
  <c r="K1154" i="2"/>
  <c r="L1154" i="2" s="1"/>
  <c r="K1155" i="2"/>
  <c r="L1155" i="2" s="1"/>
  <c r="K1156" i="2"/>
  <c r="L1156" i="2" s="1"/>
  <c r="K1157" i="2"/>
  <c r="L1157" i="2" s="1"/>
  <c r="K1158" i="2"/>
  <c r="L1158" i="2" s="1"/>
  <c r="K1159" i="2"/>
  <c r="L1159" i="2" s="1"/>
  <c r="K1160" i="2"/>
  <c r="L1160" i="2" s="1"/>
  <c r="K1161" i="2"/>
  <c r="L1161" i="2" s="1"/>
  <c r="K1162" i="2"/>
  <c r="L1162" i="2" s="1"/>
  <c r="K1163" i="2"/>
  <c r="L1163" i="2" s="1"/>
  <c r="K1164" i="2"/>
  <c r="L1164" i="2" s="1"/>
  <c r="K1165" i="2"/>
  <c r="L1165" i="2" s="1"/>
  <c r="K1166" i="2"/>
  <c r="L1166" i="2" s="1"/>
  <c r="K1167" i="2"/>
  <c r="L1167" i="2" s="1"/>
  <c r="K1168" i="2"/>
  <c r="L1168" i="2" s="1"/>
  <c r="K1169" i="2"/>
  <c r="L1169" i="2" s="1"/>
  <c r="K1170" i="2"/>
  <c r="L1170" i="2" s="1"/>
  <c r="K1171" i="2"/>
  <c r="L1171" i="2" s="1"/>
  <c r="K1172" i="2"/>
  <c r="L1172" i="2" s="1"/>
  <c r="K1173" i="2"/>
  <c r="L1173" i="2" s="1"/>
  <c r="K1174" i="2"/>
  <c r="L1174" i="2" s="1"/>
  <c r="K1175" i="2"/>
  <c r="L1175" i="2" s="1"/>
  <c r="K1176" i="2"/>
  <c r="L1176" i="2" s="1"/>
  <c r="K1177" i="2"/>
  <c r="L1177" i="2" s="1"/>
  <c r="K1178" i="2"/>
  <c r="L1178" i="2" s="1"/>
  <c r="K1179" i="2"/>
  <c r="L1179" i="2" s="1"/>
  <c r="K1180" i="2"/>
  <c r="L1180" i="2" s="1"/>
  <c r="K1181" i="2"/>
  <c r="L1181" i="2" s="1"/>
  <c r="K1182" i="2"/>
  <c r="L1182" i="2" s="1"/>
  <c r="K1183" i="2"/>
  <c r="L1183" i="2" s="1"/>
  <c r="K1184" i="2"/>
  <c r="L1184" i="2" s="1"/>
  <c r="K1185" i="2"/>
  <c r="L1185" i="2" s="1"/>
  <c r="K1186" i="2"/>
  <c r="L1186" i="2" s="1"/>
  <c r="K1187" i="2"/>
  <c r="L1187" i="2" s="1"/>
  <c r="K1188" i="2"/>
  <c r="L1188" i="2" s="1"/>
  <c r="K1189" i="2"/>
  <c r="L1189" i="2" s="1"/>
  <c r="K1190" i="2"/>
  <c r="L1190" i="2" s="1"/>
  <c r="K1191" i="2"/>
  <c r="L1191" i="2" s="1"/>
  <c r="K1192" i="2"/>
  <c r="L1192" i="2" s="1"/>
  <c r="K1193" i="2"/>
  <c r="L1193" i="2" s="1"/>
  <c r="K1194" i="2"/>
  <c r="L1194" i="2" s="1"/>
  <c r="K1195" i="2"/>
  <c r="L1195" i="2" s="1"/>
  <c r="K1196" i="2"/>
  <c r="L1196" i="2" s="1"/>
  <c r="K1197" i="2"/>
  <c r="L1197" i="2" s="1"/>
  <c r="K1198" i="2"/>
  <c r="L1198" i="2" s="1"/>
  <c r="K1199" i="2"/>
  <c r="L1199" i="2" s="1"/>
  <c r="K1200" i="2"/>
  <c r="L1200" i="2" s="1"/>
  <c r="K1201" i="2"/>
  <c r="L1201" i="2" s="1"/>
  <c r="K1202" i="2"/>
  <c r="L1202" i="2" s="1"/>
  <c r="K1203" i="2"/>
  <c r="L1203" i="2" s="1"/>
  <c r="K1204" i="2"/>
  <c r="L1204" i="2" s="1"/>
  <c r="K1205" i="2"/>
  <c r="L1205" i="2" s="1"/>
  <c r="K1206" i="2"/>
  <c r="L1206" i="2" s="1"/>
  <c r="K1207" i="2"/>
  <c r="L1207" i="2" s="1"/>
  <c r="K1208" i="2"/>
  <c r="L1208" i="2" s="1"/>
  <c r="K1209" i="2"/>
  <c r="L1209" i="2" s="1"/>
  <c r="K1210" i="2"/>
  <c r="L1210" i="2" s="1"/>
  <c r="K1211" i="2"/>
  <c r="L1211" i="2" s="1"/>
  <c r="K1212" i="2"/>
  <c r="L1212" i="2" s="1"/>
  <c r="K1213" i="2"/>
  <c r="L1213" i="2" s="1"/>
  <c r="K1214" i="2"/>
  <c r="L1214" i="2" s="1"/>
  <c r="K1215" i="2"/>
  <c r="L1215" i="2" s="1"/>
  <c r="K1216" i="2"/>
  <c r="L1216" i="2" s="1"/>
  <c r="K1217" i="2"/>
  <c r="L1217" i="2" s="1"/>
  <c r="K1218" i="2"/>
  <c r="L1218" i="2" s="1"/>
  <c r="K1219" i="2"/>
  <c r="L1219" i="2" s="1"/>
  <c r="K1220" i="2"/>
  <c r="L1220" i="2" s="1"/>
  <c r="K1221" i="2"/>
  <c r="L1221" i="2" s="1"/>
  <c r="K1222" i="2"/>
  <c r="L1222" i="2" s="1"/>
  <c r="K1223" i="2"/>
  <c r="L1223" i="2" s="1"/>
  <c r="K1224" i="2"/>
  <c r="L1224" i="2" s="1"/>
  <c r="K1225" i="2"/>
  <c r="L1225" i="2" s="1"/>
  <c r="K1226" i="2"/>
  <c r="L1226" i="2" s="1"/>
  <c r="K1227" i="2"/>
  <c r="L1227" i="2" s="1"/>
  <c r="K1228" i="2"/>
  <c r="L1228" i="2" s="1"/>
  <c r="K1229" i="2"/>
  <c r="L1229" i="2" s="1"/>
  <c r="K1230" i="2"/>
  <c r="L1230" i="2" s="1"/>
  <c r="K1231" i="2"/>
  <c r="L1231" i="2" s="1"/>
  <c r="K1232" i="2"/>
  <c r="L1232" i="2" s="1"/>
  <c r="K1233" i="2"/>
  <c r="L1233" i="2" s="1"/>
  <c r="K1234" i="2"/>
  <c r="L1234" i="2" s="1"/>
  <c r="K1235" i="2"/>
  <c r="L1235" i="2" s="1"/>
  <c r="K1236" i="2"/>
  <c r="L1236" i="2" s="1"/>
  <c r="K1237" i="2"/>
  <c r="L1237" i="2" s="1"/>
  <c r="K1238" i="2"/>
  <c r="L1238" i="2" s="1"/>
  <c r="K1239" i="2"/>
  <c r="L1239" i="2" s="1"/>
  <c r="K1240" i="2"/>
  <c r="L1240" i="2" s="1"/>
  <c r="K1241" i="2"/>
  <c r="L1241" i="2" s="1"/>
  <c r="K1242" i="2"/>
  <c r="L1242" i="2" s="1"/>
  <c r="K1243" i="2"/>
  <c r="L1243" i="2" s="1"/>
  <c r="K1244" i="2"/>
  <c r="L1244" i="2" s="1"/>
  <c r="K1245" i="2"/>
  <c r="L1245" i="2" s="1"/>
  <c r="K1246" i="2"/>
  <c r="L1246" i="2" s="1"/>
  <c r="K1247" i="2"/>
  <c r="L1247" i="2" s="1"/>
  <c r="K1248" i="2"/>
  <c r="L1248" i="2" s="1"/>
  <c r="K1249" i="2"/>
  <c r="L1249" i="2" s="1"/>
  <c r="K1250" i="2"/>
  <c r="L1250" i="2" s="1"/>
  <c r="K1251" i="2"/>
  <c r="L1251" i="2" s="1"/>
  <c r="K1252" i="2"/>
  <c r="L1252" i="2" s="1"/>
  <c r="K1253" i="2"/>
  <c r="L1253" i="2" s="1"/>
  <c r="K1254" i="2"/>
  <c r="L1254" i="2" s="1"/>
  <c r="K1255" i="2"/>
  <c r="L1255" i="2" s="1"/>
  <c r="K1256" i="2"/>
  <c r="L1256" i="2" s="1"/>
  <c r="K1257" i="2"/>
  <c r="L1257" i="2" s="1"/>
  <c r="K1258" i="2"/>
  <c r="L1258" i="2" s="1"/>
  <c r="K1259" i="2"/>
  <c r="L1259" i="2" s="1"/>
  <c r="K1260" i="2"/>
  <c r="L1260" i="2" s="1"/>
  <c r="K1261" i="2"/>
  <c r="L1261" i="2" s="1"/>
  <c r="K1262" i="2"/>
  <c r="L1262" i="2" s="1"/>
  <c r="K1263" i="2"/>
  <c r="L1263" i="2" s="1"/>
  <c r="K1264" i="2"/>
  <c r="L1264" i="2" s="1"/>
  <c r="K1265" i="2"/>
  <c r="L1265" i="2" s="1"/>
  <c r="K1266" i="2"/>
  <c r="L1266" i="2" s="1"/>
  <c r="K1267" i="2"/>
  <c r="L1267" i="2" s="1"/>
  <c r="K1268" i="2"/>
  <c r="L1268" i="2" s="1"/>
  <c r="K1269" i="2"/>
  <c r="L1269" i="2" s="1"/>
  <c r="K1270" i="2"/>
  <c r="L1270"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1B8E8C-B64B-43D2-961A-C1D1774C5396}" keepAlive="1" name="Query - Stock_Details" description="Connection to the 'Stock_Details' query in the workbook." type="5" refreshedVersion="8" background="1" saveData="1">
    <dbPr connection="Provider=Microsoft.Mashup.OleDb.1;Data Source=$Workbook$;Location=Stock_Details;Extended Properties=&quot;&quot;" command="SELECT * FROM [Stock_Details]"/>
  </connection>
  <connection id="2" xr16:uid="{1364F37F-3F8F-44C3-8628-7775821E44D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A14264DF-36E8-4C69-A384-BED6D875B4D1}" name="WorksheetConnection_Excel Project1st.xlsx!Table1" type="102" refreshedVersion="8" minRefreshableVersion="5">
    <extLst>
      <ext xmlns:x15="http://schemas.microsoft.com/office/spreadsheetml/2010/11/main" uri="{DE250136-89BD-433C-8126-D09CA5730AF9}">
        <x15:connection id="Table1">
          <x15:rangePr sourceName="_xlcn.WorksheetConnection_ExcelProject1st.xlsxTable11"/>
        </x15:connection>
      </ext>
    </extLst>
  </connection>
  <connection id="4" xr16:uid="{DC7F8510-5F88-4AE3-8D5E-A74E72D520A5}" name="WorksheetConnection_Sales_Data!$O$3:$O$4" type="102" refreshedVersion="8" minRefreshableVersion="5">
    <extLst>
      <ext xmlns:x15="http://schemas.microsoft.com/office/spreadsheetml/2010/11/main" uri="{DE250136-89BD-433C-8126-D09CA5730AF9}">
        <x15:connection id="Range" autoDelete="1">
          <x15:rangePr sourceName="_xlcn.WorksheetConnection_Sales_DataO3O41"/>
        </x15:connection>
      </ext>
    </extLst>
  </connection>
</connections>
</file>

<file path=xl/sharedStrings.xml><?xml version="1.0" encoding="utf-8"?>
<sst xmlns="http://schemas.openxmlformats.org/spreadsheetml/2006/main" count="1354" uniqueCount="1304">
  <si>
    <t>Item Name</t>
  </si>
  <si>
    <t>Stock</t>
  </si>
  <si>
    <t>Stock Days</t>
  </si>
  <si>
    <t>Sale</t>
  </si>
  <si>
    <t>No of Tran</t>
  </si>
  <si>
    <t>Days Tran</t>
  </si>
  <si>
    <t>LACTOGEN-PRO 1 REFILL 1*400GM</t>
  </si>
  <si>
    <t>ISOMIL POWDER 400GM</t>
  </si>
  <si>
    <t>LACTOGEN PRO 1 RIF 1*400G</t>
  </si>
  <si>
    <t>DEXOLAC 1 TIN [470] 1*400GM</t>
  </si>
  <si>
    <t>NAN PRO 3RIFILL 1*400G</t>
  </si>
  <si>
    <t>LACTOGEN PRO 1KG 1KG</t>
  </si>
  <si>
    <t>GLIMY MV 2MG TAB 1*10TAB</t>
  </si>
  <si>
    <t>ISOMIL MILK TIN 1*400GM</t>
  </si>
  <si>
    <t>CERELAC RICE/PROTEIN [329] 1*300GM</t>
  </si>
  <si>
    <t>PREGABID NT TAB 1*15TAB</t>
  </si>
  <si>
    <t>OLSERTAIN H 40MG TAB(1) 1*15TAB</t>
  </si>
  <si>
    <t>OBIMET-GX-2-FORTE-TAB 1*10TAB</t>
  </si>
  <si>
    <t>UDILIV 150MG TAB 1*15TAB</t>
  </si>
  <si>
    <t>BILYPSA TAB 1*10TAB</t>
  </si>
  <si>
    <t>ROSEDAY F 20MG TAB(1) 1*10TAB</t>
  </si>
  <si>
    <t>MAMY POKO PANT EXTRA AB M8 5KG</t>
  </si>
  <si>
    <t>SILODAL 8MG CAP 1*10CAP</t>
  </si>
  <si>
    <t>NEXITO-PLUS-TAB 1*10TAB</t>
  </si>
  <si>
    <t>FARORIGHT-200MG TAB 1*10TAB</t>
  </si>
  <si>
    <t>BABY WIPES FLOW PACK 72 1*72PCS</t>
  </si>
  <si>
    <t>ADULT DIAPERS(L10) 1*10PCS</t>
  </si>
  <si>
    <t>PRE NAN POWDER 1*400GM</t>
  </si>
  <si>
    <t>CERELAC WHEAT APPLE RIFF 350G</t>
  </si>
  <si>
    <t>MAMY POKO M64 64PT</t>
  </si>
  <si>
    <t>BIO-D3 MAX CAP 1*15CAP</t>
  </si>
  <si>
    <t>RIFAXIGRESS-400 TAB 1*10TAB</t>
  </si>
  <si>
    <t>BENADRYL SYRUP 1*150ML</t>
  </si>
  <si>
    <t>CILACAR 10MG TAB 1*15TAB</t>
  </si>
  <si>
    <t>GRANDPRIDE MV 2MG TAB 1*10TAB</t>
  </si>
  <si>
    <t>TELMA H TAB 1*15TAB</t>
  </si>
  <si>
    <t>HORLICKS LITE 450G [294] 500GM</t>
  </si>
  <si>
    <t>CETAPHIL OILY SKN CLEANSER 1*250ML</t>
  </si>
  <si>
    <t>DIALEX-DC SYRUP 1*60ML</t>
  </si>
  <si>
    <t>GLUCO ONE(BG-03) 1*25PCS</t>
  </si>
  <si>
    <t>SEROFLO-250MG INHALLER 1*120MD</t>
  </si>
  <si>
    <t>GRD POWDER 1*200GM</t>
  </si>
  <si>
    <t>TELVAS H 40 TABS 1*10TAB</t>
  </si>
  <si>
    <t>REFRESH-TEARS EYE DROP 1*10ML</t>
  </si>
  <si>
    <t>GLISEN MF 2MG TAB(1) 1*15TAB</t>
  </si>
  <si>
    <t>ROSAVE F 20MG TAB 1*10TAB</t>
  </si>
  <si>
    <t>DISPERZYME TAB 1*10TAB</t>
  </si>
  <si>
    <t>SIMILAC-PLUS 2 POWDER(TIN) 1*400GM</t>
  </si>
  <si>
    <t>LIBRIUM 25MG TAB 1*15TAB</t>
  </si>
  <si>
    <t>ACITROM 3MG TAB(1) 1*30TAB</t>
  </si>
  <si>
    <t>ENDURA MASS VANILA 1*500GM</t>
  </si>
  <si>
    <t>EFNOCAR-T 40/40MG TAB 1*10TAB</t>
  </si>
  <si>
    <t>BEVON CAP 1*15CAP</t>
  </si>
  <si>
    <t>ZANDU BALM 1*25ML</t>
  </si>
  <si>
    <t>PROTINEX ORIGINAL(JAR) 1*400GM</t>
  </si>
  <si>
    <t>MEDERMA ADV PLUS S GEL 1*5GM</t>
  </si>
  <si>
    <t>HEPA MERZ TAB 1*10TAB</t>
  </si>
  <si>
    <t>BETADINE GARGLE SOLUTION 1*50ML</t>
  </si>
  <si>
    <t>THERMOMETER 1*1PCS</t>
  </si>
  <si>
    <t>GLYCOMET TRIO 2MG TAB(1) 1*10TAB</t>
  </si>
  <si>
    <t>ECOSPRIN AV 75/40MG CAP 1*10CAP</t>
  </si>
  <si>
    <t>LOSAR 25MG TAB 1*15TAB</t>
  </si>
  <si>
    <t>MAMYPOKO PANTS (S60) 1*60PCS</t>
  </si>
  <si>
    <t>MAMYPOKO PANTS (S10) 1*10PCS</t>
  </si>
  <si>
    <t>ABDOMINAL BELT XL 1*1</t>
  </si>
  <si>
    <t>STICK L TYPE 1*1PCC</t>
  </si>
  <si>
    <t>VELOZ-IT-CAP 1*10CAP</t>
  </si>
  <si>
    <t>ROZUCOR ASP 10 1*10CAP</t>
  </si>
  <si>
    <t>SHILAJIT TAB 15TABS</t>
  </si>
  <si>
    <t>PILEX-TAB 1*60TAB</t>
  </si>
  <si>
    <t>HIMALAYA BABY POWDER 1*200GM</t>
  </si>
  <si>
    <t>HIMALAYA BABY OIL 1*100ML</t>
  </si>
  <si>
    <t>HIMALAYA BABY GIFT PACK 1*1GIFT.PACK</t>
  </si>
  <si>
    <t>NEBULIZER MASK (AD) 1*1PCS</t>
  </si>
  <si>
    <t>ACCUSURE B.P.MONITOR 1*1PCC</t>
  </si>
  <si>
    <t>VOLINI SPRAY 1*40GM</t>
  </si>
  <si>
    <t>VOLINI SPRAY 1*100GM</t>
  </si>
  <si>
    <t>ROZAVEL-10MG TAB(1) 1*10TAB</t>
  </si>
  <si>
    <t>OSTOSHINE TAB 1*10TAB</t>
  </si>
  <si>
    <t>NATRISE 15MG TAB 1*4TAB</t>
  </si>
  <si>
    <t>MIRAGO 50MG TAB 1*10TAB</t>
  </si>
  <si>
    <t>ISTAMET D-XR 500MG TAB 1*7TAB</t>
  </si>
  <si>
    <t>FEBUGET 40MG TAB 1*15TAB</t>
  </si>
  <si>
    <t>D-VENIZ-50 TAB 1*10TAB</t>
  </si>
  <si>
    <t>CARDIVAS 3.125MG TAB(1) 1*10TAB</t>
  </si>
  <si>
    <t>LOBUN FORTE CAP 1*10CP</t>
  </si>
  <si>
    <t>ALLEGRA NASAL SPRAY 1*120M</t>
  </si>
  <si>
    <t>ENTEROGERMINA CAP 1*4CAP</t>
  </si>
  <si>
    <t>MOISTUREX CREAM 1*100GM</t>
  </si>
  <si>
    <t>DETTOL 500ML 500ML</t>
  </si>
  <si>
    <t>MEDROL 4MG TAB(1) 1*10TAB</t>
  </si>
  <si>
    <t>NEBI 5MG TAB 1*10TAB</t>
  </si>
  <si>
    <t>URSOMISH-300MG TAB 1*10TAB</t>
  </si>
  <si>
    <t>PANTOMISH DSR CAP 1*10CAP</t>
  </si>
  <si>
    <t>NAN PRO 1 TIN 1*200G</t>
  </si>
  <si>
    <t>NAN GROW 2-6 POWDER 1*400GM</t>
  </si>
  <si>
    <t>LACTOGEN PRO 1 TIN 1*400G</t>
  </si>
  <si>
    <t>CERELAC 2 WHEATAPPLE CHEERY 350GM</t>
  </si>
  <si>
    <t>THERMOMETER DIGI FLEXI(DR.MORP 1*1PCS</t>
  </si>
  <si>
    <t>MORISON GLASS FEEDING 125ML</t>
  </si>
  <si>
    <t>GLYCO 6% CREAM 1*30GM</t>
  </si>
  <si>
    <t>TELPLUS TAB(1) 1*15TAB</t>
  </si>
  <si>
    <t>TELMED 20MG TAB(1) 1*10TAB</t>
  </si>
  <si>
    <t>GEMSOLINE CAP 1*15CAP</t>
  </si>
  <si>
    <t>MAMY POKO NB84 84PTT</t>
  </si>
  <si>
    <t>BENFO-PLUS-TAB(1) 1*10TAB</t>
  </si>
  <si>
    <t>TELMIKIND-AMH TAB(1) 1*10TAB</t>
  </si>
  <si>
    <t>MANKINDS PLACIDA TAB 1*10</t>
  </si>
  <si>
    <t>LIZOFORCE 600MG TAB 1*4TAB</t>
  </si>
  <si>
    <t>ACNESTAR GEL 15GM</t>
  </si>
  <si>
    <t>TRENAXA-500MG TAB 1*10TAB</t>
  </si>
  <si>
    <t>MONOCAN 200 TAB 1*8TAB</t>
  </si>
  <si>
    <t>MACSITA-M XR 50/500MG TAB 1*10TAB</t>
  </si>
  <si>
    <t>BIO-D3 PLUS CAP 1*15CAP</t>
  </si>
  <si>
    <t>TELISTA-MCL 25MG TAB 1*10TAB</t>
  </si>
  <si>
    <t>SALBAIR-I TRANSCAP 1POT</t>
  </si>
  <si>
    <t>DILNIP-20MG TAB 1*15TAB</t>
  </si>
  <si>
    <t>BUDAMATE-G CAP 1*10CAP</t>
  </si>
  <si>
    <t>AKURIT-3MG TAB 1*10TAB</t>
  </si>
  <si>
    <t>AKT-4 TAB 1*1TAB</t>
  </si>
  <si>
    <t>LIVAFIN CREAM 1*10GM</t>
  </si>
  <si>
    <t>MAHAFLOX LP E/D 1*1PH</t>
  </si>
  <si>
    <t>MAHAFLOX-D EYE DROP 1*5ML</t>
  </si>
  <si>
    <t>TORVIGRESS 100MG TAB(1) 1*10TAB</t>
  </si>
  <si>
    <t>SAT ISABGOL 500GM 500GM</t>
  </si>
  <si>
    <t>WALKER ALUMINIUM 1*1PCC</t>
  </si>
  <si>
    <t>METROGYL 400MG TAB 1*20TAB</t>
  </si>
  <si>
    <t>CILACAR M 10/25 TAB 1*10TAB</t>
  </si>
  <si>
    <t>ZORYL-M 3MG TAB(1) 1*10TAB</t>
  </si>
  <si>
    <t>REXIPRA 15MG TAB 1*10TAB</t>
  </si>
  <si>
    <t>AMTAS M 25MG TAB 1*15TAB</t>
  </si>
  <si>
    <t>LULIBET LOTION 1*10ML</t>
  </si>
  <si>
    <t>CARCA CR 10 TAB 1*15TAB</t>
  </si>
  <si>
    <t>HEXIDINE MOUTHWASH 1*160ML</t>
  </si>
  <si>
    <t>WOMEN'S HORLICK PLUS CARAMELJA 1*400GM</t>
  </si>
  <si>
    <t>HORLICKS POUCH 1*500GM</t>
  </si>
  <si>
    <t>HIMALAYA BABY OIL 1*200ML</t>
  </si>
  <si>
    <t>CLEARGEL AP GEL 1*15GM</t>
  </si>
  <si>
    <t>AD-VITAMIN BABY OIL 200ML</t>
  </si>
  <si>
    <t>SENSODYNE 2+1 BRUSH 1*1PCS</t>
  </si>
  <si>
    <t>ETHIGLOW FACE WASH 1*70GM</t>
  </si>
  <si>
    <t>GLIMISAVE MV 3.3 F TAB 1*15TAB</t>
  </si>
  <si>
    <t>OROFER S 200MG INJ 1*10ML</t>
  </si>
  <si>
    <t>METPURE XL 50MG TAB(1) 1*10TAB</t>
  </si>
  <si>
    <t>ESLO TEL 2.5MG TAB 1*15TAB</t>
  </si>
  <si>
    <t>OROFER XT PLUS SYRUP 1*200ML</t>
  </si>
  <si>
    <t>TRAJENTA DUO 2.5/500MG TAB 1*10TAB</t>
  </si>
  <si>
    <t>TOP CREPE COTTAN BANDAGE 10CM 1*1PCC</t>
  </si>
  <si>
    <t>GLUCO ONE(BG-03) 1*50PCS</t>
  </si>
  <si>
    <t>PET SAFA GRANULES 1*100GM</t>
  </si>
  <si>
    <t>SHILAJIT GOLD CAP 1*10CAP</t>
  </si>
  <si>
    <t>MOTHER'S PLUS HORLICKS 1*500GM</t>
  </si>
  <si>
    <t>DABUR HONITUS SYP 200ML</t>
  </si>
  <si>
    <t>DABUR GLUCOPLUS-C POWDER 1*1KG</t>
  </si>
  <si>
    <t>L HIST MONT TAB 1*15TAB</t>
  </si>
  <si>
    <t>VIBITE M 1000MG TAB 1*15TAB</t>
  </si>
  <si>
    <t>CORTEL M 25 TAB 1*15TAB</t>
  </si>
  <si>
    <t>OMNIGEL OINT 1*50GM</t>
  </si>
  <si>
    <t>N-FLOX TZ TAB 1*10TAB</t>
  </si>
  <si>
    <t>THROMBOPHOB OINT 1*20GM</t>
  </si>
  <si>
    <t>INSUGEN-30/70 REFIL 1*3ML</t>
  </si>
  <si>
    <t>TRIOPIL-2MG TAB(1) 1*10TAB</t>
  </si>
  <si>
    <t>SITAGLO-DM TAB 1*15TAB</t>
  </si>
  <si>
    <t>MONOCEF-O CV 200/125MG TAB 1*10TAB</t>
  </si>
  <si>
    <t>RANTOP SYP 1*100ML</t>
  </si>
  <si>
    <t>DONEP M TAB 1*15TAB</t>
  </si>
  <si>
    <t>TSART MCL-50MG TAB 1*10TAB</t>
  </si>
  <si>
    <t>LINOKEM-600MG TAB 1*10TAB</t>
  </si>
  <si>
    <t>CRIZ-M TAB 1*10TAB</t>
  </si>
  <si>
    <t>GLIPY-D TAB 1*15TAB</t>
  </si>
  <si>
    <t>NEERI SYRUP 1*200ML</t>
  </si>
  <si>
    <t>ADIPAM PLUS TAB 1*10TAB</t>
  </si>
  <si>
    <t>ENSURE DIABETES CARE CHOC 1*200GM</t>
  </si>
  <si>
    <t>SIMILAC 4 600RS 1*400GM</t>
  </si>
  <si>
    <t>TETMOSOL-SOAP 1*100GM</t>
  </si>
  <si>
    <t>TELPRES LN 40 TAB 1*10TAB</t>
  </si>
  <si>
    <t>PEDIASURE 7+ VANILA 1*400GM</t>
  </si>
  <si>
    <t>OBIMET GX 2MG TAB 1*15TAB</t>
  </si>
  <si>
    <t>LIBRAX TAB 1*20TAB</t>
  </si>
  <si>
    <t>ENSURE PLUS (VANILA) 400G</t>
  </si>
  <si>
    <t>JOHNSON'S BABY SHAMPOO 1*100ML</t>
  </si>
  <si>
    <t>DERIPHYLLIN RETARD 150 TAB(1) 1*30TAB</t>
  </si>
  <si>
    <t>CLOP G CREAM 30GM 1*30GM</t>
  </si>
  <si>
    <t>EFNOCAR-T 20/40MG TAB 1*10TAB</t>
  </si>
  <si>
    <t>PANCHRISTA 450ML 1*450ML</t>
  </si>
  <si>
    <t>PANCHKAL PARISHTA 450ML 1*450ML</t>
  </si>
  <si>
    <t>NITYAM CHURNA 1*50GM</t>
  </si>
  <si>
    <t>PENIDURE-LA 12 INJ 1*1VIAL</t>
  </si>
  <si>
    <t>DR ORTHO OIL 1*60ML</t>
  </si>
  <si>
    <t>WALYTE-L ORANGE DRINK 1*200ML</t>
  </si>
  <si>
    <t>COLIMEX SUSP 1*30ML</t>
  </si>
  <si>
    <t>HYDROGEN PEROXIDE SOLUTION 1*100ML</t>
  </si>
  <si>
    <t>SILODERM CREAM 20GM</t>
  </si>
  <si>
    <t>PIOZ-15MG TAB 1*10TAB</t>
  </si>
  <si>
    <t>NEOTOMIC ENEMA 1*20ML</t>
  </si>
  <si>
    <t>GLYCOMET-TRIO-FORTE-2 1*10TAB</t>
  </si>
  <si>
    <t>GLYCOMET GP 0.5MG TAB(1) 1*10TAB</t>
  </si>
  <si>
    <t>GLYCOMET-850MG TAB 1*10TAB</t>
  </si>
  <si>
    <t>GLYCOMET-500MG SR TAB 1*20TAB</t>
  </si>
  <si>
    <t>ECOSPRIN 75MG TAB 1*14TAB</t>
  </si>
  <si>
    <t>DOXY-1 L-DR FORTE CAP 1*10CAP</t>
  </si>
  <si>
    <t>VIZYLAC DRY SYRUP 1*60ML</t>
  </si>
  <si>
    <t>PREGABA M 75MG CAP 1*15CAP</t>
  </si>
  <si>
    <t>MAMYPOKO PANTS(NB11) 1*11PCS</t>
  </si>
  <si>
    <t>SOFY ANTIBACTERIA[XL-70] 1*7</t>
  </si>
  <si>
    <t>SOFY ANTIBACTERIA OVER NIGHT 1*15PADS</t>
  </si>
  <si>
    <t>MAMY POKO  WIPES [85] 1*24</t>
  </si>
  <si>
    <t>MAMYPOKO PANTS XXL 1*8PANTS</t>
  </si>
  <si>
    <t>MAMYPOKO PANTS ST XL6 6</t>
  </si>
  <si>
    <t>MAMYPOKO PANTS (M30) 1*30PCS</t>
  </si>
  <si>
    <t>MAMYPOKO PANTS EXTRA ABNB34 1*34</t>
  </si>
  <si>
    <t>MAMYPOKO PANTS ALL N AB M[16] 16</t>
  </si>
  <si>
    <t>MAMYPOKO PANTS ALL N AB [L28] 28</t>
  </si>
  <si>
    <t>MAMYPOKO PANT EX AB [XXL-14] 1*XXL-14</t>
  </si>
  <si>
    <t>ELBOW CRUTCH ADJ 1*1PCC</t>
  </si>
  <si>
    <t>GRIPE WATER 200ML 1*200ML</t>
  </si>
  <si>
    <t>TRIKA 0.25MG TABS 1*15</t>
  </si>
  <si>
    <t>NEXPRO 40MG TAB 1*15TAB</t>
  </si>
  <si>
    <t>EUREPA V 1/0.3MG TAB 1*10TAB</t>
  </si>
  <si>
    <t>APIXATOR 2.5MG TAB 1*10TAB</t>
  </si>
  <si>
    <t>OPHTHA CARE EYE DROP 1*10ML</t>
  </si>
  <si>
    <t>LIV 52 SYRUP 1*100ML</t>
  </si>
  <si>
    <t>HIMALAYA BABY WIPES 1*24WIPES</t>
  </si>
  <si>
    <t>HIMALAYA BABY SOAP(REFRESHING) 1*75GM</t>
  </si>
  <si>
    <t>HIMALAYA BABY SHAMPOO 1*200ML</t>
  </si>
  <si>
    <t>HIMALAYA BABY POWDER 1*50GM.</t>
  </si>
  <si>
    <t>HIMALAYA BABY CREAM 1*50ML</t>
  </si>
  <si>
    <t>FAST RELIEF 1*25GM</t>
  </si>
  <si>
    <t>FAST RELIEF 1*15G</t>
  </si>
  <si>
    <t>TUMMY-SOFT-SYP 1*50ML</t>
  </si>
  <si>
    <t>ASTYMIN SYRUP 1*200ML</t>
  </si>
  <si>
    <t>TOPP 40 TAB 1*10TAB</t>
  </si>
  <si>
    <t>AMCARD 5MG TAB 1*7</t>
  </si>
  <si>
    <t>HAND SANITIZER 100ML 1*100ML 1*100ML</t>
  </si>
  <si>
    <t>HAND SANITIZER 100ML 100ML</t>
  </si>
  <si>
    <t>CREPE BANDAGE "6" 1*1PCS</t>
  </si>
  <si>
    <t>COTTON 100GM</t>
  </si>
  <si>
    <t>BED PEN (PLASTIC) 1*1PSC</t>
  </si>
  <si>
    <t>VOLITRA + SPRAY 1*55GM</t>
  </si>
  <si>
    <t>VOLITRA GEL + 1*50GM</t>
  </si>
  <si>
    <t>VOLINI SPRAY 1*60GM</t>
  </si>
  <si>
    <t>STORVA-GOLD 10MG CAP 1*10CAP</t>
  </si>
  <si>
    <t>SPORIDEX PAED DROP 1*10ML</t>
  </si>
  <si>
    <t>ROZA GOLD 10MG CAP 1*10CAP</t>
  </si>
  <si>
    <t>RACIPER D 40MG TAB(1) 1*15TAB</t>
  </si>
  <si>
    <t>MODALERT-100MG TAB(1) 1*10TAB</t>
  </si>
  <si>
    <t>MILFLODEX E/D 1*10ML</t>
  </si>
  <si>
    <t>LULIFIN CREAM 1*10GM</t>
  </si>
  <si>
    <t>ISTAMET 50MG/500MG TAB(1) 1*15TAB</t>
  </si>
  <si>
    <t>NEEMWAY SOAP 1*75GM</t>
  </si>
  <si>
    <t>SIMILIA PAIN KILLER OIL 1*100ML</t>
  </si>
  <si>
    <t>SN-15MG TAB 1*10TAB</t>
  </si>
  <si>
    <t>VALPARIN-CHRONO-500MG TAB(1) 1*10TAB</t>
  </si>
  <si>
    <t>SANITIZR 100ML 100ML</t>
  </si>
  <si>
    <t>EUMIR 15MG TAB 1*15TAB</t>
  </si>
  <si>
    <t>ACCU-CHEK ACTIVE 10STRIPS 1*10STRP</t>
  </si>
  <si>
    <t>RICONIA LP TAB 1*15TAB</t>
  </si>
  <si>
    <t>MOOV CREAM 1*5GM</t>
  </si>
  <si>
    <t>ITCH GUARD PLUS++ /// 1*5GM</t>
  </si>
  <si>
    <t>ITCH GUARD PLUS+++/// 1*12GM</t>
  </si>
  <si>
    <t>DETTOL  100ML 1*125ML</t>
  </si>
  <si>
    <t>MOOV SPRAY 1*15GM</t>
  </si>
  <si>
    <t>KRACK HAPPY FEET CREAM 1*15GM</t>
  </si>
  <si>
    <t>KRACK  CREAM 1*25GM</t>
  </si>
  <si>
    <t>ITCH GUARD + CREAM 1*12GM</t>
  </si>
  <si>
    <t>PAMPERS PANTS M 1*26PANTS</t>
  </si>
  <si>
    <t>MAMYPOKO AB WIPES-LE (20) 1*20WIPES</t>
  </si>
  <si>
    <t>ZYTEE LOTION 1*10ML</t>
  </si>
  <si>
    <t>DEKSEL NANO DROPS 1*15ML</t>
  </si>
  <si>
    <t>POLYCID SYP 1*70ML</t>
  </si>
  <si>
    <t>BRONCODIL SYP 100ML 100ML</t>
  </si>
  <si>
    <t>DIGEPLEX 200ML 1*200ML</t>
  </si>
  <si>
    <t>SARPIN OIL 1*110ML</t>
  </si>
  <si>
    <t>MOOV OINT 1*20GM</t>
  </si>
  <si>
    <t>POLYBION LC 300ML 1*300ML</t>
  </si>
  <si>
    <t>NASIVION CHILD 10ML</t>
  </si>
  <si>
    <t>OZOTEL TAB 1*30TAB</t>
  </si>
  <si>
    <t>OZOMET-G 1MG TAB(1) 1*15TAB</t>
  </si>
  <si>
    <t>DECAMOX-M EYE DROP 1*5ML</t>
  </si>
  <si>
    <t>DEXOLAC 4 RIFILL 1*400GM</t>
  </si>
  <si>
    <t>SOFY XXL 6PS</t>
  </si>
  <si>
    <t>NOVOFINE 31G NEEDLE 1*1</t>
  </si>
  <si>
    <t>CETAPHIL GENTLE SKIN CLEANSER 1*125ML</t>
  </si>
  <si>
    <t>LACTOGEN PRO 1 TIN 1*200G</t>
  </si>
  <si>
    <t>CERELAC 5GRAIN/FRUITS /18/ 1*300G</t>
  </si>
  <si>
    <t>CERELAC 12/M&amp;FRUITS 1*300G</t>
  </si>
  <si>
    <t>KUKA SYP 1*100ML</t>
  </si>
  <si>
    <t>DOM-DT-10MG TAB 1*10TAB</t>
  </si>
  <si>
    <t>MORISON  BOTTLE 125ML</t>
  </si>
  <si>
    <t xml:space="preserve"> V WASH 100ML 1*100ML</t>
  </si>
  <si>
    <t>FREE ME PAD 6PAD</t>
  </si>
  <si>
    <t>VENTRYL SYP 1*100ML</t>
  </si>
  <si>
    <t>RABIROS-D CAP 1*10CAP</t>
  </si>
  <si>
    <t>TRH 1000MG VIAL 1*5ML</t>
  </si>
  <si>
    <t>NEUROBION FORTE INJ 1*3ML</t>
  </si>
  <si>
    <t>KETOZEN SOAP 1*75GM</t>
  </si>
  <si>
    <t>KNEE CAP SMALL (S) 1*1PHYL</t>
  </si>
  <si>
    <t>MEE MEE TOOTH BRUSH 1*1</t>
  </si>
  <si>
    <t>MARCOGESIC OIL 60ML</t>
  </si>
  <si>
    <t>MONET LC SYR 1*30ML</t>
  </si>
  <si>
    <t>MAPRATONE SYRUP 1*200ML</t>
  </si>
  <si>
    <t>THERMOKIND-F-GEL 1*100GM</t>
  </si>
  <si>
    <t>RABEKIND DSR CAP(1) 1*10CAP</t>
  </si>
  <si>
    <t>NUROKIND GOLD CAPS 1*10CAP</t>
  </si>
  <si>
    <t>METHYCOBAL 500MG TAB 1*15TAB</t>
  </si>
  <si>
    <t>MANFORCE CONDOM COCKTAIL STRAW 1*3PCS</t>
  </si>
  <si>
    <t>MAHACAL D3 SOLUTION 1*4</t>
  </si>
  <si>
    <t>LIVOLUCK(RF) FIBRE 180GM</t>
  </si>
  <si>
    <t>GUTOK-NF CAP 1*10CAP</t>
  </si>
  <si>
    <t>BANDY TAB 1*1TAB</t>
  </si>
  <si>
    <t>ASTHAKIND SYP 1*100ML</t>
  </si>
  <si>
    <t>ASTHAKIND LS JR SYRUP 1*60ML</t>
  </si>
  <si>
    <t>ARGIPREG SACHET 1*5GM</t>
  </si>
  <si>
    <t>ALBAYES PLUS SYP 10ML</t>
  </si>
  <si>
    <t>ALBAYES 10ML</t>
  </si>
  <si>
    <t>TELMIDUCE 40MG TAB 1*10TAB</t>
  </si>
  <si>
    <t>PANDERM ++ CREAM 1*15GM</t>
  </si>
  <si>
    <t>NUPENTA TAB 1*15TAB</t>
  </si>
  <si>
    <t>NERVITE XT TAB 1*10TAB</t>
  </si>
  <si>
    <t>MACBRITE D3 1*8 CAPS 1*8</t>
  </si>
  <si>
    <t>LACTEVA GRANULES 1*200GM</t>
  </si>
  <si>
    <t>FLUTICORT F 250 INHAL(1) 1*120MD</t>
  </si>
  <si>
    <t>DEFCORT SYRUP 1*30ML</t>
  </si>
  <si>
    <t>CEFOLAC 0Z TAB 1*10TAB</t>
  </si>
  <si>
    <t>BUDETROL FORTE INHALATION 1*120MD</t>
  </si>
  <si>
    <t>BILASURE 40 MG TAB 1*10TAB</t>
  </si>
  <si>
    <t>AMLOVAS XM-5/50 TAB(1) 1*10TAB</t>
  </si>
  <si>
    <t>HUMINSULIN REGULAR 40IU 1*1</t>
  </si>
  <si>
    <t>VILFURO 200MG CAP 1*15CAP</t>
  </si>
  <si>
    <t>STARPRESS-XL-25MG TAB 1*15TAB</t>
  </si>
  <si>
    <t>SOFTOVAC POWDER 1*250GM</t>
  </si>
  <si>
    <t>R CINEX  TAB 1*10</t>
  </si>
  <si>
    <t>L-CIN-750MG TAB 1*10TAB</t>
  </si>
  <si>
    <t>GLUCONORM SR 500MG TAB 1*15TAB</t>
  </si>
  <si>
    <t>CLOPITAB CV GOLD 1*10CAP</t>
  </si>
  <si>
    <t>CARVISTAR 6.25 TAB 1*15TAB</t>
  </si>
  <si>
    <t>NASOCLEAR NASAL SPRAY 1*20ML</t>
  </si>
  <si>
    <t>ITCHAWAY CREAM 25GM</t>
  </si>
  <si>
    <t>EVERTEEN PADS 1*18PADS</t>
  </si>
  <si>
    <t>KUFTIVE 1*10</t>
  </si>
  <si>
    <t>EVIMECTIN A TAB 1*1</t>
  </si>
  <si>
    <t>ABIWORM SYP 10ML</t>
  </si>
  <si>
    <t>FESTIVE D EYE/EAR DROP 1*10ML</t>
  </si>
  <si>
    <t>CEFLOX-DEE EYE/EAR DROPS 1*10ML</t>
  </si>
  <si>
    <t>HEALTH UP 1*30</t>
  </si>
  <si>
    <t>ZYDIP-C LOTION 1*50ML</t>
  </si>
  <si>
    <t>KLM KLIN FACE WASH 1*100GM</t>
  </si>
  <si>
    <t>SHRI TULSI DROPS 1*20ML</t>
  </si>
  <si>
    <t>JOHNSON'S BABY SHAMPOO 1*50ML</t>
  </si>
  <si>
    <t>JOHNSON'S BABY POWDER 1*200GM</t>
  </si>
  <si>
    <t>JOHNSON'S BABY CREAM 1*50GM</t>
  </si>
  <si>
    <t>JOHNSON'S BABY CREAM 1*30GM</t>
  </si>
  <si>
    <t>LISTERINE COOL MINT MOUTHWASH 1*250ML</t>
  </si>
  <si>
    <t>JOHNSON'S BABY OIL 1*100ML</t>
  </si>
  <si>
    <t>JOHNSON S BABY SOAP 1*100GM</t>
  </si>
  <si>
    <t>JOHNSONS BABY OIL 75 1*50M</t>
  </si>
  <si>
    <t>JOHNSONS BABY OIL [150] 1*100ML</t>
  </si>
  <si>
    <t>METROGYL 200MG TAB 1*15TAB</t>
  </si>
  <si>
    <t>RANRAFT SYP 1*150ML</t>
  </si>
  <si>
    <t>REVELOL AM 25/2.5MG TAB 1*15TAB</t>
  </si>
  <si>
    <t>FOLITRAX 10MG TAB(1) 1*10TAB</t>
  </si>
  <si>
    <t>ETOVA ER 400 TAB 1*10TAB</t>
  </si>
  <si>
    <t>MIRNITE 7.5MG TAB(1) 1*10TAB</t>
  </si>
  <si>
    <t>LULIBET CREAM 1*15GM</t>
  </si>
  <si>
    <t>I-KUL EYE DROP 1*10ML</t>
  </si>
  <si>
    <t>ESPIN-5-TAB 1*10TAB</t>
  </si>
  <si>
    <t>SENSODENT-K PLUS 100G 100GM</t>
  </si>
  <si>
    <t>JUSGO GEL 1*30GM</t>
  </si>
  <si>
    <t>MUSCODAC GEL 1*30GM</t>
  </si>
  <si>
    <t>DISPOVAN PEN NEEDLE 1*10</t>
  </si>
  <si>
    <t>KIT KAT-20 1*1PCS</t>
  </si>
  <si>
    <t>DISPOVAN SYRINGE 5ML 1*5ML</t>
  </si>
  <si>
    <t>DISPOVAN SYRINGE 2ML 1*2ML</t>
  </si>
  <si>
    <t>DISPOVAN SYRINGE 10ML 1*10ML</t>
  </si>
  <si>
    <t>NAVRATANA EXTRA THANDA OIL 1*100ML</t>
  </si>
  <si>
    <t>BORO PLUS CREAM 1*40ML</t>
  </si>
  <si>
    <t>HIMALAYA NEEM FACE WASH 1*300ML</t>
  </si>
  <si>
    <t>HICKS OVAL THERMOMETER 1*1PCS</t>
  </si>
  <si>
    <t>HICKS AKUTEM THERMOMETRE 1*1PCS</t>
  </si>
  <si>
    <t>NYCIL(COOL)HERBAL POW 1*150GM</t>
  </si>
  <si>
    <t>DETTOL HAND WASH 900ML</t>
  </si>
  <si>
    <t>VOLICURE TRIO 2/03 1*15</t>
  </si>
  <si>
    <t>SAFI SYRUP 1*100ML</t>
  </si>
  <si>
    <t>MADHUKASHARI 1*200ML</t>
  </si>
  <si>
    <t>HONEY 250GM 1*250GM</t>
  </si>
  <si>
    <t>HHSALIC*6 OINT 1*10G</t>
  </si>
  <si>
    <t>DERMADEW ACNE FACE WASH 1*100ML</t>
  </si>
  <si>
    <t>WIFI MT TAB(1) 1*10TAB</t>
  </si>
  <si>
    <t>SENSODYNE COMPLETE PROTECTION 1*70GM</t>
  </si>
  <si>
    <t>TACROZ FORTE OINT 1*10GM</t>
  </si>
  <si>
    <t>MOMATE F CREAM 1*15GM</t>
  </si>
  <si>
    <t>HALOVATE CREAM 1*30GM</t>
  </si>
  <si>
    <t>DOXOVENT TAB 1*10TAB</t>
  </si>
  <si>
    <t>CANDIBIOTIC PLUS EAR DROP 1*5ML</t>
  </si>
  <si>
    <t>ALEX SYRUP 1*100ML</t>
  </si>
  <si>
    <t>SENSODYNE FRESH GEL 1*75GM</t>
  </si>
  <si>
    <t>SENSODYNE FRESH GEL 1*40GM</t>
  </si>
  <si>
    <t>OTRIVIN FAST RELIEF 1*10ML</t>
  </si>
  <si>
    <t>ELTROXIN-125MCG TAB 1*60TAB</t>
  </si>
  <si>
    <t>CROCIN-TAB 1*20TAB</t>
  </si>
  <si>
    <t>CROCIN 650 FAST RELIEF TAB 1*15TAB</t>
  </si>
  <si>
    <t>BETNESOL TAB(1) 1*20TAB</t>
  </si>
  <si>
    <t>BANOCIDE FORTE TAB 1*30TAB</t>
  </si>
  <si>
    <t>IODEX ULTRAGEL 1*30GM</t>
  </si>
  <si>
    <t>SENSODYNE TUBE 20GM 20GM</t>
  </si>
  <si>
    <t>OTRIVIN ADVANCE NASAL SPRY 1*10GM</t>
  </si>
  <si>
    <t>BIOCOF MINT 60ML 1*60ML</t>
  </si>
  <si>
    <t>ORS(GALPHA)21.8GM 1*21.8GM</t>
  </si>
  <si>
    <t>STIMULIV SYP 100ML</t>
  </si>
  <si>
    <t>GLYCIPHAGE 500TAB(1) 1*20TAB</t>
  </si>
  <si>
    <t>ETHIGLOW FACE WASH 1*200GM</t>
  </si>
  <si>
    <t>ASOMEX 2.5MG TAB 1*15TAB</t>
  </si>
  <si>
    <t>HOSIT D3 TAB 1*10</t>
  </si>
  <si>
    <t>ANKLE BINDER MEDIUM 1*1</t>
  </si>
  <si>
    <t>ARM SLING (DYNA)MEDIUM 1*1PCS</t>
  </si>
  <si>
    <t>HIMALAYA BABY WASH 1*100ML</t>
  </si>
  <si>
    <t>COLIZA DROP 1*30ML</t>
  </si>
  <si>
    <t>BABY RASH RELIEF 50GRM 50GRM</t>
  </si>
  <si>
    <t>BABY RASH RELIEF 20GRM 20GM</t>
  </si>
  <si>
    <t>CNBC TOOTH &amp; GUM GEL 1*50GM</t>
  </si>
  <si>
    <t>STAMLO-5MG TAB 1*30TAB</t>
  </si>
  <si>
    <t>MUCOLITE SYRUP 1*100ML</t>
  </si>
  <si>
    <t>PAIN X MR TAB 1*10</t>
  </si>
  <si>
    <t>ENEMA 100ML</t>
  </si>
  <si>
    <t>LAL TAIL 100ML 1*100ML</t>
  </si>
  <si>
    <t>GLUCOPLUS C 1*100ML</t>
  </si>
  <si>
    <t>SAT ISABGOL (DABUR) 1*50GM</t>
  </si>
  <si>
    <t>DABUR LAL TAIL 1*50ML</t>
  </si>
  <si>
    <t>DABUR HONEY MADHU 1*50GM</t>
  </si>
  <si>
    <t>DABUR GLUCOSE D POWDER 1*500GM</t>
  </si>
  <si>
    <t>SITOPLADI CHURNA 1*30GM</t>
  </si>
  <si>
    <t>JANAM GHUNTI 120ML 1*120ML</t>
  </si>
  <si>
    <t>HONITUS GINGER 100PS</t>
  </si>
  <si>
    <t>HONEY 50GM 50GM</t>
  </si>
  <si>
    <t>HONEY 100GM 100GM</t>
  </si>
  <si>
    <t>DETTOL 1 LTR 1LTR</t>
  </si>
  <si>
    <t>COTTON 1*50GM</t>
  </si>
  <si>
    <t>COTTON 1*15GM</t>
  </si>
  <si>
    <t>REXCOF DX SYR 60ML</t>
  </si>
  <si>
    <t>OMNIGEL SPRAY 1*20GM</t>
  </si>
  <si>
    <t>NICOTEX 2MG MINT PLUS TAB 1*9TAB</t>
  </si>
  <si>
    <t>KAYAM CHURNA 1*50GM</t>
  </si>
  <si>
    <t>FORACORT 200 SYNCHROBREATHE 1*120</t>
  </si>
  <si>
    <t>FLUKA-150MG TAB 1*1TAB</t>
  </si>
  <si>
    <t>FERICIP XT TAB 1*10TAB</t>
  </si>
  <si>
    <t>CIPLADINE POWDER 1*10GM</t>
  </si>
  <si>
    <t>ADVENT 228.5MG DRY SYRUP 1*60ML</t>
  </si>
  <si>
    <t>SINAREST VAPOCAPS 1*10CAP</t>
  </si>
  <si>
    <t>FACEMOIST CREAM 1*60GM</t>
  </si>
  <si>
    <t>SKINSHINE SOAP 1*75GM</t>
  </si>
  <si>
    <t>DEXONA TAB 1*30TAB</t>
  </si>
  <si>
    <t>RUTALIN-BR TAB 1*10TAB</t>
  </si>
  <si>
    <t>SENSODYNE GEL 40GM</t>
  </si>
  <si>
    <t>INSUGEN R 40IU/ML INJ(1) 1*10ML</t>
  </si>
  <si>
    <t>BETONY-Z SYP 1*200ML</t>
  </si>
  <si>
    <t>ALOEVERRA JUCE 1*1LTR</t>
  </si>
  <si>
    <t>TORSID-10MG TAB(1) 1*10TAB</t>
  </si>
  <si>
    <t>SITAGLO-M 50/500MG 1*15TAB</t>
  </si>
  <si>
    <t>MYOPROL XL 25MG TAB(1) 1*10TAB</t>
  </si>
  <si>
    <t>MONOCEF-O DROPS 1*10ML</t>
  </si>
  <si>
    <t>MEGAPEN 500 CAP 1*10CAP</t>
  </si>
  <si>
    <t>GABAMAX NT 50TAB 1*10TAB</t>
  </si>
  <si>
    <t>DAROLAC-CAP 1*10CAP</t>
  </si>
  <si>
    <t>PROSTAGARD 8 CAP 1*10CAP</t>
  </si>
  <si>
    <t>PROGG DROPS 1*4ML</t>
  </si>
  <si>
    <t>COFSTOP-CDX SYRUP 1*100ML</t>
  </si>
  <si>
    <t>GLUCOMOL 0.5% EYE DROP 1*5ML</t>
  </si>
  <si>
    <t>SUMO-L DS SYP 1*60ML</t>
  </si>
  <si>
    <t>SACUVAL 50 TAB 1*10</t>
  </si>
  <si>
    <t>ZITHIUM XL 200 SYP 30ML</t>
  </si>
  <si>
    <t>ZITHIUM XL 100 SUSPENSION 1*30ML</t>
  </si>
  <si>
    <t>VESBAL-16MG TAB 1*10TAB</t>
  </si>
  <si>
    <t>TAXIM O DRY SYP 1*30ML</t>
  </si>
  <si>
    <t>TAXIM O DROP 1*10ML</t>
  </si>
  <si>
    <t>SWICH-100 SYRUP 1*30ML</t>
  </si>
  <si>
    <t>RAPEED L CAP 1*10CAP</t>
  </si>
  <si>
    <t>ONDEM 4MG TAB 1*10TAB</t>
  </si>
  <si>
    <t>NEUROKEM D 50/20MG TAB 1*10TAB</t>
  </si>
  <si>
    <t>GLUVILDA-M+ 500MG TAB 1*15TAB</t>
  </si>
  <si>
    <t>EMTY-SYP 1*200ML</t>
  </si>
  <si>
    <t>ALDIGESIC-SP FORTE TAB 1*10TAB</t>
  </si>
  <si>
    <t>TELLZY 20MG TAB(1) 1*15TAB</t>
  </si>
  <si>
    <t>ROSAVE A 75MG CAP 1*10CAP</t>
  </si>
  <si>
    <t>REKOOL-20MG TAB 1*15TAB</t>
  </si>
  <si>
    <t>AZITHRAL XL 200MG SYRUP 1*30ML</t>
  </si>
  <si>
    <t>ROSAVE EZ TAB 1*10</t>
  </si>
  <si>
    <t>BREAZE L TAB(1) 1*10TAB</t>
  </si>
  <si>
    <t>ACTIBILE-300MG TAB 1*10TAB</t>
  </si>
  <si>
    <t>GLIMICURE M-1MG TAB 1*15TAB</t>
  </si>
  <si>
    <t>SOFTDROPS EYE DROP 1*10ML</t>
  </si>
  <si>
    <t>AGLOZYME SYRUP 1*200ML</t>
  </si>
  <si>
    <t>ASCABIOL 120ML LOTION 1*120ML</t>
  </si>
  <si>
    <t>STATOR ASP 75MG CAP 1*15CAP</t>
  </si>
  <si>
    <t>I-CAN PREGNANCY TEST KIT 1*1KIT</t>
  </si>
  <si>
    <t>GLUFORMIN XL 500MG TAB(1) 1*15TAB</t>
  </si>
  <si>
    <t>FLAGYL 400MG TAB 1*20TAB</t>
  </si>
  <si>
    <t>COLOSPA 135MG TAB 1*10TAB</t>
  </si>
  <si>
    <t>CALAPTIN-40MG TAB 1*30TAB</t>
  </si>
  <si>
    <t>HYDENT K 202.23 1*100GM</t>
  </si>
  <si>
    <t>GLUCOSE C 200</t>
  </si>
  <si>
    <t>CHYAWANPRASH P 1KG</t>
  </si>
  <si>
    <t>TOTAL</t>
  </si>
  <si>
    <t>STOCK &lt;= 15 DAYS [1.95 Lakh - 13.53%]</t>
  </si>
  <si>
    <t>PANTOP-DSR CAP 1*15TAB</t>
  </si>
  <si>
    <t>LACTOGEN PRO 2 RIFF 1*400G</t>
  </si>
  <si>
    <t>SIMILAC NEOSURE 1*400GM</t>
  </si>
  <si>
    <t>APTAMIL PREMIUM 1 RF [750] 1*400GM</t>
  </si>
  <si>
    <t>TELVAS AM TAB 1*15TAB</t>
  </si>
  <si>
    <t>PAN-40-TAB 1*15TAB</t>
  </si>
  <si>
    <t>ISTAMET XR 500MG TAB 1*10TAB</t>
  </si>
  <si>
    <t>THYROX 25 MG TAB 1*120TAB</t>
  </si>
  <si>
    <t>DILNIP-TRIO-TAB 1*10TAB</t>
  </si>
  <si>
    <t>A-TO-Z-GOLD CAP 1*15CAP</t>
  </si>
  <si>
    <t>DYDROGEST-ER 20MG TAB 1*10TAB</t>
  </si>
  <si>
    <t>GLYCOMET-GP 2MG TAB(1) 1*15TAB</t>
  </si>
  <si>
    <t>LIV 52 DS TAB 1*60TAB</t>
  </si>
  <si>
    <t>RIFAGUT-400MG TAB 1*10TAB</t>
  </si>
  <si>
    <t>LACTIHEP-PLUS-SYP 1*250ML</t>
  </si>
  <si>
    <t>NEOPEPTINE SYP 1*100ML</t>
  </si>
  <si>
    <t>COREX-DX SYRUP 1*100ML</t>
  </si>
  <si>
    <t>CERELAC STA3 WHE.RI.MXD.VEG 300GM</t>
  </si>
  <si>
    <t>TELMED AM TAB(1) 1*10TAB</t>
  </si>
  <si>
    <t>THYROX 75MG  120TABS 1*120TABS</t>
  </si>
  <si>
    <t>PEPTARD-D CAP 1*10TAB</t>
  </si>
  <si>
    <t>TELMA 40MG TAB 1*30TAB</t>
  </si>
  <si>
    <t>ARNICOR 100 TAB 1*15</t>
  </si>
  <si>
    <t>ATEN-AM-TAB(1) 1*14TAB</t>
  </si>
  <si>
    <t>MMS GOLD 1 POWDER 1*400GM</t>
  </si>
  <si>
    <t>GLIMIPREX MF 1/500 TAB(1) 1*15TAB</t>
  </si>
  <si>
    <t>AMLOSAFE TM 40MG TAB 1*10TAB</t>
  </si>
  <si>
    <t>EVITOL CAP 1*15CAP</t>
  </si>
  <si>
    <t>CREMAFFIN PLUS SYRUP 1*225ML</t>
  </si>
  <si>
    <t>SIMILAC 1 1KG</t>
  </si>
  <si>
    <t>FOLVITE TAB 1*45TAB</t>
  </si>
  <si>
    <t>UDAPA-TRIO TAB 1*10TAB</t>
  </si>
  <si>
    <t>OLSAR A 20MG TAB 1*10TAB</t>
  </si>
  <si>
    <t>OLSAR 40MG TAB 1*10TAB</t>
  </si>
  <si>
    <t>DILZEM CD 90MG TAB(1) 1*10TAB</t>
  </si>
  <si>
    <t>TENTEX-FORTE TAB 1*10TAB</t>
  </si>
  <si>
    <t>LIV 52 SYRUP 1*200ML</t>
  </si>
  <si>
    <t>SYNDOPA-PLUS TAB 1*15TAB</t>
  </si>
  <si>
    <t>RIVAFLO 10MG TAB 1*10TAB</t>
  </si>
  <si>
    <t>RACIRAFT SYP 1*200ML</t>
  </si>
  <si>
    <t>KIDTRO EYE DROPS 1*5ML</t>
  </si>
  <si>
    <t>GEMER P 2MG TAB(1) 1*10TAB</t>
  </si>
  <si>
    <t>CABGOLIN 0.5 TAB 1*4TAB</t>
  </si>
  <si>
    <t>BRINZOTIM EYE DROPS 1*5ML</t>
  </si>
  <si>
    <t>LACTIHEP-SYRUP 1*450ML</t>
  </si>
  <si>
    <t>CHERI-CAP 1*15TAB</t>
  </si>
  <si>
    <t>AMUL TIN 500GM</t>
  </si>
  <si>
    <t>VILDOMISH-M 50/500MG TAB 1*15TAB</t>
  </si>
  <si>
    <t>TURBOVAS-20MG TAB 1*15TAB</t>
  </si>
  <si>
    <t>VOGLI-GM 2MG TAB(1) 1*10TAB</t>
  </si>
  <si>
    <t>TELMIKIND-20MG TAB 1*10TAB</t>
  </si>
  <si>
    <t>PANTAKIND-DSR CAP 1*10CAP</t>
  </si>
  <si>
    <t>COMBIHALE G CAP 1*10</t>
  </si>
  <si>
    <t>TRINEXOVAS 40MG TAB 1*15TAB</t>
  </si>
  <si>
    <t>THYROX-12.5MG TAB 1*100TAB</t>
  </si>
  <si>
    <t>RAPITUS PLUS SYRUP 1*100ML</t>
  </si>
  <si>
    <t>RABEMAC-DSR CAP(1) 1*15CAP</t>
  </si>
  <si>
    <t>MACBERY-XT SYRUP 1*100ML</t>
  </si>
  <si>
    <t>FEBUMAC 40 TAB 1*10TAB</t>
  </si>
  <si>
    <t>ACOGUT TAB 1*15TAB</t>
  </si>
  <si>
    <t>SITAHENZ-100MG TAB 1*10TAB</t>
  </si>
  <si>
    <t>PARI-CR-12.5-TAB 1*15TAB</t>
  </si>
  <si>
    <t>KERAGLO EVA TAB 1*10TAB</t>
  </si>
  <si>
    <t>GLYREE M 2MG TAB(1) 1*10TAB</t>
  </si>
  <si>
    <t>VELFU TAB 1*10TAB</t>
  </si>
  <si>
    <t>SOLTUS-200MG TAB(1) 1*10TAB</t>
  </si>
  <si>
    <t>SARTEL-AM 40MG TAB(1) 1*15TAB</t>
  </si>
  <si>
    <t>MONIT GTN-2.6MG TAB(1) 1*30TAB</t>
  </si>
  <si>
    <t>BROCLEAR TAB 1*10TAB</t>
  </si>
  <si>
    <t>CALCITAS D3 1*4</t>
  </si>
  <si>
    <t>RA-THERMOSEAL TOOTH PASTE 1*100GM</t>
  </si>
  <si>
    <t>COMPLAN (MEMORY CHARGERS)JAR 1*400GM</t>
  </si>
  <si>
    <t>AD VITAMIN BABY OIL 1*500ML</t>
  </si>
  <si>
    <t>CALCIGRAND FORTE CAP 1*10CAP</t>
  </si>
  <si>
    <t>TACROZ FORTE OINT 1*20GM</t>
  </si>
  <si>
    <t>CANDID MOUTH PAINT 1*25ML</t>
  </si>
  <si>
    <t>CEFTUM 500MG TAB 1*4TAB</t>
  </si>
  <si>
    <t>GLYCIPHAGE SR 500MG TAB 1*10TAB</t>
  </si>
  <si>
    <t>NEFROSAVE FORTE TAB 1*15TAB</t>
  </si>
  <si>
    <t>SILDOO D8 CAPS 1*10CAPS</t>
  </si>
  <si>
    <t>RECLIMET XR TAB(1) 1*14TAB</t>
  </si>
  <si>
    <t>GLIMY-M 2MG TAB 1*15TAB</t>
  </si>
  <si>
    <t>ASHOKARISHTA 680ML 1*680ML</t>
  </si>
  <si>
    <t>MONTAIR LC TAB 1*15TAB</t>
  </si>
  <si>
    <t>DUOLIN ROTACAPS 1*60TAB</t>
  </si>
  <si>
    <t>BUDECORT 100 INHALER(1) 1*200MD</t>
  </si>
  <si>
    <t>LINID TAB 1*10TAB</t>
  </si>
  <si>
    <t>MEFTAL SPAS TAB 1*10TAB</t>
  </si>
  <si>
    <t>BIOCOF MINT SYP 1*100ML</t>
  </si>
  <si>
    <t>TELVAS-3D 80MG TAB(1) 1*10TAB</t>
  </si>
  <si>
    <t>MONTINA L SYP 1*60ML</t>
  </si>
  <si>
    <t>GABAMAX NT CAP 1*10CAP</t>
  </si>
  <si>
    <t>ZINCOVIT-TAB 1*15TAB</t>
  </si>
  <si>
    <t>ALPHAGAN Z DROP 1*5ML</t>
  </si>
  <si>
    <t>XONE-1GM-INJ 1*1VIAL</t>
  </si>
  <si>
    <t>TOLKEM D TAB 1*10 TAB</t>
  </si>
  <si>
    <t>OLYMPRIX-20MG TAB 1*15TAB</t>
  </si>
  <si>
    <t>DAPANORM-TRIO FORTE TAB 1*10TAB</t>
  </si>
  <si>
    <t>CRINA NCR 15MG TAB 1*5TAB</t>
  </si>
  <si>
    <t>BLADMIR-S 25 COMBIKIT 1*14TAB</t>
  </si>
  <si>
    <t>MET XL 25MG TAB 1*20TAB</t>
  </si>
  <si>
    <t>TIXYLIX SYRUP 1*60ML</t>
  </si>
  <si>
    <t>EPILEX SYRUP(1) 1*200ML</t>
  </si>
  <si>
    <t>CALCIQUICK D3 1*4</t>
  </si>
  <si>
    <t>SUGAR FREE GOLD POWDER 200SPOONS</t>
  </si>
  <si>
    <t>WYSOLONE 5MG TAB(1) 1*15TAB</t>
  </si>
  <si>
    <t>NADOXIN CREAM 1*10GM</t>
  </si>
  <si>
    <t>DROTIN-SYP 1*100ML</t>
  </si>
  <si>
    <t>WALAMYCIN SYRUP 1*30ML</t>
  </si>
  <si>
    <t>GLYCOMET 250MG TAB(1) 1*10TAB</t>
  </si>
  <si>
    <t>ROSEDAY A 20MG TAB 1*10TAB</t>
  </si>
  <si>
    <t>METOCARD XL 25MG TAB 1*10TAB</t>
  </si>
  <si>
    <t>NITYAM TAB 1*10TAB</t>
  </si>
  <si>
    <t>KOFLET H TAB 1*6TAB</t>
  </si>
  <si>
    <t>NORMAXIN TAB 1*20TAB</t>
  </si>
  <si>
    <t>CYRA-LS TAB 1*10TAB</t>
  </si>
  <si>
    <t>VOLINI SPRAY 1*15GM</t>
  </si>
  <si>
    <t>TEAR DROPS 1*10ML</t>
  </si>
  <si>
    <t>ROZALET 10 CAP 1*10CAP</t>
  </si>
  <si>
    <t>MONOTRATE SR 30MG TAB 1*10TAB</t>
  </si>
  <si>
    <t>MILFLOX DROP 1*5ML</t>
  </si>
  <si>
    <t>MEGABROM EYE DROP 1*5ML</t>
  </si>
  <si>
    <t>DAPEFY 10MG TAB 1*14TAB</t>
  </si>
  <si>
    <t>BILASURE 20MG TAB 1*10TAB</t>
  </si>
  <si>
    <t>VALPARIN-200MG TAB 1*15TAB</t>
  </si>
  <si>
    <t>OZOVAS-F TAB 1*10TAB</t>
  </si>
  <si>
    <t>OZOMET-PG 2MG TAB 1*15TAB</t>
  </si>
  <si>
    <t>OSIL CREAM 1*30GM</t>
  </si>
  <si>
    <t>DIZONE TAB 1*10TAB</t>
  </si>
  <si>
    <t>GLUFLOZIN 10MG TAB 1*15TAB</t>
  </si>
  <si>
    <t>SLEPNEX-0.25MG TAB 1*10TAB</t>
  </si>
  <si>
    <t>MICROCID SR CAP 1*10TAB</t>
  </si>
  <si>
    <t>DOLOPAR M SUSPENSION 1*60ML</t>
  </si>
  <si>
    <t>DOLO-250-SYP 1*60ML</t>
  </si>
  <si>
    <t>DAJIO M 1000MG TAB 1*10TAB</t>
  </si>
  <si>
    <t>NASIVION CLASSIC ADULT 1*15ML</t>
  </si>
  <si>
    <t>TELMED ACT 40MG TAB(1) 1*10TAB</t>
  </si>
  <si>
    <t>FARO XT TAB 1*10TAB</t>
  </si>
  <si>
    <t>ACENAC-SP TAB 1*10TAB</t>
  </si>
  <si>
    <t>DROTIN DS SYP 1*100ML</t>
  </si>
  <si>
    <t>DILONA FORTE TAB 1*10TAB</t>
  </si>
  <si>
    <t>COAID SYRUP 1*60ML</t>
  </si>
  <si>
    <t>CB-12 INJ 2*2.5ML</t>
  </si>
  <si>
    <t>TELMIKIND-TRIO 12.5 TAB 1*10TAB</t>
  </si>
  <si>
    <t>TELMIKIND-40MG TAB 1*10TAB</t>
  </si>
  <si>
    <t>MOXIKIND CV 625MG TAB 1*10TAB</t>
  </si>
  <si>
    <t>DOLOKIND PLUS TAB 1*10TAB</t>
  </si>
  <si>
    <t>ASTHAKIND LS DROPS 15ML</t>
  </si>
  <si>
    <t>THYROX 150MG TAB(1) 1*100TAB</t>
  </si>
  <si>
    <t>OLMESAR A TAB 1*15</t>
  </si>
  <si>
    <t>MOXIMAC TAB 1*10TAB</t>
  </si>
  <si>
    <t>MACTOR 10MG TAB(1) 1*10TAB</t>
  </si>
  <si>
    <t>MACSITA-M 50/500MG TAB 1*10TAB</t>
  </si>
  <si>
    <t>MACBRITE D3 400IU DROPS 1*15ML</t>
  </si>
  <si>
    <t>GEN D3 60K 1*8CAP</t>
  </si>
  <si>
    <t>L CIN OZ SYRUP 1*30ML</t>
  </si>
  <si>
    <t>BUDAMATE-400 R/C 1*30CAP</t>
  </si>
  <si>
    <t>AUVELIA TAB 1*10</t>
  </si>
  <si>
    <t>NORFAGYL PLUS SYRUP 1*60ML</t>
  </si>
  <si>
    <t>EMBETA XR-25MG TAB(1) 1*30TAB</t>
  </si>
  <si>
    <t>DIVAA 250MG TAB(1) 1*15TAB</t>
  </si>
  <si>
    <t>CLOBA 5MG TAB(1) 1*15TAB</t>
  </si>
  <si>
    <t>CLAVIX 75MG TAB(1) 1*15TAB</t>
  </si>
  <si>
    <t>TRETIN-0.05% CREAM 1*30GM</t>
  </si>
  <si>
    <t>ASCORIL LS JUNIOR SYRUP 1*60ML</t>
  </si>
  <si>
    <t>ASCORIL LS DROPS 1*15ML</t>
  </si>
  <si>
    <t>ASCORIL D PLUS SYP 1*100ML</t>
  </si>
  <si>
    <t>PIRITON-CS SYRUP 1*100ML</t>
  </si>
  <si>
    <t>OSTOCALCIUM  SYP 200ML 200ML</t>
  </si>
  <si>
    <t>XILIA MP 1MG TAB(1) 1*10TAB</t>
  </si>
  <si>
    <t>DREP EAR DROP 1*5ML</t>
  </si>
  <si>
    <t>VOZET 5MG TAB 1*10TAB</t>
  </si>
  <si>
    <t>CHEERIO GEL 1*75GM</t>
  </si>
  <si>
    <t>THEO ASTHALIN FORTE TAB 1*20TAB</t>
  </si>
  <si>
    <t>MOXICIP EYE DROPS 5ML 1*5ML</t>
  </si>
  <si>
    <t>LEVEPSY 500MG TAB(1) 1*15TAB</t>
  </si>
  <si>
    <t>JUNIOR LANZOL 15MG TAB 1*15TAB</t>
  </si>
  <si>
    <t>FLUDAC 20MG CAP(1) 1*15CAP</t>
  </si>
  <si>
    <t>ATORVA-10MG TAB 1*15TAB</t>
  </si>
  <si>
    <t>AMLODAC-T TAB 1*15TAB</t>
  </si>
  <si>
    <t>STRESNIL-0.5MG TAB(1) 1*10TAB</t>
  </si>
  <si>
    <t>MONTINA-L SYRUP(1) 1*30ML</t>
  </si>
  <si>
    <t>MEGA-CV DRY SYRUP 1*30ML</t>
  </si>
  <si>
    <t>COFSTOP A SYRUP 1*100ML</t>
  </si>
  <si>
    <t>ZINCOVIT SYP 1*200ML</t>
  </si>
  <si>
    <t>DETTOL HAND SANITIZER 1*25ML</t>
  </si>
  <si>
    <t>UPRISE-D3 DROPS 1*15ML</t>
  </si>
  <si>
    <t>TSART TRIO 12.5MG TAB(1) 1*10TAB</t>
  </si>
  <si>
    <t>TAXIM O FORTE SYP 1*30ML</t>
  </si>
  <si>
    <t>TAXIM 100 TAB 1*10</t>
  </si>
  <si>
    <t>SWICH DROPS 1*10ML</t>
  </si>
  <si>
    <t>NEUROKEM PLUS CAP(1) 1*10CAP</t>
  </si>
  <si>
    <t>MIGRABETA TR 40MG TAB 1*15TAB</t>
  </si>
  <si>
    <t>GLUCORYL M 2 TAB 1*15TAB</t>
  </si>
  <si>
    <t>CETIRIZ SYP 60ML 60ML</t>
  </si>
  <si>
    <t>WIKORYL-AF DROP 1*15ML</t>
  </si>
  <si>
    <t>VALEMBIC 80MG AM TAB 1*10TAB</t>
  </si>
  <si>
    <t>GLISEN PM 1 TAB(1) 1*15TAB</t>
  </si>
  <si>
    <t>VOAGE GM 2 TAB 1*10</t>
  </si>
  <si>
    <t>N.S.ING 1*100ML</t>
  </si>
  <si>
    <t>DURANZO TAB 1*10TAB</t>
  </si>
  <si>
    <t>SORBITRATE-5MG TAB(1) 1*50TAB</t>
  </si>
  <si>
    <t>PENTIDS-400 TAB 1*10TAB</t>
  </si>
  <si>
    <t>INDERAL LA 20MG TAB 1*15TAB</t>
  </si>
  <si>
    <t>GANATON 50MG TAB 1*10TAB</t>
  </si>
  <si>
    <t>ASCABIOL EMULSION 1*100ML</t>
  </si>
  <si>
    <t>ROOHAFZA 750ML</t>
  </si>
  <si>
    <t>CILIX TC 40 1*15</t>
  </si>
  <si>
    <t>STOCK &lt;= 30 DAYS [3.85 Lakh - 26.73%]</t>
  </si>
  <si>
    <t>SIMILAC-1 RIFIL 600RS 1*400GM</t>
  </si>
  <si>
    <t>DEXOLAC HI-KAL(TIN) 1*400GM</t>
  </si>
  <si>
    <t>APTAMIL-GOLD 2 REFIL 1*400GM</t>
  </si>
  <si>
    <t>TELVAS 40MG TAB 1*15TAB</t>
  </si>
  <si>
    <t>LIPAGLYN 4MG TAB 1*10TAB</t>
  </si>
  <si>
    <t>APTAMIL GOLD 1 RF 400GM [975] 1*450GM</t>
  </si>
  <si>
    <t>CERELAC WHEAT/RICE /FRUIT 1*300G</t>
  </si>
  <si>
    <t>LACTOGEN PRO 2 1KG</t>
  </si>
  <si>
    <t>TRIGLIMIPREX-2MG TAB 1*10TAB</t>
  </si>
  <si>
    <t>MONTINA-L TAB 1*10TAB</t>
  </si>
  <si>
    <t>SIMILAC-PLUS 2 POWDER 1*200GM</t>
  </si>
  <si>
    <t>DEXOLAC 1 REFIL 1KG</t>
  </si>
  <si>
    <t>NAN PRO 1RIFILL 1*400G</t>
  </si>
  <si>
    <t>DEXOLAC 3 RIFILL 1*400GM</t>
  </si>
  <si>
    <t>RYZODEG PENFILL 1*3ML</t>
  </si>
  <si>
    <t>ZORYL M 2MG FORTE TAB 1*15TAB</t>
  </si>
  <si>
    <t>VANTEJ TOOTHPASTE 1*100GM</t>
  </si>
  <si>
    <t>COBALMAX FORTE CAP 1*10CAP</t>
  </si>
  <si>
    <t>JAMUN NEEM KARELA RAS 1LTR 1*1000LTR</t>
  </si>
  <si>
    <t>TELVAS-3D TAB 1*10TAB</t>
  </si>
  <si>
    <t>AMLOSAFE-AT-TAB(1) 1*15TAB</t>
  </si>
  <si>
    <t>SOMPRAZ L CAP 1*10TAB</t>
  </si>
  <si>
    <t>RIFAGUT 550MG TAB 1*10TAB</t>
  </si>
  <si>
    <t>REVITAL H TAB 1*30CAP</t>
  </si>
  <si>
    <t>RANOZEX TAB 1*10TAB</t>
  </si>
  <si>
    <t>PANTOCID-DSR CAP 1*15CAP</t>
  </si>
  <si>
    <t>GEMER-2MG TAB 1*15TAB</t>
  </si>
  <si>
    <t>BECOSULES CAP 1*20CAP</t>
  </si>
  <si>
    <t>NAN EXCELLA PRO 3 1*400GM</t>
  </si>
  <si>
    <t>LACTOGEN PRO 3RIFF 1*400G</t>
  </si>
  <si>
    <t>EVION 400MG CAP 1*20CAP</t>
  </si>
  <si>
    <t>MAMY POKO M22 22PT</t>
  </si>
  <si>
    <t>GLUCONORM VG-2 FORTE TAB 1*15TAB</t>
  </si>
  <si>
    <t>AKURIT-4MG TAB 1*10TAB</t>
  </si>
  <si>
    <t>BENIZEP CAP 1*10TAB</t>
  </si>
  <si>
    <t>LEVIGRESS-500MG TAB 1*10TAB</t>
  </si>
  <si>
    <t>EIREF CAP 1*10CAP</t>
  </si>
  <si>
    <t>REVELOL-AM 50/5MG TAB 1*15TAB</t>
  </si>
  <si>
    <t>HCQS-200MG TAB 1*15TAB</t>
  </si>
  <si>
    <t>OLCURE-TRIO 40MG TAB 1*15TAB</t>
  </si>
  <si>
    <t>MYMI MAX CAP 1*10TAB</t>
  </si>
  <si>
    <t>DYDROHOPE TAB 1*10TAB</t>
  </si>
  <si>
    <t>TELVAS H-80/12.5MG TAB(1) 1*10TAB</t>
  </si>
  <si>
    <t>PROSTAGARD D 8 TAB 1*10TAB</t>
  </si>
  <si>
    <t>TRIVOSE 2/02 TAB 1*15</t>
  </si>
  <si>
    <t>DAPANORM-TRIO TAB 1*10TAB</t>
  </si>
  <si>
    <t>TAXIM-O-200MG TAB 1*10TAB</t>
  </si>
  <si>
    <t>CEHAM P TAB(1) 1*10TAB</t>
  </si>
  <si>
    <t>GLISEN MF FORTE 1 1*15TAB</t>
  </si>
  <si>
    <t>GLIPY MET 500MG TAB 1*15TAB</t>
  </si>
  <si>
    <t>CETANIL TRIO 12.5 TAB(1) 1*10TAB</t>
  </si>
  <si>
    <t>SIMILAC 2 600RS 1*400GM</t>
  </si>
  <si>
    <t>IMEGLYN 1000MG TAB 1*10TAB</t>
  </si>
  <si>
    <t>NASOCLEAR DROP 20ML 1*20ML</t>
  </si>
  <si>
    <t>ESLO TEL 5MG TAB 1*15TAB</t>
  </si>
  <si>
    <t>AUTRIN CAP 1*30CAP</t>
  </si>
  <si>
    <t>SPASMO-PROXYVON PLUS CAP 1*8CAP</t>
  </si>
  <si>
    <t>TRIGLYNASE-2MG TAB 1*10TAB</t>
  </si>
  <si>
    <t>JALRA 50 TAB 1*15</t>
  </si>
  <si>
    <t>VORXAR TAB 1*10TAB</t>
  </si>
  <si>
    <t>TRIOLSAR 40MG HS TAB 1*10TAB</t>
  </si>
  <si>
    <t>TORVATE CHRONO 500MG 1*10TAB</t>
  </si>
  <si>
    <t>SITAXA M 50/500MG TAB 1*15TAB</t>
  </si>
  <si>
    <t>SHELCAL 500(BOTTLE) (40TAB)</t>
  </si>
  <si>
    <t>OLSAR CH 40/12.5MG TAB 1*10TAB</t>
  </si>
  <si>
    <t>LAMITOR OD 100MG TAB 1*10TAB</t>
  </si>
  <si>
    <t>EUREPA V 0.5/0.2MG TAB 1*10TAB</t>
  </si>
  <si>
    <t>DYDROPREG TAB 1*10TAB</t>
  </si>
  <si>
    <t>LIV-52 TAB 1*100TAB</t>
  </si>
  <si>
    <t>CYRA D CAP 1*10CAP</t>
  </si>
  <si>
    <t>SOMPRAZ 40MG TAB 1*15TAB</t>
  </si>
  <si>
    <t>ROPARK XL 2MG TAB 1*10TAB</t>
  </si>
  <si>
    <t>REVITAL-H(WOMAN) 1*10TAB</t>
  </si>
  <si>
    <t>REVITAL H CAP 1*10CAP</t>
  </si>
  <si>
    <t>PROLOMET-XL 50MG TAB 1*10TAB</t>
  </si>
  <si>
    <t>PRAZOPRESS XL 5MG TAB 1*30TAB</t>
  </si>
  <si>
    <t>PANTOCID-L CAP 1*10CAP</t>
  </si>
  <si>
    <t>PANTOCID-IT CAP 1*10CAP</t>
  </si>
  <si>
    <t>OXETOL 300MG TAB(1) 1*10TAB</t>
  </si>
  <si>
    <t>OPIPROL 50MG TAB(1) 1*10TAB</t>
  </si>
  <si>
    <t>LUMIA 60K CAP 1*8CAP</t>
  </si>
  <si>
    <t>LACTIHEP-SYRUP 1*200ML</t>
  </si>
  <si>
    <t>ETOSHINE 60MG TAB 1*10TAB</t>
  </si>
  <si>
    <t>DUZELA M 30MG CAP(1) 1*10CAP</t>
  </si>
  <si>
    <t>DRONIS-30MG TAB 1*21TAB</t>
  </si>
  <si>
    <t>BILASURE M 40 TAB 1*10</t>
  </si>
  <si>
    <t>NOVELON TAB 1*21TAB</t>
  </si>
  <si>
    <t>DAFLON 500MG TAB 1*10TAB</t>
  </si>
  <si>
    <t>CARDACE 5MG TAB(1) 1*15TAB</t>
  </si>
  <si>
    <t>CARDACE 2.5MG TAB(1) 1*15TAB</t>
  </si>
  <si>
    <t>CARDACE 10MG TAB(1) 1*10TAB</t>
  </si>
  <si>
    <t>ALLEGRA M TAB 1*10TAB</t>
  </si>
  <si>
    <t>ALNITRO-2.6MG TAB 1*30TAB</t>
  </si>
  <si>
    <t>ETIZGO S 10 1*10</t>
  </si>
  <si>
    <t>MUCAINE GEL/ORANGE/ 200ML</t>
  </si>
  <si>
    <t>GELUSIL MPS SYRUP 1*200ML</t>
  </si>
  <si>
    <t>PERFECXA BP 1*1</t>
  </si>
  <si>
    <t>GLIZID M TAB(1) 1*15TAB</t>
  </si>
  <si>
    <t>WANISH CREAM 1*25GM</t>
  </si>
  <si>
    <t>OSIL CAP 1*10CAP</t>
  </si>
  <si>
    <t>KETOL Z SOAP 1*75GM</t>
  </si>
  <si>
    <t>ALLGEL-O-SYP 1*210ML</t>
  </si>
  <si>
    <t>LACTOGEN PRO 4 1*400G</t>
  </si>
  <si>
    <t>JANUMET-50/500MG TAB(1) 1*15TAB</t>
  </si>
  <si>
    <t>NEBILONG AM TAB 1*15TAB</t>
  </si>
  <si>
    <t>AMLONG MT 25MG TAB 1*15TAB</t>
  </si>
  <si>
    <t>CALCIMAX-500 TAB 1*30TAB</t>
  </si>
  <si>
    <t>CALCIMAX TOTAL TAB 1*15TAB</t>
  </si>
  <si>
    <t>POLYBION-LC SYRUP 1*100ML</t>
  </si>
  <si>
    <t>CONCOR COR 2.5MG TAB 1*10TAB</t>
  </si>
  <si>
    <t>GEPRIDE M 2MG TAB 1*10TAB</t>
  </si>
  <si>
    <t>ABEVIA-N TAB 1*10TAB</t>
  </si>
  <si>
    <t>TELMIKIND-H TAB(1) 1*10TAB</t>
  </si>
  <si>
    <t>RANIDOM-O SYRUP 1*200ML</t>
  </si>
  <si>
    <t>NUROKIND-LC TAB 1*15TAB</t>
  </si>
  <si>
    <t>HEPAKIND 300MG TAB 1*10TAB</t>
  </si>
  <si>
    <t>CANDIFORCE-200CAP 1*7CAP</t>
  </si>
  <si>
    <t>BISOHEART-2.5-TAB 1*10TAB</t>
  </si>
  <si>
    <t>DARD HARN-OIL 1*100ML</t>
  </si>
  <si>
    <t>TRIOLMESAR 40MG TAB(1) 1*10TAB</t>
  </si>
  <si>
    <t>THYROX-88MG TAB(1) 1*100TAB</t>
  </si>
  <si>
    <t>TENLIMAC TAB 1*10TAB</t>
  </si>
  <si>
    <t>SETFRAC PLUS TAB 1*15TAB</t>
  </si>
  <si>
    <t>ROSUMAC 10MG 1*15</t>
  </si>
  <si>
    <t>OLMESAR-H-40MG TAB(1) 1*15TAB</t>
  </si>
  <si>
    <t>NEXOVAS O 40 TAB 1*10</t>
  </si>
  <si>
    <t>NEXOVAS CH TAB 1*10TAB</t>
  </si>
  <si>
    <t>LEVOMAC 500MG TAB 1*10TAB</t>
  </si>
  <si>
    <t>GEMINOR-M-3-FORTE-TAB 1*15TAB</t>
  </si>
  <si>
    <t>GEMINOR M 2MG TAB 1*15TAB</t>
  </si>
  <si>
    <t>DAPAMAC 10MG TAB 1*10TAB</t>
  </si>
  <si>
    <t>BUDETROL-G ROTACAP 1*30CAP</t>
  </si>
  <si>
    <t>BUDETROL-400-ROTACAP 1*30CAP</t>
  </si>
  <si>
    <t>BIO D3 XT TAB 1*15</t>
  </si>
  <si>
    <t>AEROTROP F INHAL 1*180MD</t>
  </si>
  <si>
    <t>VERIFICA-M 50/500MG TAB 1*15TAB</t>
  </si>
  <si>
    <t>LINVAS 4MG TAB 1*10TAB</t>
  </si>
  <si>
    <t>TELISTA CL TAB 1*10</t>
  </si>
  <si>
    <t>TELISTA-AM TAB(1) 1*15TAB</t>
  </si>
  <si>
    <t>SOFTOVAC POWDER 1*100GM</t>
  </si>
  <si>
    <t>R-CINEX-E TAB 1*6TAB</t>
  </si>
  <si>
    <t>GLUCONORM PG 2MG TAB 1*15TAB</t>
  </si>
  <si>
    <t>FRUSELAC TAB 1*10TAB</t>
  </si>
  <si>
    <t>KETOFORD OINT 1*15GM</t>
  </si>
  <si>
    <t>CLOBETA GM OINT 1*20GM</t>
  </si>
  <si>
    <t>SACULYSIN-50MG TAB 1*14TAB</t>
  </si>
  <si>
    <t>SITAHENZ DM 1000MG TAB 1*10TAB</t>
  </si>
  <si>
    <t>SPEED HEIGHT CAP 1*20CAP</t>
  </si>
  <si>
    <t>RANTAC SYRUP 1*100ML</t>
  </si>
  <si>
    <t>NICARDIA XL 30MG TAB(1) 1*15</t>
  </si>
  <si>
    <t>DAPACOSE 10 TAB 1*10TAB</t>
  </si>
  <si>
    <t>REVELOL-XL-50MG TAB 1*15TAB</t>
  </si>
  <si>
    <t>LEFNO 10MG TAB(1) 1*10TAB</t>
  </si>
  <si>
    <t>ZENOXA-600MG TAB(1) 1*10TAB</t>
  </si>
  <si>
    <t>REJUNEX CD3 TAB 1*10TAB</t>
  </si>
  <si>
    <t>QUIKHALE SF 250 CAP(1) 1*30CAP</t>
  </si>
  <si>
    <t>POTRATE SF SYRUP 1*200ML</t>
  </si>
  <si>
    <t>LULIBET CREAM 1*30GM</t>
  </si>
  <si>
    <t>EMBETA XR 50MG TAB(1) 1*30TAB</t>
  </si>
  <si>
    <t>DEPRAN-10MG TAB 1*15TAB</t>
  </si>
  <si>
    <t>BACLOF LIQUID(1) 1*100ML</t>
  </si>
  <si>
    <t>SENSODENT K/FAST RELIEF 1*125G</t>
  </si>
  <si>
    <t>CHERI XT TAB 1*15TAB</t>
  </si>
  <si>
    <t>QSITA M-50/1000MG TAB 1*10TAB</t>
  </si>
  <si>
    <t>QSITA-DM 500MG TAB 1*15TAB</t>
  </si>
  <si>
    <t>DAPAGOLD 10MG TAB 1*15TAB</t>
  </si>
  <si>
    <t>DAPA GOLD V 10MG 1*10TAB</t>
  </si>
  <si>
    <t>ZITA-DM 500MG TAB 1*15TAB</t>
  </si>
  <si>
    <t>TELMA BETA-25MG TAB 1*10TAB</t>
  </si>
  <si>
    <t>TELMA AMH 40MG 1*15TAB</t>
  </si>
  <si>
    <t>SCALPE PLUS ANTI DANDRUFF 1*75ML</t>
  </si>
  <si>
    <t>ORS RE-HYDRATION DRINK 1*200ML</t>
  </si>
  <si>
    <t>CANDITRAL SB 130 CAP 1*10CAP</t>
  </si>
  <si>
    <t>CANDID-POWDER 1*100GM</t>
  </si>
  <si>
    <t>CANDID B LOTION 10ML</t>
  </si>
  <si>
    <t>BON K2 TAB 1*10TAB</t>
  </si>
  <si>
    <t>ASCORIL LS SYRUP 1*100ML</t>
  </si>
  <si>
    <t>ALEX JUNIOR SYP 1*60ML</t>
  </si>
  <si>
    <t>ELTROXIN-100MCG-TAB 1*120TAB</t>
  </si>
  <si>
    <t>COBADEX CZS TAB 1*15TAB</t>
  </si>
  <si>
    <t>AUGMENTIN 625MG TAB 1*10TAB</t>
  </si>
  <si>
    <t>HORLICKS JUNIOR[225] 500GM</t>
  </si>
  <si>
    <t>ENO LEMON FLAVOUR 1*5GM</t>
  </si>
  <si>
    <t>CYPON SYRUP 1*200ML</t>
  </si>
  <si>
    <t>SORBILINE SYRUP (L) 1*200ML</t>
  </si>
  <si>
    <t>DEXORANGE SYRUP 1*200ML</t>
  </si>
  <si>
    <t>GLIMISAVE MV 3.3 TAB 1*10TAB</t>
  </si>
  <si>
    <t>CREVAST 20MG TAB 1*15TAB</t>
  </si>
  <si>
    <t>OROFER XT TAB 1*10TAB</t>
  </si>
  <si>
    <t>ATORFEN-10MG TAB(1) 1*10TAB</t>
  </si>
  <si>
    <t>ASOMEX 5MG TAB 1*15TAB</t>
  </si>
  <si>
    <t>EMSITA TRIO TAB 1*10</t>
  </si>
  <si>
    <t>RESWAS SYP 100ML</t>
  </si>
  <si>
    <t>TRIPHALA CHURNA  120GMS 1*120GMS</t>
  </si>
  <si>
    <t>HONITUS TULSI SYP 100ML</t>
  </si>
  <si>
    <t>VITNEURIN CZS TAB 1*15TAB</t>
  </si>
  <si>
    <t>HB 29 X TAB 1*10TAB</t>
  </si>
  <si>
    <t>CORTEL LNB 25MG TAB 1*10TAB</t>
  </si>
  <si>
    <t>SEROFLO 250 ROTACAPS 1*30</t>
  </si>
  <si>
    <t>MONTAIR-LC-KID-SYP 1*60ML</t>
  </si>
  <si>
    <t>FORACORT 400 INHALER 1*120MD</t>
  </si>
  <si>
    <t>DYTOR E 10MG TAB 1*10TAB</t>
  </si>
  <si>
    <t>DYTOR 40MG TAB 1*10TAB</t>
  </si>
  <si>
    <t>DYTOR-10MG TAB 1*15TAB</t>
  </si>
  <si>
    <t>VASOGRAIN TABLET 1*20</t>
  </si>
  <si>
    <t>BOURN VITA RIFILL 1KG 1*1KG</t>
  </si>
  <si>
    <t>R PPI L TAB 1*15TAB</t>
  </si>
  <si>
    <t>CELLUSOOTHE-GEL 1*10ML</t>
  </si>
  <si>
    <t>TITANIC K2 CAP 1*6CAP</t>
  </si>
  <si>
    <t>BRILINTA-90MG TAB 1*14TAB</t>
  </si>
  <si>
    <t>TRIOPIL-1MG TAB(1) 1*10TAB</t>
  </si>
  <si>
    <t>MONOCEF O CV 100 DRY SYRUP 1*30ML</t>
  </si>
  <si>
    <t>AMLOSAFE 3D TAB(1) 1*7TAB</t>
  </si>
  <si>
    <t>MONTINA-FX TAB 1*10TAB</t>
  </si>
  <si>
    <t>MEGAZOLID 600TAB 1*10TAB</t>
  </si>
  <si>
    <t>GABANEURON NT 300 TAB 1*15TAB</t>
  </si>
  <si>
    <t>AMLOSAFE-5MG TAB(1) 1*15TAB</t>
  </si>
  <si>
    <t>RABALKEM LS TAB 1*10TAB</t>
  </si>
  <si>
    <t>UPRISE-D3 60K SYP 1*5ML</t>
  </si>
  <si>
    <t>TSART H TAB(1) 1*10TAB</t>
  </si>
  <si>
    <t>TOFE 5MG TAB 1*10TAB</t>
  </si>
  <si>
    <t>SWICH CV 325MG TAB 1*10TAB</t>
  </si>
  <si>
    <t>NEWCITA PLUS TAB 1*10TAB</t>
  </si>
  <si>
    <t>NEUROKEM-MNT TAB 1*10TAB</t>
  </si>
  <si>
    <t>GEMCAL CAP 1*15CAP</t>
  </si>
  <si>
    <t>DAPANORM M 10MG TAB 1*10TAB</t>
  </si>
  <si>
    <t>A TO Z NS SYRUP 1*200ML</t>
  </si>
  <si>
    <t>DELTONE-60MG CAP 1*10CAP</t>
  </si>
  <si>
    <t>CETANIL-M 50MG TAB 1*10TAB</t>
  </si>
  <si>
    <t>CETANIL 10 TAB(1) 1*15TAB</t>
  </si>
  <si>
    <t>VOAGE S TAB 1*15.</t>
  </si>
  <si>
    <t>VIGADEXA E/D 1*5ML</t>
  </si>
  <si>
    <t>ADLIV SYRUP 1*200ML</t>
  </si>
  <si>
    <t>CILAMET XL 10/50 MG TAB 1*10TAB</t>
  </si>
  <si>
    <t>BRINZOX EYE DROPS 1*5ML</t>
  </si>
  <si>
    <t>AMLYCURE-DS-SYRUP 1*200ML</t>
  </si>
  <si>
    <t>SIMILAC-PLUS 3 POWDER 1*400GM</t>
  </si>
  <si>
    <t>RANOGARD-500MG TAB 1*10TAB</t>
  </si>
  <si>
    <t>NEO-MERCAZOLE 5MG 1*130</t>
  </si>
  <si>
    <t>VERTIN-16-TAB 1*15TAB</t>
  </si>
  <si>
    <t>THYRONORM-75MG TAB 1*120TAB</t>
  </si>
  <si>
    <t>RZOLE DSR CAP 1*10CAP</t>
  </si>
  <si>
    <t>ENSURE DIABETIC VAN 375GM REF 375GM</t>
  </si>
  <si>
    <t>DIGENE GEL ORANGE 1*200ML</t>
  </si>
  <si>
    <t>BETONIN SYP 210ML 1*210ML</t>
  </si>
  <si>
    <t>SUGAR FREE GOLD TAB 100TAB</t>
  </si>
  <si>
    <t>IMEGLYN 500MG TAB 1*10TAB</t>
  </si>
  <si>
    <t>WOKRIDE CAP 1*15CAP</t>
  </si>
  <si>
    <t>BRO-ZEDEX EXP SYP 1*100ML</t>
  </si>
  <si>
    <t>ORASORE GEL 1*10GM</t>
  </si>
  <si>
    <t>DROTIN INJ 1*2ML</t>
  </si>
  <si>
    <t>LYNX INJ 1*2ML</t>
  </si>
  <si>
    <t>GP-2MG TAB(1) 1*10TAB</t>
  </si>
  <si>
    <t>GLYCOMET TRIO 1MG TAB(1) 1*10TAB</t>
  </si>
  <si>
    <t>GLYCOMET-1GM TAB 1*15TAB</t>
  </si>
  <si>
    <t>D RISE 60K CAP 1*4CAP</t>
  </si>
  <si>
    <t>DEROBIN OINT 1*30GM</t>
  </si>
  <si>
    <t>ANOVATE CREAM 1*20GM</t>
  </si>
  <si>
    <t>VIZYLAC RICH CAP 1*10CAP</t>
  </si>
  <si>
    <t>DOMADOL CAP 1*10CAP</t>
  </si>
  <si>
    <t>MAMYPOKO WIPES 1*100WIPES</t>
  </si>
  <si>
    <t>VIZYLAC GG DROPS 1*3.5ML</t>
  </si>
  <si>
    <t>SHELCAL SYRUP 1*200ML</t>
  </si>
  <si>
    <t>SHELCAL-250MG TAB 1*30TAB</t>
  </si>
  <si>
    <t>PRUVICT 2MG TAB 1*10TAB</t>
  </si>
  <si>
    <t>ENZAR FORTE TAB 1*15TAB</t>
  </si>
  <si>
    <t>DEPLATT 75 TAB 1*15TAB</t>
  </si>
  <si>
    <t>MEDISALIC SOAP 1*100GM</t>
  </si>
  <si>
    <t>MEDISALIC OINT 1*20GM</t>
  </si>
  <si>
    <t>HIMALAYA BABY CREAM 1*100ML</t>
  </si>
  <si>
    <t>CYSTONE SYRUP 1*200ML</t>
  </si>
  <si>
    <t>CONFIDO TAB 1*60TAB</t>
  </si>
  <si>
    <t>BRAHMI TAB 1*60TAB</t>
  </si>
  <si>
    <t>ISRYL M 1MG TAB 1*15TAB</t>
  </si>
  <si>
    <t>LOTEFLOX-E/D 1*5ML</t>
  </si>
  <si>
    <t>CAREBET-G-CREAM 1*15GM</t>
  </si>
  <si>
    <t>STOMAFIT SYRUP 1*100ML</t>
  </si>
  <si>
    <t>ZENOXA-SYP 1*100ML</t>
  </si>
  <si>
    <t>XAFINACT 50MG TAB 1*10TAB</t>
  </si>
  <si>
    <t>TEAR DROPS GEL 10ML</t>
  </si>
  <si>
    <t>SOMPRAZ-IT CAP 1*10CAP</t>
  </si>
  <si>
    <t>ROLES-D (20MG+30MG)CAP(1) 1*10CAP</t>
  </si>
  <si>
    <t>PROLOMET XL 25MG TAB 1*15TAB</t>
  </si>
  <si>
    <t>OLEANZ 10MG TAB 1*10TAB</t>
  </si>
  <si>
    <t>MOXCLAV DS 457MG SUS 1*30ML</t>
  </si>
  <si>
    <t>MIRTAZ 7.5MG TAB 1*10TAB</t>
  </si>
  <si>
    <t>LETROZ 2.5MG TAB 1*5TAB</t>
  </si>
  <si>
    <t>ETOSHINE 90MG TAB 1*15TAB</t>
  </si>
  <si>
    <t>CHERICOF-JUNIOR-SYP 1*60ML</t>
  </si>
  <si>
    <t>BREVIPIL 50MG TAB 1*10TAB</t>
  </si>
  <si>
    <t>BETACAP-TR-40MG CAP(1) 1*10CAP</t>
  </si>
  <si>
    <t>AQUAZIDE-25MG TAB(1) 1*10TAB</t>
  </si>
  <si>
    <t>ALLEGRA-120MG TAB 1*10TAB</t>
  </si>
  <si>
    <t>OLISTU OIL 1*100ML</t>
  </si>
  <si>
    <t>RALOP SYRUP 1*30ML</t>
  </si>
  <si>
    <t>NAPROSYN 250 TAB 1*15TAB</t>
  </si>
  <si>
    <t>LOMOFEN + TAB 1*20TAB</t>
  </si>
  <si>
    <t>RICONIA LP TAB 1*30TAB</t>
  </si>
  <si>
    <t>VEET CREM 25GM 25GM</t>
  </si>
  <si>
    <t>DETTOL HAND WASH 1*900ML</t>
  </si>
  <si>
    <t>RAMODAP-M TAB 1*10TAB</t>
  </si>
  <si>
    <t>MINIPRESS XL 2.5MG TAB(1) 1*30TAB</t>
  </si>
  <si>
    <t>MEDROL-8MG TAB(1) 1*14TAB</t>
  </si>
  <si>
    <t>HETRAZAN 100MG TAB 1*30</t>
  </si>
  <si>
    <t>DOLONEX DT 20MG TAB 1*15TAB</t>
  </si>
  <si>
    <t>MOOV OINT 1*10GM</t>
  </si>
  <si>
    <t>OZOTEL H TAB 1*30TAB</t>
  </si>
  <si>
    <t>OZOMET-PG 1MG TAB 1*15TAB</t>
  </si>
  <si>
    <t>LUBRINAC EYE DROP 1*10ML</t>
  </si>
  <si>
    <t>VILDOMISH-M 50/1000MG TAB 1*15TAB</t>
  </si>
  <si>
    <t>ENDOPLAT AV 20/75MG CAP 1*10CAP</t>
  </si>
  <si>
    <t>NIVEA SOFT MOISTURISER  CREAM 1*100ML</t>
  </si>
  <si>
    <t>ORTHOGAT OIL 200ML</t>
  </si>
  <si>
    <t>UNICONTIN-E-600MG TAB(1) 1*10TAB</t>
  </si>
  <si>
    <t>V WASH 20ML 1*20ML</t>
  </si>
  <si>
    <t>AD VITAMIN BABY OIL 1*100ML</t>
  </si>
  <si>
    <t>TURBOVAS 10MG TAB 1*10TAB</t>
  </si>
  <si>
    <t>NULONG 5MG TAB(1) 1*10TAB</t>
  </si>
  <si>
    <t>MICRODOX LBX CAP 1*10CAP</t>
  </si>
  <si>
    <t>DOTHIP 75MG TAB 1*10TAB</t>
  </si>
  <si>
    <t>PETRIL BETA 20MG 1*15TAB</t>
  </si>
  <si>
    <t>DIAPRIDE-M 0.5MG TAB 1*15TAB</t>
  </si>
  <si>
    <t>COLICAID DROPS 1*15ML</t>
  </si>
  <si>
    <t>XYMEX DROP 1*15ML</t>
  </si>
  <si>
    <t>O2-SYP 1*60ML</t>
  </si>
  <si>
    <t>NORTIPAN M TAB(1) 1*10TAB</t>
  </si>
  <si>
    <t>GEPRIDE M 2MG FORTE TAB 1*10TAB</t>
  </si>
  <si>
    <t>ACENAC-P-TAB 1*15TAB</t>
  </si>
  <si>
    <t>MORISON STEEL FEEDIG 200ML</t>
  </si>
  <si>
    <t>MAMY POKO XXL 14 14PTT</t>
  </si>
  <si>
    <t>ZINCUP SYRUP 1*100ML</t>
  </si>
  <si>
    <t>DILONA GEL 1*30GM</t>
  </si>
  <si>
    <t>VOGLISTAR MD 0.3TAB 1*15TAB</t>
  </si>
  <si>
    <t>TERBINAFORCE PLUS CREAM 1*15GM</t>
  </si>
  <si>
    <t>TERBINAFORCE 500MG TAB 1*7TAB</t>
  </si>
  <si>
    <t>TELMIKIND BETA 50MG TAB(1) 1*10TAB</t>
  </si>
  <si>
    <t>NUROKIND PLUS CAP(1) 1*10CAP</t>
  </si>
  <si>
    <t>NUFORCE 200MG TAB 1*1TAB</t>
  </si>
  <si>
    <t>MAHAFLOX EYE DROP 1*5ML</t>
  </si>
  <si>
    <t>LUBISTAR 1% E/D 1*10ML</t>
  </si>
  <si>
    <t>JUSTOZA S/10/100 1*15</t>
  </si>
  <si>
    <t>JUSLINA-5MG TAB 1*10TAB</t>
  </si>
  <si>
    <t>GLIMESTAR 2MG TAB(1) 1*10TAB</t>
  </si>
  <si>
    <t>D3 MUST 60K TAB 1*8TAB</t>
  </si>
  <si>
    <t>BISOHEART 5MG TAB 1*10TAB</t>
  </si>
  <si>
    <t>ASTHAKIND-DX SYRUP 1*100ML</t>
  </si>
  <si>
    <t>ACNESTAR-2.5% SOAP 1*75GM</t>
  </si>
  <si>
    <t>VILDAMAC 50MG TAB 1*15TAB</t>
  </si>
  <si>
    <t>SETFRAC CAP 1*10CAP</t>
  </si>
  <si>
    <t>OMNACORTIL FORTE SUSP 1*60ML</t>
  </si>
  <si>
    <t>OMNACORTIL 20MG TAB(1) 1*10TAB</t>
  </si>
  <si>
    <t>MACZORB TAB 1*10TAB</t>
  </si>
  <si>
    <t>MACPROT KESAR POWDER 1*200GM</t>
  </si>
  <si>
    <t>MACGESIA PAIN RELIEF ROLL ON 1*50ML</t>
  </si>
  <si>
    <t>MACBERY DC SYP 60ML</t>
  </si>
  <si>
    <t>ETIZOLA 0.5MG TAB 1*10TAB</t>
  </si>
  <si>
    <t>ERDOMAC 300MG CAP 1*6CAP</t>
  </si>
  <si>
    <t>ENZOMAC TAB 1*10TAB</t>
  </si>
  <si>
    <t>ENZOMAC OINT 1*5GM</t>
  </si>
  <si>
    <t>EMPAHOPE S 25 TAB 1*10</t>
  </si>
  <si>
    <t>ANTI-THYROX-5MG TAB 1*100TAB</t>
  </si>
  <si>
    <t>ONDERO TAB(1) 1*10TAB</t>
  </si>
  <si>
    <t>GLUCONORM SR 1GM TAB 1*15TAB</t>
  </si>
  <si>
    <t>GLUCONORM P 15MG TAB 1*10TAB</t>
  </si>
  <si>
    <t>GLUCONORM-G 4MG FORTE TAB 1*15TAB</t>
  </si>
  <si>
    <t>GLADOR M 2MG TAB 1*15TAB</t>
  </si>
  <si>
    <t>BUDAMATE 200 TRANSCAP 1*30CAP</t>
  </si>
  <si>
    <t>AZEFLO NASAL SPRAY 1*70MD</t>
  </si>
  <si>
    <t>APTIVATE SYRUP 1*175ML</t>
  </si>
  <si>
    <t>RIBOCIN-LB TAB 1*10TAB</t>
  </si>
  <si>
    <t>CLOP S CREAM 1*20GM</t>
  </si>
  <si>
    <t>DROTIKIND 80 TAB 1*10TAB</t>
  </si>
  <si>
    <t>CHERRYTONE SYRUP 1*200ML</t>
  </si>
  <si>
    <t>METROGYL DG GEL FORTE 1*20GM</t>
  </si>
  <si>
    <t>LULIFORD CREAM 1*10GM</t>
  </si>
  <si>
    <t>KT5DERM CREAM 1*15GM</t>
  </si>
  <si>
    <t>FESTIVE DEE EYE/EAR DROPS 1*10ML</t>
  </si>
  <si>
    <t>NIOCLEAN GEL 1*20GM</t>
  </si>
  <si>
    <t>DECOMIC PLUS EYE DROP 1*10ML</t>
  </si>
  <si>
    <t>CERUKLIN EAR DROP 1*10ML</t>
  </si>
  <si>
    <t>DART-TAB 1*15TAB</t>
  </si>
  <si>
    <t>JOHNSON'S BABY SOAP 1*25GM</t>
  </si>
  <si>
    <t>RINGCUTER OINTMENT 1*14GM</t>
  </si>
  <si>
    <t>INDOCAP SR CAP 1*10CAP</t>
  </si>
  <si>
    <t>JBTOR 10MG TAB 1*10TAB</t>
  </si>
  <si>
    <t>ZERODOL TAB 1*10TAB</t>
  </si>
  <si>
    <t>TASULIN-D CAP 1*15CAP</t>
  </si>
  <si>
    <t>REVELOL-AM 25/2.5MG TAB(1) 1*10TAB</t>
  </si>
  <si>
    <t>PERINORM TAB 1*10TAB</t>
  </si>
  <si>
    <t>MOXISURGE D EYE DROP 1*5ML</t>
  </si>
  <si>
    <t>FOLITRAX 2.5MG TAB(1) 1*10TAB</t>
  </si>
  <si>
    <t>ZORYL-1MG TAB(1) 1*15TAB</t>
  </si>
  <si>
    <t>ZENOXA-300MG TAB(1) 1*10TAB</t>
  </si>
  <si>
    <t>TRETIVA-10MG CAP 1*10CAP</t>
  </si>
  <si>
    <t>TAH 40MG TAB 1*15TAB</t>
  </si>
  <si>
    <t>SPINFREE TAB 1*15TAB</t>
  </si>
  <si>
    <t>SITARA DM 1000MG TAB 1*10TAB</t>
  </si>
  <si>
    <t>QUIKHALE T R/C 1*30CAP</t>
  </si>
  <si>
    <t>PROVANOL-SR-40MG TAB(1) 1*10TAB</t>
  </si>
  <si>
    <t>NAPRA D 500MG TAB 1*10TAB</t>
  </si>
  <si>
    <t>LOPEZ MD 1MG TAB 1*10TAB</t>
  </si>
  <si>
    <t>LEVERA-750MG TAB(1) 1*10TAB</t>
  </si>
  <si>
    <t>HIFENAC SP TAB 1*10TAB</t>
  </si>
  <si>
    <t>GABAPIN NT 200MG TAB 1*15TAB</t>
  </si>
  <si>
    <t>ETILAAM-PRO-20MG TAB(1) 1*10TAB</t>
  </si>
  <si>
    <t>ESPIN-2.5-TAB 1*10TAB</t>
  </si>
  <si>
    <t>CARCA-3.125MG TAB 1*15TAB</t>
  </si>
  <si>
    <t>HITAP ER 50MG TAB 1*15TAB</t>
  </si>
  <si>
    <t>DAPAVEL GM 10/2/500 TAB 1*10</t>
  </si>
  <si>
    <t>KIDODENT DENTAL GEL 1*75GM</t>
  </si>
  <si>
    <t>ZECAL-FEM-TAB 1*10TAB</t>
  </si>
  <si>
    <t>NORVENT LS SYRUP 1*100ML</t>
  </si>
  <si>
    <t>DV 400 SYRUP 1*30ML</t>
  </si>
  <si>
    <t>NAVRATNA COOL TALC POWDER 1*100GM</t>
  </si>
  <si>
    <t>HIMALAYA BABY POWDER 1*400GM</t>
  </si>
  <si>
    <t>HIMALAYA BABY DERMA CREAM 50ML</t>
  </si>
  <si>
    <t>COMPLAN (MEMORY CHARGERS)RIFI 1*400GM</t>
  </si>
  <si>
    <t>TELCURE BETA 25 TAB 1*15TAB</t>
  </si>
  <si>
    <t>KAYAM TAB 1*30TAB</t>
  </si>
  <si>
    <t>HEMPUSHPA SYP 1*454ML</t>
  </si>
  <si>
    <t>PROPYSALIC-NF OINT 1*30GM</t>
  </si>
  <si>
    <t>HHLEVO M TAB 1*10TAB</t>
  </si>
  <si>
    <t>KZ PLUS SHOP 75GM</t>
  </si>
  <si>
    <t>GRANDPRIDE-MV 1MG TAB 1*10TAB</t>
  </si>
  <si>
    <t>DURAZYME SYRUP 1*200ML</t>
  </si>
  <si>
    <t>BRAVIA 20TAB 1*10TAB</t>
  </si>
  <si>
    <t>BACTRIM-DS-TAB 1*10TAB</t>
  </si>
  <si>
    <t>TELMA 20MG TAB 1*30TAB</t>
  </si>
  <si>
    <t>LIZOLID 600MG CAP 1*10CAP</t>
  </si>
  <si>
    <t>FLUCORT N SKIN CREAM 1*20GM</t>
  </si>
  <si>
    <t>CANDITRAL 200MG TAB 1*10TAB</t>
  </si>
  <si>
    <t>CANDID TOTAL PLUS CREAM 1*20GM</t>
  </si>
  <si>
    <t>ZENTEL TAB 1*1TAB</t>
  </si>
  <si>
    <t>ZENTEL SUSP 1*10ML</t>
  </si>
  <si>
    <t>T-BACT OINT 1*5GM</t>
  </si>
  <si>
    <t>SEPTRAN PEAD SUSP 1*50ML</t>
  </si>
  <si>
    <t>SENSODYNE RAPID RELIEF 1*40GM</t>
  </si>
  <si>
    <t>NEOSPORIN H OINT 1*5GM</t>
  </si>
  <si>
    <t>EUMOSONE M CREAM 1*15GM</t>
  </si>
  <si>
    <t>CALPOL PD DROPS 1*15ML</t>
  </si>
  <si>
    <t>CALPOL 650MG TAB 1*15TAB</t>
  </si>
  <si>
    <t>CROCIN-240-SYP 1*100ML</t>
  </si>
  <si>
    <t>FORMONIDE 400MG INHALAR(1) 1*120MD</t>
  </si>
  <si>
    <t>DERIPHYLLIN TAB 1*30TAB</t>
  </si>
  <si>
    <t>B-COLEN NS SYRUP 1*200ML</t>
  </si>
  <si>
    <t>SURFAZ-SN CREAM 1*10GM</t>
  </si>
  <si>
    <t>ZOCON-400MG TAB 1*1TAB</t>
  </si>
  <si>
    <t>VITCOFOL INJ 1*10ML</t>
  </si>
  <si>
    <t>COTARYL CREAM 1*50GM</t>
  </si>
  <si>
    <t>NUBION MAX CAP 1*10TAB</t>
  </si>
  <si>
    <t>REMYLIN D TAB 1*10TAB</t>
  </si>
  <si>
    <t>LN BETA 2.5MG TAB(1) 1*10TAB</t>
  </si>
  <si>
    <t>CARDEXA-25MG TAB 1*10TAB</t>
  </si>
  <si>
    <t>KIMET XL 25MG TAB 1*10TAB</t>
  </si>
  <si>
    <t>ASOMEX D TAB 1*15TAB</t>
  </si>
  <si>
    <t>FINGER COT 1*3PCS</t>
  </si>
  <si>
    <t>Z &amp; D-DS-10MG SUSP 1*15ML</t>
  </si>
  <si>
    <t>TRYPTOMER 25MG TAB 1*30TAB</t>
  </si>
  <si>
    <t>TRYPTOMER-10MG TAB 1*30TAB</t>
  </si>
  <si>
    <t>REDOTIL-CAP 1*15CAP</t>
  </si>
  <si>
    <t>CHEERIO TOOTH PAST 1*75GM</t>
  </si>
  <si>
    <t>BECOZINC CAP 1*30CAP</t>
  </si>
  <si>
    <t>ATOCOR 20MG TAB 1*14TAB</t>
  </si>
  <si>
    <t>GLUCOSE C 1*500GM</t>
  </si>
  <si>
    <t>TULSI DROPS 1*30ML</t>
  </si>
  <si>
    <t>REAL FRUIT PINE APPLE 1*1LIT</t>
  </si>
  <si>
    <t>PUDIN HARA DROPS 1*35ML</t>
  </si>
  <si>
    <t>CORTEL 3D TAB 1*10TAB</t>
  </si>
  <si>
    <t>WARF 5MG TAB 1*30TAB</t>
  </si>
  <si>
    <t>WARF 1MG TAB 1*30TAB</t>
  </si>
  <si>
    <t>VITOMIN-D3 DROPS 1*1GM</t>
  </si>
  <si>
    <t>MOXICIP KT EYE DROP 1*5ML</t>
  </si>
  <si>
    <t>MOXICIP D E/D 1*5ML</t>
  </si>
  <si>
    <t>METOLAR XR 25MG CAP(1) 1*15CAP</t>
  </si>
  <si>
    <t>KETOCIP SOAP 75GM</t>
  </si>
  <si>
    <t>FURAMIST AZ NASAL SPRAY 1*70MD</t>
  </si>
  <si>
    <t>FORACORT FORTE ROTACAPS(1) 1*30CAP</t>
  </si>
  <si>
    <t>DYTOR PLUS 5MG TAB(1) 1*15TAB</t>
  </si>
  <si>
    <t>CIPLAR LA 20MG TAB(1) 1*15TAB</t>
  </si>
  <si>
    <t>CIPLAR 40MG TAB(1) 1*15TAB</t>
  </si>
  <si>
    <t>CIPLAR 10MG TAB(1) 1*15TAB</t>
  </si>
  <si>
    <t>ATORLIP 10MG TAB(1) 1*15TAB</t>
  </si>
  <si>
    <t>ASTHALIN INHALER 1*200MD</t>
  </si>
  <si>
    <t>AMLOPRES AT 25 TAB(1) 1*15TAB</t>
  </si>
  <si>
    <t>AMLOPRES-10MG TAB(1) 1*10TAB</t>
  </si>
  <si>
    <t>AEROCORT ROTACAPS 60CAPS</t>
  </si>
  <si>
    <t>COSVATE CREAM 1*30GM</t>
  </si>
  <si>
    <t>OCUREST AH EYE DROP 1*10ML</t>
  </si>
  <si>
    <t>TORGET-PLUS-10MG TAB 1*10TAB</t>
  </si>
  <si>
    <t>RAMITORVA CAP(1) 1*10CAP</t>
  </si>
  <si>
    <t>PIVASTA-2MG TAB(1) 1*10TAB</t>
  </si>
  <si>
    <t>OCID-20-TAB 1*20CAP</t>
  </si>
  <si>
    <t>CLOPITORVA 10MG CAP(1) 1*10CAP</t>
  </si>
  <si>
    <t>ATEN-D-TAB(1) 1*10TAB</t>
  </si>
  <si>
    <t>ATEN-50MG TAB(1) 1*14TAB</t>
  </si>
  <si>
    <t>AMLODAC 5MG TAB(1) 1*30TAB</t>
  </si>
  <si>
    <t>ACILOC ONLY LIQUID 1*100ML</t>
  </si>
  <si>
    <t>TRAXOL-500MG INJ 1*1VIAL</t>
  </si>
  <si>
    <t>NE-C TAB 1*10TAB</t>
  </si>
  <si>
    <t>CAVIT 500  TAB 1*15TAB</t>
  </si>
  <si>
    <t>COSCOPIN (PD) SYP 60ML</t>
  </si>
  <si>
    <t>SELOKEN XL 50MG TAB(1) 1*30TAB</t>
  </si>
  <si>
    <t>VILDAGARD M 50/500MG TAB 1*15TAB</t>
  </si>
  <si>
    <t>TELVAS-CT LS TAB 1*10TAB</t>
  </si>
  <si>
    <t>MONOCEF O 100MG DT TAB 1*10TAB</t>
  </si>
  <si>
    <t>HATRIC-2-SYP 1*60ML</t>
  </si>
  <si>
    <t>GABANEURON 100MG TAB 1*15TAB</t>
  </si>
  <si>
    <t>DAROLAC SACHET 1*1GM</t>
  </si>
  <si>
    <t>BIGOMET-SR-1000MG TAB(1) 1*10TAB</t>
  </si>
  <si>
    <t>ATCHOL-CV-TAB 1*10TAB</t>
  </si>
  <si>
    <t>ARISTOZYME DROP 1*15ML</t>
  </si>
  <si>
    <t>AMBRODIL PLUS RF SYP 100ML 1*100ML</t>
  </si>
  <si>
    <t>PROSTAGARD D 4 CAP 1*10CAP</t>
  </si>
  <si>
    <t>AMLOSAFE MT 25MG TAB 1*10TAB</t>
  </si>
  <si>
    <t>AMBRODIL LS SYP 1*100ML</t>
  </si>
  <si>
    <t>P-100 DROPS 1*15ML</t>
  </si>
  <si>
    <t>LASMA-LC TAB(1) 1*10TAB</t>
  </si>
  <si>
    <t>PRED FORTE EYE DROP 1*10ML</t>
  </si>
  <si>
    <t>KOJIGLO GOLD CREAM 1*20GM</t>
  </si>
  <si>
    <t>INDIKOF LS SYRUP 1*60ML</t>
  </si>
  <si>
    <t>HEMFER SYRUP 1*225ML</t>
  </si>
  <si>
    <t>PENTANERV NT 100MG TAB 1*10TAB</t>
  </si>
  <si>
    <t>ONDEM SYRUP(1) 1*30ML</t>
  </si>
  <si>
    <t>NEUROKEM D 75/20MG TAB 1*10TAB</t>
  </si>
  <si>
    <t>METRON I.V 1*100ML</t>
  </si>
  <si>
    <t>EMTY-PEG-SYP 1*200ML</t>
  </si>
  <si>
    <t>DAPANORM M 5MG TAB 1*10TAB</t>
  </si>
  <si>
    <t>CRIZ M SYRUP 1*60ML</t>
  </si>
  <si>
    <t>CLAVAM DROPS 1*10ML</t>
  </si>
  <si>
    <t>CLAVAM BID SYRUP 1*30ML</t>
  </si>
  <si>
    <t>A TO Z WOMAN CAP 1*15CAP</t>
  </si>
  <si>
    <t>A TO Z NS SYRUP 1*100ML</t>
  </si>
  <si>
    <t>MIRAKEM 50 TAB 1*10</t>
  </si>
  <si>
    <t>GLIPY-DM TAB 1*15TAB</t>
  </si>
  <si>
    <t>WIKORYL TAB 1*10TAB</t>
  </si>
  <si>
    <t>CRINA-NCR 10MG TAB 1*10TAB</t>
  </si>
  <si>
    <t>BILAMBIC M 10 TAB 1*10</t>
  </si>
  <si>
    <t>ALBRIM T EYE DROPS 1*5ML</t>
  </si>
  <si>
    <t>TOVAXO EYE DROP 1*2.5ML</t>
  </si>
  <si>
    <t>SITAMAX GM FORTE 2 TAB 1*10</t>
  </si>
  <si>
    <t>NEPAFLAM EYE DROP 1*5ML</t>
  </si>
  <si>
    <t>MET XL TRIO 50MG TAB 1*10TAB</t>
  </si>
  <si>
    <t>MET XL 50MG TAB 1*20TAB</t>
  </si>
  <si>
    <t>APDROPS LP EYE DROPS 1*5ML</t>
  </si>
  <si>
    <t>APDROPS KT EYE DROP 1*5ML</t>
  </si>
  <si>
    <t>APDROPS EYE DROP 1*3ML</t>
  </si>
  <si>
    <t>AGLOZYME-C-SYRUP 1*200ML</t>
  </si>
  <si>
    <t>INDERAL LA 40MG TAB 1*15TAB</t>
  </si>
  <si>
    <t>ZOLFRESH 10MG TAB 1*15TAB</t>
  </si>
  <si>
    <t>VERTIN-24-TAB 1*15TAB</t>
  </si>
  <si>
    <t>THYRONORM-112MG TAB 1*120TAB</t>
  </si>
  <si>
    <t>OBIMET GX 1MG TAB 1*15TAB</t>
  </si>
  <si>
    <t>LANOXIN-0.25MG TAB(1) 1*10TAB</t>
  </si>
  <si>
    <t>KENACORT 4MG TAB 1*15TAB</t>
  </si>
  <si>
    <t>INDERAL 10MG TAB 1*15TAB</t>
  </si>
  <si>
    <t>ANAFORTAN TAB 1*15TAB</t>
  </si>
  <si>
    <t>ABVIDA-D 100/10MG TAB 1*10TAB</t>
  </si>
  <si>
    <t>RAPITUS JUNIOR 100SYP</t>
  </si>
  <si>
    <t>ACOTIBIEN 300 ER 1*10</t>
  </si>
  <si>
    <t>Row Labels</t>
  </si>
  <si>
    <t>Grand Total</t>
  </si>
  <si>
    <t>Sum of Sale</t>
  </si>
  <si>
    <t>Monday</t>
  </si>
  <si>
    <t>Tuesday</t>
  </si>
  <si>
    <t>Wednesday</t>
  </si>
  <si>
    <t>Thursday</t>
  </si>
  <si>
    <t>Friday</t>
  </si>
  <si>
    <t>Saturday</t>
  </si>
  <si>
    <t>Sunday</t>
  </si>
  <si>
    <t>Date</t>
  </si>
  <si>
    <t>MRP</t>
  </si>
  <si>
    <t>Revenue</t>
  </si>
  <si>
    <t>Total Revenue</t>
  </si>
  <si>
    <t>Total Units</t>
  </si>
  <si>
    <t>Clean Stock</t>
  </si>
  <si>
    <t>Inventory Status</t>
  </si>
  <si>
    <t>Column1</t>
  </si>
  <si>
    <t>Low Stock</t>
  </si>
  <si>
    <t>OK</t>
  </si>
  <si>
    <t>Count of Item Name</t>
  </si>
  <si>
    <t>Sum of Revenue</t>
  </si>
  <si>
    <t xml:space="preserve">                                                                                                        PHARMACY SALES PERFORMANCE DASHBOARD</t>
  </si>
  <si>
    <t>1. Sales Performance Analysis</t>
  </si>
  <si>
    <t>To analyze overall pharmacy sales by calculating total sales and revenue.</t>
  </si>
  <si>
    <t>2. Daily Sales Trend Analysis</t>
  </si>
  <si>
    <t>To examine how sales vary across different dates and days.</t>
  </si>
  <si>
    <t>3. Top Selling Medicines Identification</t>
  </si>
  <si>
    <t>To identify the most frequently sold medicines based on revenue.</t>
  </si>
  <si>
    <t>4. Inventory Status Monitoring</t>
  </si>
  <si>
    <t>To track stock levels by classifying items into Low Stock and OK.</t>
  </si>
  <si>
    <t>5. Interactive Dashboard Creation</t>
  </si>
  <si>
    <t>To develop an interactive dashboard using Pivot Tables, Charts, and 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</si>
</sst>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6" x14ac:knownFonts="1">
    <font>
      <sz val="11"/>
      <color theme="1"/>
      <name val="Calibri"/>
      <family val="2"/>
      <scheme val="minor"/>
    </font>
    <font>
      <sz val="11"/>
      <color rgb="FFECE0D1"/>
      <name val="Calibri"/>
      <family val="2"/>
      <scheme val="minor"/>
    </font>
    <font>
      <b/>
      <sz val="11"/>
      <color theme="0"/>
      <name val="Calibri"/>
      <family val="2"/>
      <scheme val="minor"/>
    </font>
    <font>
      <sz val="8"/>
      <name val="Calibri"/>
      <family val="2"/>
      <scheme val="minor"/>
    </font>
    <font>
      <b/>
      <sz val="22"/>
      <color theme="0"/>
      <name val="Calibri"/>
      <family val="2"/>
      <scheme val="minor"/>
    </font>
    <font>
      <b/>
      <sz val="11"/>
      <color theme="1"/>
      <name val="Calibri"/>
      <family val="2"/>
      <scheme val="minor"/>
    </font>
  </fonts>
  <fills count="13">
    <fill>
      <patternFill patternType="none"/>
    </fill>
    <fill>
      <patternFill patternType="gray125"/>
    </fill>
    <fill>
      <patternFill patternType="solid">
        <fgColor rgb="FFECE0D1"/>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0"/>
        <bgColor indexed="64"/>
      </patternFill>
    </fill>
    <fill>
      <patternFill patternType="solid">
        <fgColor rgb="FF2E86C1"/>
        <bgColor indexed="64"/>
      </patternFill>
    </fill>
    <fill>
      <patternFill patternType="solid">
        <fgColor rgb="FF16A085"/>
        <bgColor indexed="64"/>
      </patternFill>
    </fill>
    <fill>
      <patternFill patternType="solid">
        <fgColor rgb="FFF5F7FA"/>
        <bgColor indexed="64"/>
      </patternFill>
    </fill>
    <fill>
      <patternFill patternType="solid">
        <fgColor rgb="FFD5F5E3"/>
        <bgColor indexed="64"/>
      </patternFill>
    </fill>
    <fill>
      <patternFill patternType="solid">
        <fgColor rgb="FFD6EAF8"/>
        <bgColor indexed="64"/>
      </patternFill>
    </fill>
    <fill>
      <patternFill patternType="solid">
        <fgColor rgb="FFE74C3C"/>
        <bgColor indexed="64"/>
      </patternFill>
    </fill>
    <fill>
      <patternFill patternType="solid">
        <fgColor rgb="FF27AE60"/>
        <bgColor indexed="64"/>
      </patternFill>
    </fill>
  </fills>
  <borders count="11">
    <border>
      <left/>
      <right/>
      <top/>
      <bottom/>
      <diagonal/>
    </border>
    <border>
      <left/>
      <right/>
      <top style="thin">
        <color theme="4" tint="0.39997558519241921"/>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9">
    <xf numFmtId="0" fontId="0" fillId="0" borderId="0" xfId="0"/>
    <xf numFmtId="0" fontId="0" fillId="0" borderId="0" xfId="0" pivotButton="1"/>
    <xf numFmtId="0" fontId="0" fillId="0" borderId="0" xfId="0" applyAlignment="1">
      <alignment horizontal="left"/>
    </xf>
    <xf numFmtId="0" fontId="1" fillId="0" borderId="0" xfId="0" applyFont="1"/>
    <xf numFmtId="0" fontId="0" fillId="2" borderId="0" xfId="0" applyFill="1"/>
    <xf numFmtId="0" fontId="2" fillId="4" borderId="1" xfId="0" applyFont="1" applyFill="1" applyBorder="1" applyAlignment="1">
      <alignment horizontal="center"/>
    </xf>
    <xf numFmtId="0" fontId="0" fillId="3" borderId="1" xfId="0" applyFill="1" applyBorder="1" applyAlignment="1">
      <alignment horizontal="center"/>
    </xf>
    <xf numFmtId="0" fontId="0" fillId="0" borderId="1" xfId="0" applyBorder="1" applyAlignment="1">
      <alignment horizontal="center"/>
    </xf>
    <xf numFmtId="0" fontId="0" fillId="3" borderId="2" xfId="0" applyFill="1" applyBorder="1" applyAlignment="1">
      <alignment horizontal="center"/>
    </xf>
    <xf numFmtId="0" fontId="0" fillId="0" borderId="0" xfId="0" applyAlignment="1">
      <alignment horizontal="center"/>
    </xf>
    <xf numFmtId="0" fontId="2" fillId="4" borderId="4" xfId="0" applyFont="1" applyFill="1" applyBorder="1" applyAlignment="1">
      <alignment horizontal="center"/>
    </xf>
    <xf numFmtId="0" fontId="0" fillId="3" borderId="4" xfId="0" applyFill="1" applyBorder="1" applyAlignment="1">
      <alignment horizontal="center"/>
    </xf>
    <xf numFmtId="0" fontId="0" fillId="0" borderId="4" xfId="0" applyBorder="1" applyAlignment="1">
      <alignment horizontal="center"/>
    </xf>
    <xf numFmtId="0" fontId="0" fillId="3" borderId="3" xfId="0" applyFill="1" applyBorder="1" applyAlignment="1">
      <alignment horizontal="center"/>
    </xf>
    <xf numFmtId="0" fontId="2" fillId="4" borderId="0" xfId="0" applyFont="1" applyFill="1" applyAlignment="1">
      <alignment horizontal="center"/>
    </xf>
    <xf numFmtId="14" fontId="0" fillId="3" borderId="1" xfId="0" applyNumberFormat="1" applyFill="1" applyBorder="1" applyAlignment="1">
      <alignment horizontal="center"/>
    </xf>
    <xf numFmtId="14" fontId="0" fillId="0" borderId="1" xfId="0" applyNumberFormat="1" applyBorder="1" applyAlignment="1">
      <alignment horizontal="center"/>
    </xf>
    <xf numFmtId="14" fontId="0" fillId="3" borderId="2" xfId="0" applyNumberFormat="1" applyFill="1" applyBorder="1" applyAlignment="1">
      <alignment horizontal="center"/>
    </xf>
    <xf numFmtId="14" fontId="0" fillId="0" borderId="0" xfId="0" applyNumberFormat="1" applyAlignment="1">
      <alignment horizontal="left"/>
    </xf>
    <xf numFmtId="0" fontId="2" fillId="4" borderId="1" xfId="0" applyFont="1" applyFill="1" applyBorder="1"/>
    <xf numFmtId="0" fontId="0" fillId="3" borderId="1" xfId="0" applyFill="1" applyBorder="1"/>
    <xf numFmtId="0" fontId="0" fillId="0" borderId="1" xfId="0" applyBorder="1"/>
    <xf numFmtId="0" fontId="0" fillId="3" borderId="2" xfId="0" applyFill="1" applyBorder="1"/>
    <xf numFmtId="0" fontId="5" fillId="0" borderId="0" xfId="0" applyFont="1"/>
    <xf numFmtId="0" fontId="0" fillId="3" borderId="0" xfId="0" applyFill="1" applyAlignment="1">
      <alignment horizontal="center"/>
    </xf>
    <xf numFmtId="164" fontId="0" fillId="0" borderId="0" xfId="0" applyNumberFormat="1"/>
    <xf numFmtId="165" fontId="0" fillId="0" borderId="0" xfId="0" applyNumberFormat="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4" fillId="6" borderId="5" xfId="0" applyFont="1" applyFill="1" applyBorder="1" applyAlignment="1">
      <alignment vertical="center"/>
    </xf>
    <xf numFmtId="0" fontId="4" fillId="6" borderId="6" xfId="0" applyFont="1" applyFill="1" applyBorder="1" applyAlignment="1">
      <alignment vertical="center"/>
    </xf>
    <xf numFmtId="0" fontId="4" fillId="6" borderId="7" xfId="0" applyFont="1" applyFill="1" applyBorder="1" applyAlignment="1">
      <alignment vertical="center"/>
    </xf>
    <xf numFmtId="0" fontId="4" fillId="6" borderId="8" xfId="0" applyFont="1" applyFill="1" applyBorder="1" applyAlignment="1">
      <alignment vertical="center"/>
    </xf>
    <xf numFmtId="0" fontId="4" fillId="6" borderId="9" xfId="0" applyFont="1" applyFill="1" applyBorder="1" applyAlignment="1">
      <alignment vertical="center"/>
    </xf>
    <xf numFmtId="0" fontId="4" fillId="6" borderId="10" xfId="0" applyFont="1" applyFill="1" applyBorder="1" applyAlignment="1">
      <alignment vertical="center"/>
    </xf>
    <xf numFmtId="0" fontId="4" fillId="6" borderId="5" xfId="0" applyFont="1" applyFill="1" applyBorder="1" applyAlignment="1">
      <alignment horizontal="center"/>
    </xf>
    <xf numFmtId="0" fontId="4" fillId="6" borderId="6" xfId="0" applyFont="1" applyFill="1" applyBorder="1" applyAlignment="1">
      <alignment horizontal="center"/>
    </xf>
    <xf numFmtId="0" fontId="4" fillId="6" borderId="7" xfId="0" applyFont="1" applyFill="1" applyBorder="1" applyAlignment="1">
      <alignment horizontal="center"/>
    </xf>
    <xf numFmtId="0" fontId="4" fillId="6" borderId="8" xfId="0" applyFont="1" applyFill="1" applyBorder="1" applyAlignment="1">
      <alignment horizontal="center"/>
    </xf>
    <xf numFmtId="0" fontId="4" fillId="6" borderId="9" xfId="0" applyFont="1" applyFill="1" applyBorder="1" applyAlignment="1">
      <alignment horizontal="center"/>
    </xf>
    <xf numFmtId="0" fontId="4" fillId="6" borderId="10" xfId="0" applyFont="1" applyFill="1" applyBorder="1" applyAlignment="1">
      <alignment horizontal="center"/>
    </xf>
    <xf numFmtId="0" fontId="0" fillId="0" borderId="0" xfId="0" applyNumberFormat="1"/>
    <xf numFmtId="0" fontId="5" fillId="2" borderId="0" xfId="0" applyFont="1" applyFill="1"/>
  </cellXfs>
  <cellStyles count="1">
    <cellStyle name="Normal" xfId="0" builtinId="0"/>
  </cellStyles>
  <dxfs count="19">
    <dxf>
      <font>
        <b/>
        <i val="0"/>
      </font>
      <fill>
        <patternFill>
          <bgColor rgb="FFFF0000"/>
        </patternFill>
      </fill>
    </dxf>
    <dxf>
      <font>
        <color rgb="FF9C0006"/>
      </font>
      <fill>
        <patternFill>
          <bgColor rgb="FFFFC7CE"/>
        </patternFill>
      </fill>
    </dxf>
    <dxf>
      <font>
        <color rgb="FF006100"/>
      </font>
      <fill>
        <patternFill>
          <bgColor rgb="FFC6EFCE"/>
        </patternFill>
      </fill>
    </dxf>
    <dxf>
      <numFmt numFmtId="0" formatCode="General"/>
    </dxf>
    <dxf>
      <numFmt numFmtId="0" formatCode="General"/>
    </dxf>
    <dxf>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style="thin">
          <color theme="4" tint="0.39997558519241921"/>
        </right>
        <top style="thin">
          <color theme="4" tint="0.39997558519241921"/>
        </top>
        <bottom/>
        <vertical/>
        <horizontal/>
      </border>
    </dxf>
    <dxf>
      <numFmt numFmtId="19" formatCode="dd/mm/yyyy"/>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numFmt numFmtId="19" formatCode="dd/mm/yyyy"/>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4" formatCode="&quot;₹&quot;\ #,##0.00"/>
    </dxf>
    <dxf>
      <numFmt numFmtId="164" formatCode="&quot;₹&quot;\ #,##0.00"/>
    </dxf>
  </dxfs>
  <tableStyles count="0" defaultTableStyle="TableStyleMedium2" defaultPivotStyle="PivotStyleLight16"/>
  <colors>
    <mruColors>
      <color rgb="FFECE0D1"/>
      <color rgb="FF27AE60"/>
      <color rgb="FFD5F5E3"/>
      <color rgb="FF2E86C1"/>
      <color rgb="FFD6EAF8"/>
      <color rgb="FFF1BCB5"/>
      <color rgb="FFE74C3C"/>
      <color rgb="FFF5F7FA"/>
      <color rgb="FF16A085"/>
      <color rgb="FFFBBA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microsoft.com/office/2007/relationships/slicerCache" Target="slicerCaches/slicerCache3.xml"/><Relationship Id="rId25" Type="http://schemas.openxmlformats.org/officeDocument/2006/relationships/customXml" Target="../customXml/item2.xml"/><Relationship Id="rId33" Type="http://schemas.openxmlformats.org/officeDocument/2006/relationships/customXml" Target="../customXml/item10.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1.xml"/><Relationship Id="rId32" Type="http://schemas.openxmlformats.org/officeDocument/2006/relationships/customXml" Target="../customXml/item9.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28" Type="http://schemas.openxmlformats.org/officeDocument/2006/relationships/customXml" Target="../customXml/item5.xml"/><Relationship Id="rId10" Type="http://schemas.openxmlformats.org/officeDocument/2006/relationships/pivotCacheDefinition" Target="pivotCache/pivotCacheDefinition3.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sales analysis project.xlsx]Sheet2!PivotTable1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Selling Medicines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6507259405074366"/>
          <c:y val="0.26791447944006996"/>
          <c:w val="0.30094072615923012"/>
          <c:h val="0.6293157626130067"/>
        </c:manualLayout>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Sheet2!$A$4:$A$14</c:f>
              <c:strCache>
                <c:ptCount val="10"/>
                <c:pt idx="0">
                  <c:v>TOTAL</c:v>
                </c:pt>
                <c:pt idx="1">
                  <c:v>THYROX 75MG  120TABS 1*120TABS</c:v>
                </c:pt>
                <c:pt idx="2">
                  <c:v>THYROX 25 MG TAB 1*120TAB</c:v>
                </c:pt>
                <c:pt idx="3">
                  <c:v>THYRONORM-75MG TAB 1*120TAB</c:v>
                </c:pt>
                <c:pt idx="4">
                  <c:v>TELVAS AM TAB 1*15TAB</c:v>
                </c:pt>
                <c:pt idx="5">
                  <c:v>TELVAS 40MG TAB 1*15TAB</c:v>
                </c:pt>
                <c:pt idx="6">
                  <c:v>PANTOP-DSR CAP 1*15TAB</c:v>
                </c:pt>
                <c:pt idx="7">
                  <c:v>MONTINA-L TAB 1*10TAB</c:v>
                </c:pt>
                <c:pt idx="8">
                  <c:v>LIV 52 DS TAB 1*60TAB</c:v>
                </c:pt>
                <c:pt idx="9">
                  <c:v>ECOSPRIN 75MG TAB 1*14TAB</c:v>
                </c:pt>
              </c:strCache>
            </c:strRef>
          </c:cat>
          <c:val>
            <c:numRef>
              <c:f>Sheet2!$B$4:$B$14</c:f>
              <c:numCache>
                <c:formatCode>General</c:formatCode>
                <c:ptCount val="10"/>
                <c:pt idx="0">
                  <c:v>52495</c:v>
                </c:pt>
                <c:pt idx="1">
                  <c:v>1200</c:v>
                </c:pt>
                <c:pt idx="2">
                  <c:v>1920</c:v>
                </c:pt>
                <c:pt idx="3">
                  <c:v>720</c:v>
                </c:pt>
                <c:pt idx="4">
                  <c:v>1020</c:v>
                </c:pt>
                <c:pt idx="5">
                  <c:v>1020</c:v>
                </c:pt>
                <c:pt idx="6">
                  <c:v>790</c:v>
                </c:pt>
                <c:pt idx="7">
                  <c:v>654</c:v>
                </c:pt>
                <c:pt idx="8">
                  <c:v>600</c:v>
                </c:pt>
                <c:pt idx="9">
                  <c:v>854</c:v>
                </c:pt>
              </c:numCache>
            </c:numRef>
          </c:val>
          <c:extLst>
            <c:ext xmlns:c16="http://schemas.microsoft.com/office/drawing/2014/chart" uri="{C3380CC4-5D6E-409C-BE32-E72D297353CC}">
              <c16:uniqueId val="{00000000-8DC3-44D2-827B-11CA53BD1ADA}"/>
            </c:ext>
          </c:extLst>
        </c:ser>
        <c:dLbls>
          <c:dLblPos val="outEnd"/>
          <c:showLegendKey val="0"/>
          <c:showVal val="1"/>
          <c:showCatName val="0"/>
          <c:showSerName val="0"/>
          <c:showPercent val="0"/>
          <c:showBubbleSize val="0"/>
        </c:dLbls>
        <c:gapWidth val="182"/>
        <c:axId val="1006654512"/>
        <c:axId val="1006675152"/>
      </c:barChart>
      <c:catAx>
        <c:axId val="1006654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675152"/>
        <c:crosses val="autoZero"/>
        <c:auto val="1"/>
        <c:lblAlgn val="ctr"/>
        <c:lblOffset val="100"/>
        <c:noMultiLvlLbl val="0"/>
      </c:catAx>
      <c:valAx>
        <c:axId val="1006675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65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sales analysis project.xlsx]Sheet3!PivotTable4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Selling Medicines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Sheet3!$A$4:$A$14</c:f>
              <c:strCache>
                <c:ptCount val="11"/>
                <c:pt idx="0">
                  <c:v>THYROX 25 MG TAB 1*120TAB</c:v>
                </c:pt>
                <c:pt idx="1">
                  <c:v>THYROX 75MG  120TABS 1*120TABS</c:v>
                </c:pt>
                <c:pt idx="2">
                  <c:v>TELVAS 40MG TAB 1*15TAB</c:v>
                </c:pt>
                <c:pt idx="3">
                  <c:v>TELVAS AM TAB 1*15TAB</c:v>
                </c:pt>
                <c:pt idx="4">
                  <c:v>ECOSPRIN 75MG TAB 1*14TAB</c:v>
                </c:pt>
                <c:pt idx="5">
                  <c:v>PANTOP-DSR CAP 1*15TAB</c:v>
                </c:pt>
                <c:pt idx="6">
                  <c:v>THYRONORM-75MG TAB 1*120TAB</c:v>
                </c:pt>
                <c:pt idx="7">
                  <c:v>MONTINA-L TAB 1*10TAB</c:v>
                </c:pt>
                <c:pt idx="8">
                  <c:v>LIV 52 DS TAB 1*60TAB</c:v>
                </c:pt>
                <c:pt idx="9">
                  <c:v>BECOSULES CAP 1*20CAP</c:v>
                </c:pt>
                <c:pt idx="10">
                  <c:v>EVION 400MG CAP 1*20CAP</c:v>
                </c:pt>
              </c:strCache>
            </c:strRef>
          </c:cat>
          <c:val>
            <c:numRef>
              <c:f>Sheet3!$B$4:$B$14</c:f>
              <c:numCache>
                <c:formatCode>General</c:formatCode>
                <c:ptCount val="11"/>
                <c:pt idx="0">
                  <c:v>1920</c:v>
                </c:pt>
                <c:pt idx="1">
                  <c:v>1200</c:v>
                </c:pt>
                <c:pt idx="2">
                  <c:v>1020</c:v>
                </c:pt>
                <c:pt idx="3">
                  <c:v>1020</c:v>
                </c:pt>
                <c:pt idx="4">
                  <c:v>854</c:v>
                </c:pt>
                <c:pt idx="5">
                  <c:v>790</c:v>
                </c:pt>
                <c:pt idx="6">
                  <c:v>720</c:v>
                </c:pt>
                <c:pt idx="7">
                  <c:v>654</c:v>
                </c:pt>
                <c:pt idx="8">
                  <c:v>600</c:v>
                </c:pt>
                <c:pt idx="9">
                  <c:v>580</c:v>
                </c:pt>
                <c:pt idx="10">
                  <c:v>580</c:v>
                </c:pt>
              </c:numCache>
            </c:numRef>
          </c:val>
          <c:extLst>
            <c:ext xmlns:c16="http://schemas.microsoft.com/office/drawing/2014/chart" uri="{C3380CC4-5D6E-409C-BE32-E72D297353CC}">
              <c16:uniqueId val="{00000000-5393-4510-A3CF-90A18C70BA8E}"/>
            </c:ext>
          </c:extLst>
        </c:ser>
        <c:dLbls>
          <c:dLblPos val="outEnd"/>
          <c:showLegendKey val="0"/>
          <c:showVal val="1"/>
          <c:showCatName val="0"/>
          <c:showSerName val="0"/>
          <c:showPercent val="0"/>
          <c:showBubbleSize val="0"/>
        </c:dLbls>
        <c:gapWidth val="182"/>
        <c:axId val="719580800"/>
        <c:axId val="719582720"/>
      </c:barChart>
      <c:catAx>
        <c:axId val="71958080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582720"/>
        <c:crosses val="autoZero"/>
        <c:auto val="1"/>
        <c:lblAlgn val="ctr"/>
        <c:lblOffset val="100"/>
        <c:noMultiLvlLbl val="0"/>
      </c:catAx>
      <c:valAx>
        <c:axId val="719582720"/>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58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sales analysis project.xlsx]Pivot_Data!PivotTable1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b="1"/>
              <a:t>Daily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Pivot_Data!$B$2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Pivot_Data!$A$3:$A$10</c:f>
              <c:strCache>
                <c:ptCount val="7"/>
                <c:pt idx="0">
                  <c:v>01-03-2026</c:v>
                </c:pt>
                <c:pt idx="1">
                  <c:v>02-03-2026</c:v>
                </c:pt>
                <c:pt idx="2">
                  <c:v>03-03-2026</c:v>
                </c:pt>
                <c:pt idx="3">
                  <c:v>04-03-2026</c:v>
                </c:pt>
                <c:pt idx="4">
                  <c:v>05-03-2026</c:v>
                </c:pt>
                <c:pt idx="5">
                  <c:v>06-03-2026</c:v>
                </c:pt>
                <c:pt idx="6">
                  <c:v>07-03-2026</c:v>
                </c:pt>
              </c:strCache>
            </c:strRef>
          </c:cat>
          <c:val>
            <c:numRef>
              <c:f>Pivot_Data!$B$3:$B$10</c:f>
              <c:numCache>
                <c:formatCode>General</c:formatCode>
                <c:ptCount val="7"/>
                <c:pt idx="0">
                  <c:v>714612</c:v>
                </c:pt>
                <c:pt idx="1">
                  <c:v>1080630</c:v>
                </c:pt>
                <c:pt idx="2">
                  <c:v>877202</c:v>
                </c:pt>
                <c:pt idx="3">
                  <c:v>821829</c:v>
                </c:pt>
                <c:pt idx="4">
                  <c:v>876833</c:v>
                </c:pt>
                <c:pt idx="5">
                  <c:v>792281</c:v>
                </c:pt>
                <c:pt idx="6">
                  <c:v>757352</c:v>
                </c:pt>
              </c:numCache>
            </c:numRef>
          </c:val>
          <c:smooth val="0"/>
          <c:extLst>
            <c:ext xmlns:c16="http://schemas.microsoft.com/office/drawing/2014/chart" uri="{C3380CC4-5D6E-409C-BE32-E72D297353CC}">
              <c16:uniqueId val="{00000000-0BC2-445C-8B8A-551D54DB117A}"/>
            </c:ext>
          </c:extLst>
        </c:ser>
        <c:dLbls>
          <c:dLblPos val="t"/>
          <c:showLegendKey val="0"/>
          <c:showVal val="1"/>
          <c:showCatName val="0"/>
          <c:showSerName val="0"/>
          <c:showPercent val="0"/>
          <c:showBubbleSize val="0"/>
        </c:dLbls>
        <c:marker val="1"/>
        <c:smooth val="0"/>
        <c:axId val="695598047"/>
        <c:axId val="695581727"/>
      </c:lineChart>
      <c:catAx>
        <c:axId val="6955980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95581727"/>
        <c:crosses val="autoZero"/>
        <c:auto val="1"/>
        <c:lblAlgn val="ctr"/>
        <c:lblOffset val="100"/>
        <c:noMultiLvlLbl val="0"/>
      </c:catAx>
      <c:valAx>
        <c:axId val="695581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9559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sales analysis project.xlsx]Pivot_Data!PivotTable3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Sales by Day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Pivot_Data!$E$2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Pivot_Data!$D$3:$D$10</c:f>
              <c:strCache>
                <c:ptCount val="7"/>
                <c:pt idx="0">
                  <c:v>Sunday</c:v>
                </c:pt>
                <c:pt idx="1">
                  <c:v>Monday</c:v>
                </c:pt>
                <c:pt idx="2">
                  <c:v>Tuesday</c:v>
                </c:pt>
                <c:pt idx="3">
                  <c:v>Wednesday</c:v>
                </c:pt>
                <c:pt idx="4">
                  <c:v>Thursday</c:v>
                </c:pt>
                <c:pt idx="5">
                  <c:v>Friday</c:v>
                </c:pt>
                <c:pt idx="6">
                  <c:v>Saturday</c:v>
                </c:pt>
              </c:strCache>
            </c:strRef>
          </c:cat>
          <c:val>
            <c:numRef>
              <c:f>Pivot_Data!$E$3:$E$10</c:f>
              <c:numCache>
                <c:formatCode>General</c:formatCode>
                <c:ptCount val="7"/>
                <c:pt idx="0">
                  <c:v>463882</c:v>
                </c:pt>
                <c:pt idx="1">
                  <c:v>620886</c:v>
                </c:pt>
                <c:pt idx="2">
                  <c:v>1017802</c:v>
                </c:pt>
                <c:pt idx="3">
                  <c:v>868835</c:v>
                </c:pt>
                <c:pt idx="4">
                  <c:v>668443</c:v>
                </c:pt>
                <c:pt idx="5">
                  <c:v>794959</c:v>
                </c:pt>
                <c:pt idx="6">
                  <c:v>1485932</c:v>
                </c:pt>
              </c:numCache>
            </c:numRef>
          </c:val>
          <c:extLst>
            <c:ext xmlns:c16="http://schemas.microsoft.com/office/drawing/2014/chart" uri="{C3380CC4-5D6E-409C-BE32-E72D297353CC}">
              <c16:uniqueId val="{00000000-411D-46DC-8825-66E3313273F5}"/>
            </c:ext>
          </c:extLst>
        </c:ser>
        <c:dLbls>
          <c:dLblPos val="outEnd"/>
          <c:showLegendKey val="0"/>
          <c:showVal val="1"/>
          <c:showCatName val="0"/>
          <c:showSerName val="0"/>
          <c:showPercent val="0"/>
          <c:showBubbleSize val="0"/>
        </c:dLbls>
        <c:gapWidth val="219"/>
        <c:overlap val="-27"/>
        <c:axId val="695600447"/>
        <c:axId val="695600927"/>
      </c:barChart>
      <c:catAx>
        <c:axId val="69560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5600927"/>
        <c:crosses val="autoZero"/>
        <c:auto val="1"/>
        <c:lblAlgn val="ctr"/>
        <c:lblOffset val="100"/>
        <c:noMultiLvlLbl val="0"/>
      </c:catAx>
      <c:valAx>
        <c:axId val="695600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560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sales analysis project.xlsx]Pivot_Data!PivotTable4</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Top Selling Medicines</a:t>
            </a:r>
            <a:endParaRPr lang="en-US" sz="14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Pivot_Data!$H$2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Pivot_Data!$G$3:$G$13</c:f>
              <c:strCache>
                <c:ptCount val="10"/>
                <c:pt idx="0">
                  <c:v>THYROX 25 MG TAB 1*120TAB</c:v>
                </c:pt>
                <c:pt idx="1">
                  <c:v>THYROX 75MG  120TABS 1*120TABS</c:v>
                </c:pt>
                <c:pt idx="2">
                  <c:v>PANTOP-DSR CAP 1*15TAB</c:v>
                </c:pt>
                <c:pt idx="3">
                  <c:v>ECOSPRIN 75MG TAB 1*14TAB</c:v>
                </c:pt>
                <c:pt idx="4">
                  <c:v>TELVAS AM TAB 1*15TAB</c:v>
                </c:pt>
                <c:pt idx="5">
                  <c:v>BECOSULES CAP 1*20CAP</c:v>
                </c:pt>
                <c:pt idx="6">
                  <c:v>LIV 52 DS TAB 1*60TAB</c:v>
                </c:pt>
                <c:pt idx="7">
                  <c:v>TELVAS 40MG TAB 1*15TAB</c:v>
                </c:pt>
                <c:pt idx="8">
                  <c:v>THYRONORM-75MG TAB 1*120TAB</c:v>
                </c:pt>
                <c:pt idx="9">
                  <c:v>EVION 400MG CAP 1*20CAP</c:v>
                </c:pt>
              </c:strCache>
            </c:strRef>
          </c:cat>
          <c:val>
            <c:numRef>
              <c:f>Pivot_Data!$H$3:$H$13</c:f>
              <c:numCache>
                <c:formatCode>General</c:formatCode>
                <c:ptCount val="10"/>
                <c:pt idx="0">
                  <c:v>170880</c:v>
                </c:pt>
                <c:pt idx="1">
                  <c:v>160800</c:v>
                </c:pt>
                <c:pt idx="2">
                  <c:v>151680</c:v>
                </c:pt>
                <c:pt idx="3">
                  <c:v>107604</c:v>
                </c:pt>
                <c:pt idx="4">
                  <c:v>90780</c:v>
                </c:pt>
                <c:pt idx="5">
                  <c:v>81780</c:v>
                </c:pt>
                <c:pt idx="6">
                  <c:v>79800</c:v>
                </c:pt>
                <c:pt idx="7">
                  <c:v>79560</c:v>
                </c:pt>
                <c:pt idx="8">
                  <c:v>76320</c:v>
                </c:pt>
                <c:pt idx="9">
                  <c:v>67860</c:v>
                </c:pt>
              </c:numCache>
            </c:numRef>
          </c:val>
          <c:extLst>
            <c:ext xmlns:c16="http://schemas.microsoft.com/office/drawing/2014/chart" uri="{C3380CC4-5D6E-409C-BE32-E72D297353CC}">
              <c16:uniqueId val="{00000000-C09E-464E-B9E8-3286513B7138}"/>
            </c:ext>
          </c:extLst>
        </c:ser>
        <c:dLbls>
          <c:dLblPos val="outEnd"/>
          <c:showLegendKey val="0"/>
          <c:showVal val="1"/>
          <c:showCatName val="0"/>
          <c:showSerName val="0"/>
          <c:showPercent val="0"/>
          <c:showBubbleSize val="0"/>
        </c:dLbls>
        <c:gapWidth val="182"/>
        <c:axId val="695606207"/>
        <c:axId val="695604287"/>
      </c:barChart>
      <c:catAx>
        <c:axId val="69560620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5604287"/>
        <c:crosses val="autoZero"/>
        <c:auto val="1"/>
        <c:lblAlgn val="ctr"/>
        <c:lblOffset val="100"/>
        <c:noMultiLvlLbl val="0"/>
      </c:catAx>
      <c:valAx>
        <c:axId val="695604287"/>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560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sales analysis project.xlsx]pivot_Data2!PivotTable4</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i="0" u="none" strike="noStrike" baseline="0"/>
              <a:t>Inventory Status Distribution</a:t>
            </a:r>
            <a:endParaRPr lang="en-IN"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tx1">
                <a:lumMod val="95000"/>
                <a:lumOff val="5000"/>
              </a:schemeClr>
            </a:solid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1BCB5"/>
          </a:solidFill>
          <a:ln w="19050">
            <a:solidFill>
              <a:schemeClr val="tx1">
                <a:lumMod val="95000"/>
                <a:lumOff val="5000"/>
              </a:schemeClr>
            </a:solidFill>
          </a:ln>
          <a:effectLst/>
        </c:spPr>
      </c:pivotFmt>
      <c:pivotFmt>
        <c:idx val="2"/>
        <c:spPr>
          <a:solidFill>
            <a:schemeClr val="accent6">
              <a:lumMod val="60000"/>
              <a:lumOff val="40000"/>
            </a:schemeClr>
          </a:solidFill>
          <a:ln w="19050">
            <a:solidFill>
              <a:schemeClr val="tx1">
                <a:lumMod val="95000"/>
                <a:lumOff val="5000"/>
              </a:schemeClr>
            </a:solidFill>
          </a:ln>
          <a:effectLst/>
        </c:spPr>
      </c:pivotFmt>
      <c:pivotFmt>
        <c:idx val="3"/>
        <c:spPr>
          <a:solidFill>
            <a:schemeClr val="accent1"/>
          </a:solidFill>
          <a:ln w="19050">
            <a:solidFill>
              <a:schemeClr val="tx1">
                <a:lumMod val="95000"/>
                <a:lumOff val="5000"/>
              </a:schemeClr>
            </a:solid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lumMod val="60000"/>
              <a:lumOff val="40000"/>
            </a:schemeClr>
          </a:solidFill>
          <a:ln w="19050">
            <a:solidFill>
              <a:schemeClr val="tx1">
                <a:lumMod val="95000"/>
                <a:lumOff val="5000"/>
              </a:schemeClr>
            </a:solidFill>
          </a:ln>
          <a:effectLst/>
        </c:spPr>
      </c:pivotFmt>
      <c:pivotFmt>
        <c:idx val="5"/>
        <c:spPr>
          <a:solidFill>
            <a:srgbClr val="F1BCB5"/>
          </a:solidFill>
          <a:ln w="19050">
            <a:solidFill>
              <a:schemeClr val="tx1">
                <a:lumMod val="95000"/>
                <a:lumOff val="5000"/>
              </a:schemeClr>
            </a:solidFill>
          </a:ln>
          <a:effectLst/>
        </c:spPr>
      </c:pivotFmt>
      <c:pivotFmt>
        <c:idx val="6"/>
        <c:spPr>
          <a:solidFill>
            <a:schemeClr val="accent1"/>
          </a:solidFill>
          <a:ln w="19050">
            <a:solidFill>
              <a:schemeClr val="tx1">
                <a:lumMod val="95000"/>
                <a:lumOff val="5000"/>
              </a:schemeClr>
            </a:solid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lumMod val="60000"/>
              <a:lumOff val="40000"/>
            </a:schemeClr>
          </a:solidFill>
          <a:ln w="19050">
            <a:solidFill>
              <a:schemeClr val="tx1">
                <a:lumMod val="95000"/>
                <a:lumOff val="5000"/>
              </a:schemeClr>
            </a:solidFill>
          </a:ln>
          <a:effectLst/>
        </c:spPr>
      </c:pivotFmt>
      <c:pivotFmt>
        <c:idx val="8"/>
        <c:spPr>
          <a:solidFill>
            <a:srgbClr val="F1BCB5"/>
          </a:solidFill>
          <a:ln w="19050">
            <a:solidFill>
              <a:schemeClr val="tx1">
                <a:lumMod val="95000"/>
                <a:lumOff val="5000"/>
              </a:schemeClr>
            </a:solidFill>
          </a:ln>
          <a:effectLst/>
        </c:spPr>
      </c:pivotFmt>
    </c:pivotFmts>
    <c:plotArea>
      <c:layout/>
      <c:pieChart>
        <c:varyColors val="1"/>
        <c:ser>
          <c:idx val="0"/>
          <c:order val="0"/>
          <c:tx>
            <c:strRef>
              <c:f>pivot_Data2!$B$3</c:f>
              <c:strCache>
                <c:ptCount val="1"/>
                <c:pt idx="0">
                  <c:v>Total</c:v>
                </c:pt>
              </c:strCache>
            </c:strRef>
          </c:tx>
          <c:spPr>
            <a:ln>
              <a:solidFill>
                <a:schemeClr val="tx1">
                  <a:lumMod val="95000"/>
                  <a:lumOff val="5000"/>
                </a:schemeClr>
              </a:solidFill>
            </a:ln>
          </c:spPr>
          <c:dPt>
            <c:idx val="0"/>
            <c:bubble3D val="0"/>
            <c:spPr>
              <a:solidFill>
                <a:schemeClr val="accent6">
                  <a:lumMod val="60000"/>
                  <a:lumOff val="40000"/>
                </a:schemeClr>
              </a:solidFill>
              <a:ln w="19050">
                <a:solidFill>
                  <a:schemeClr val="tx1">
                    <a:lumMod val="95000"/>
                    <a:lumOff val="5000"/>
                  </a:schemeClr>
                </a:solidFill>
              </a:ln>
              <a:effectLst/>
            </c:spPr>
            <c:extLst>
              <c:ext xmlns:c16="http://schemas.microsoft.com/office/drawing/2014/chart" uri="{C3380CC4-5D6E-409C-BE32-E72D297353CC}">
                <c16:uniqueId val="{00000001-2002-4330-B5CD-AF7EC6ECDD7E}"/>
              </c:ext>
            </c:extLst>
          </c:dPt>
          <c:dPt>
            <c:idx val="1"/>
            <c:bubble3D val="0"/>
            <c:spPr>
              <a:solidFill>
                <a:srgbClr val="F1BCB5"/>
              </a:solidFill>
              <a:ln w="19050">
                <a:solidFill>
                  <a:schemeClr val="tx1">
                    <a:lumMod val="95000"/>
                    <a:lumOff val="5000"/>
                  </a:schemeClr>
                </a:solidFill>
              </a:ln>
              <a:effectLst/>
            </c:spPr>
            <c:extLst>
              <c:ext xmlns:c16="http://schemas.microsoft.com/office/drawing/2014/chart" uri="{C3380CC4-5D6E-409C-BE32-E72D297353CC}">
                <c16:uniqueId val="{00000003-2002-4330-B5CD-AF7EC6ECDD7E}"/>
              </c:ext>
            </c:extLst>
          </c:dPt>
          <c:dLbls>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pivot_Data2!$A$4:$A$6</c:f>
              <c:strCache>
                <c:ptCount val="2"/>
                <c:pt idx="0">
                  <c:v>Low Stock</c:v>
                </c:pt>
                <c:pt idx="1">
                  <c:v>OK</c:v>
                </c:pt>
              </c:strCache>
            </c:strRef>
          </c:cat>
          <c:val>
            <c:numRef>
              <c:f>pivot_Data2!$B$4:$B$6</c:f>
              <c:numCache>
                <c:formatCode>General</c:formatCode>
                <c:ptCount val="2"/>
                <c:pt idx="0">
                  <c:v>707</c:v>
                </c:pt>
                <c:pt idx="1">
                  <c:v>559</c:v>
                </c:pt>
              </c:numCache>
            </c:numRef>
          </c:val>
          <c:extLst>
            <c:ext xmlns:c16="http://schemas.microsoft.com/office/drawing/2014/chart" uri="{C3380CC4-5D6E-409C-BE32-E72D297353CC}">
              <c16:uniqueId val="{00000004-2002-4330-B5CD-AF7EC6ECDD7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sales analysis project.xlsx]Pivot_Data!PivotTable2</c:name>
    <c:fmtId val="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Units Sold by Date</a:t>
            </a:r>
          </a:p>
          <a:p>
            <a:pPr>
              <a:defRPr sz="1800" b="1"/>
            </a:pP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Pivot_Data!$E$16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Pivot_Data!$D$17:$D$24</c:f>
              <c:strCache>
                <c:ptCount val="7"/>
                <c:pt idx="0">
                  <c:v>01-03-2026</c:v>
                </c:pt>
                <c:pt idx="1">
                  <c:v>02-03-2026</c:v>
                </c:pt>
                <c:pt idx="2">
                  <c:v>03-03-2026</c:v>
                </c:pt>
                <c:pt idx="3">
                  <c:v>04-03-2026</c:v>
                </c:pt>
                <c:pt idx="4">
                  <c:v>05-03-2026</c:v>
                </c:pt>
                <c:pt idx="5">
                  <c:v>06-03-2026</c:v>
                </c:pt>
                <c:pt idx="6">
                  <c:v>07-03-2026</c:v>
                </c:pt>
              </c:strCache>
            </c:strRef>
          </c:cat>
          <c:val>
            <c:numRef>
              <c:f>Pivot_Data!$E$17:$E$24</c:f>
              <c:numCache>
                <c:formatCode>General</c:formatCode>
                <c:ptCount val="7"/>
                <c:pt idx="0">
                  <c:v>6543</c:v>
                </c:pt>
                <c:pt idx="1">
                  <c:v>8951</c:v>
                </c:pt>
                <c:pt idx="2">
                  <c:v>8390</c:v>
                </c:pt>
                <c:pt idx="3">
                  <c:v>7162</c:v>
                </c:pt>
                <c:pt idx="4">
                  <c:v>7846</c:v>
                </c:pt>
                <c:pt idx="5">
                  <c:v>6701</c:v>
                </c:pt>
                <c:pt idx="6">
                  <c:v>6902</c:v>
                </c:pt>
              </c:numCache>
            </c:numRef>
          </c:val>
          <c:extLst>
            <c:ext xmlns:c16="http://schemas.microsoft.com/office/drawing/2014/chart" uri="{C3380CC4-5D6E-409C-BE32-E72D297353CC}">
              <c16:uniqueId val="{00000000-C58D-494B-8330-5A389136F738}"/>
            </c:ext>
          </c:extLst>
        </c:ser>
        <c:dLbls>
          <c:showLegendKey val="0"/>
          <c:showVal val="1"/>
          <c:showCatName val="0"/>
          <c:showSerName val="0"/>
          <c:showPercent val="0"/>
          <c:showBubbleSize val="0"/>
        </c:dLbls>
        <c:gapWidth val="150"/>
        <c:shape val="box"/>
        <c:axId val="1559263711"/>
        <c:axId val="1559266111"/>
        <c:axId val="0"/>
      </c:bar3DChart>
      <c:catAx>
        <c:axId val="1559263711"/>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59266111"/>
        <c:crosses val="autoZero"/>
        <c:auto val="1"/>
        <c:lblAlgn val="ctr"/>
        <c:lblOffset val="100"/>
        <c:noMultiLvlLbl val="0"/>
      </c:catAx>
      <c:valAx>
        <c:axId val="155926611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55926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138113</xdr:colOff>
      <xdr:row>2</xdr:row>
      <xdr:rowOff>4763</xdr:rowOff>
    </xdr:from>
    <xdr:to>
      <xdr:col>11</xdr:col>
      <xdr:colOff>85725</xdr:colOff>
      <xdr:row>20</xdr:row>
      <xdr:rowOff>38100</xdr:rowOff>
    </xdr:to>
    <xdr:graphicFrame macro="">
      <xdr:nvGraphicFramePr>
        <xdr:cNvPr id="2" name="Chart 1">
          <a:extLst>
            <a:ext uri="{FF2B5EF4-FFF2-40B4-BE49-F238E27FC236}">
              <a16:creationId xmlns:a16="http://schemas.microsoft.com/office/drawing/2014/main" id="{43B8CD6B-7856-2761-C0A1-5DFBBF9F9F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481013</xdr:colOff>
      <xdr:row>1</xdr:row>
      <xdr:rowOff>90487</xdr:rowOff>
    </xdr:from>
    <xdr:to>
      <xdr:col>12</xdr:col>
      <xdr:colOff>471488</xdr:colOff>
      <xdr:row>16</xdr:row>
      <xdr:rowOff>119062</xdr:rowOff>
    </xdr:to>
    <xdr:graphicFrame macro="">
      <xdr:nvGraphicFramePr>
        <xdr:cNvPr id="2" name="Chart 1">
          <a:extLst>
            <a:ext uri="{FF2B5EF4-FFF2-40B4-BE49-F238E27FC236}">
              <a16:creationId xmlns:a16="http://schemas.microsoft.com/office/drawing/2014/main" id="{786124CA-BE88-807A-75EA-07A71B6488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169512</xdr:colOff>
      <xdr:row>11</xdr:row>
      <xdr:rowOff>175733</xdr:rowOff>
    </xdr:from>
    <xdr:to>
      <xdr:col>10</xdr:col>
      <xdr:colOff>201801</xdr:colOff>
      <xdr:row>32</xdr:row>
      <xdr:rowOff>161441</xdr:rowOff>
    </xdr:to>
    <xdr:graphicFrame macro="">
      <xdr:nvGraphicFramePr>
        <xdr:cNvPr id="2" name="Chart 1">
          <a:extLst>
            <a:ext uri="{FF2B5EF4-FFF2-40B4-BE49-F238E27FC236}">
              <a16:creationId xmlns:a16="http://schemas.microsoft.com/office/drawing/2014/main" id="{2218B765-FE5F-4D8C-8181-D065A5202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428745</xdr:colOff>
      <xdr:row>12</xdr:row>
      <xdr:rowOff>16142</xdr:rowOff>
    </xdr:from>
    <xdr:to>
      <xdr:col>21</xdr:col>
      <xdr:colOff>290595</xdr:colOff>
      <xdr:row>32</xdr:row>
      <xdr:rowOff>145296</xdr:rowOff>
    </xdr:to>
    <xdr:graphicFrame macro="">
      <xdr:nvGraphicFramePr>
        <xdr:cNvPr id="3" name="Chart 2">
          <a:extLst>
            <a:ext uri="{FF2B5EF4-FFF2-40B4-BE49-F238E27FC236}">
              <a16:creationId xmlns:a16="http://schemas.microsoft.com/office/drawing/2014/main" id="{18B329D2-5C8B-4626-A743-3146FD1A9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282520</xdr:colOff>
      <xdr:row>34</xdr:row>
      <xdr:rowOff>51212</xdr:rowOff>
    </xdr:from>
    <xdr:to>
      <xdr:col>10</xdr:col>
      <xdr:colOff>446011</xdr:colOff>
      <xdr:row>54</xdr:row>
      <xdr:rowOff>40358</xdr:rowOff>
    </xdr:to>
    <xdr:graphicFrame macro="">
      <xdr:nvGraphicFramePr>
        <xdr:cNvPr id="4" name="Chart 3">
          <a:extLst>
            <a:ext uri="{FF2B5EF4-FFF2-40B4-BE49-F238E27FC236}">
              <a16:creationId xmlns:a16="http://schemas.microsoft.com/office/drawing/2014/main" id="{126D9543-5358-4422-8A79-C7279BB48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182956</xdr:colOff>
      <xdr:row>3</xdr:row>
      <xdr:rowOff>70170</xdr:rowOff>
    </xdr:from>
    <xdr:to>
      <xdr:col>8</xdr:col>
      <xdr:colOff>470740</xdr:colOff>
      <xdr:row>9</xdr:row>
      <xdr:rowOff>31133</xdr:rowOff>
    </xdr:to>
    <xdr:sp macro="" textlink="Sales_Data!O3">
      <xdr:nvSpPr>
        <xdr:cNvPr id="6" name="Rectangle: Rounded Corners 5">
          <a:extLst>
            <a:ext uri="{FF2B5EF4-FFF2-40B4-BE49-F238E27FC236}">
              <a16:creationId xmlns:a16="http://schemas.microsoft.com/office/drawing/2014/main" id="{C70C2C18-8189-3B72-1DC5-26CDEF0578AA}"/>
            </a:ext>
          </a:extLst>
        </xdr:cNvPr>
        <xdr:cNvSpPr/>
      </xdr:nvSpPr>
      <xdr:spPr>
        <a:xfrm>
          <a:off x="1483194" y="622016"/>
          <a:ext cx="4188498" cy="1049534"/>
        </a:xfrm>
        <a:prstGeom prst="roundRect">
          <a:avLst/>
        </a:prstGeom>
        <a:solidFill>
          <a:srgbClr val="D6EAF8"/>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rgbClr val="000000"/>
              </a:solidFill>
              <a:latin typeface="Calibri"/>
              <a:ea typeface="Calibri"/>
              <a:cs typeface="Calibri"/>
            </a:rPr>
            <a:t>Total sales</a:t>
          </a:r>
        </a:p>
        <a:p>
          <a:pPr algn="ctr"/>
          <a:fld id="{B782E523-4076-4C22-A760-372CA4663CAC}" type="TxLink">
            <a:rPr lang="en-US" sz="1800" b="1" i="0" u="none" strike="noStrike">
              <a:solidFill>
                <a:srgbClr val="000000"/>
              </a:solidFill>
              <a:latin typeface="Calibri"/>
              <a:ea typeface="Calibri"/>
              <a:cs typeface="Calibri"/>
            </a:rPr>
            <a:pPr algn="ctr"/>
            <a:t>52495</a:t>
          </a:fld>
          <a:endParaRPr lang="en-US" sz="1800" b="1">
            <a:solidFill>
              <a:schemeClr val="tx1">
                <a:lumMod val="85000"/>
                <a:lumOff val="15000"/>
              </a:schemeClr>
            </a:solidFill>
          </a:endParaRPr>
        </a:p>
      </xdr:txBody>
    </xdr:sp>
    <xdr:clientData/>
  </xdr:twoCellAnchor>
  <xdr:twoCellAnchor>
    <xdr:from>
      <xdr:col>13</xdr:col>
      <xdr:colOff>116816</xdr:colOff>
      <xdr:row>3</xdr:row>
      <xdr:rowOff>109452</xdr:rowOff>
    </xdr:from>
    <xdr:to>
      <xdr:col>19</xdr:col>
      <xdr:colOff>446832</xdr:colOff>
      <xdr:row>10</xdr:row>
      <xdr:rowOff>84999</xdr:rowOff>
    </xdr:to>
    <xdr:sp macro="" textlink="Sales_Data!O4">
      <xdr:nvSpPr>
        <xdr:cNvPr id="7" name="Rectangle: Rounded Corners 6">
          <a:extLst>
            <a:ext uri="{FF2B5EF4-FFF2-40B4-BE49-F238E27FC236}">
              <a16:creationId xmlns:a16="http://schemas.microsoft.com/office/drawing/2014/main" id="{74741D08-76D3-467E-8DE8-CE7496F1AF4D}"/>
            </a:ext>
          </a:extLst>
        </xdr:cNvPr>
        <xdr:cNvSpPr/>
      </xdr:nvSpPr>
      <xdr:spPr>
        <a:xfrm>
          <a:off x="8568364" y="661298"/>
          <a:ext cx="4230730" cy="1245547"/>
        </a:xfrm>
        <a:prstGeom prst="roundRect">
          <a:avLst/>
        </a:prstGeom>
        <a:solidFill>
          <a:srgbClr val="D6EAF8"/>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rgbClr val="000000"/>
              </a:solidFill>
              <a:latin typeface="Calibri"/>
              <a:ea typeface="Calibri"/>
              <a:cs typeface="Calibri"/>
            </a:rPr>
            <a:t>Total Revenue</a:t>
          </a:r>
        </a:p>
        <a:p>
          <a:pPr algn="ctr"/>
          <a:fld id="{A17B5163-517F-4DB5-AB71-99261617FB58}" type="TxLink">
            <a:rPr lang="en-US" sz="1800" b="1" i="0" u="none" strike="noStrike">
              <a:solidFill>
                <a:srgbClr val="000000"/>
              </a:solidFill>
              <a:latin typeface="Calibri"/>
              <a:ea typeface="Calibri"/>
              <a:cs typeface="Calibri"/>
            </a:rPr>
            <a:pPr algn="ctr"/>
            <a:t>₹ 59,20,739</a:t>
          </a:fld>
          <a:endParaRPr lang="en-US" sz="1800" b="1">
            <a:solidFill>
              <a:schemeClr val="tx1">
                <a:lumMod val="85000"/>
                <a:lumOff val="15000"/>
              </a:schemeClr>
            </a:solidFill>
          </a:endParaRPr>
        </a:p>
      </xdr:txBody>
    </xdr:sp>
    <xdr:clientData/>
  </xdr:twoCellAnchor>
  <xdr:twoCellAnchor>
    <xdr:from>
      <xdr:col>23</xdr:col>
      <xdr:colOff>111542</xdr:colOff>
      <xdr:row>3</xdr:row>
      <xdr:rowOff>93583</xdr:rowOff>
    </xdr:from>
    <xdr:to>
      <xdr:col>29</xdr:col>
      <xdr:colOff>312285</xdr:colOff>
      <xdr:row>10</xdr:row>
      <xdr:rowOff>45683</xdr:rowOff>
    </xdr:to>
    <xdr:sp macro="" textlink="Sales_Data!O5">
      <xdr:nvSpPr>
        <xdr:cNvPr id="8" name="Rectangle: Rounded Corners 7">
          <a:extLst>
            <a:ext uri="{FF2B5EF4-FFF2-40B4-BE49-F238E27FC236}">
              <a16:creationId xmlns:a16="http://schemas.microsoft.com/office/drawing/2014/main" id="{26533DB2-EA08-4778-98DC-F997B9E14DC6}"/>
            </a:ext>
          </a:extLst>
        </xdr:cNvPr>
        <xdr:cNvSpPr/>
      </xdr:nvSpPr>
      <xdr:spPr>
        <a:xfrm>
          <a:off x="15064280" y="645429"/>
          <a:ext cx="4101457" cy="1222100"/>
        </a:xfrm>
        <a:prstGeom prst="roundRect">
          <a:avLst/>
        </a:prstGeom>
        <a:solidFill>
          <a:srgbClr val="D6EAF8"/>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a:solidFill>
                <a:srgbClr val="000000"/>
              </a:solidFill>
              <a:latin typeface="Calibri"/>
              <a:ea typeface="Calibri"/>
              <a:cs typeface="Calibri"/>
            </a:rPr>
            <a:t>Average</a:t>
          </a:r>
          <a:r>
            <a:rPr lang="en-US" sz="1100" b="0" i="0" u="none" strike="noStrike" baseline="0">
              <a:solidFill>
                <a:srgbClr val="000000"/>
              </a:solidFill>
              <a:latin typeface="Calibri"/>
              <a:ea typeface="Calibri"/>
              <a:cs typeface="Calibri"/>
            </a:rPr>
            <a:t> </a:t>
          </a:r>
          <a:r>
            <a:rPr lang="en-US" sz="2000" b="1" i="0" u="none" strike="noStrike" baseline="0">
              <a:solidFill>
                <a:srgbClr val="000000"/>
              </a:solidFill>
              <a:latin typeface="Calibri"/>
              <a:ea typeface="Calibri"/>
              <a:cs typeface="Calibri"/>
            </a:rPr>
            <a:t>Revenue</a:t>
          </a:r>
          <a:endParaRPr lang="en-US" sz="2000" b="1" i="0" u="none" strike="noStrike">
            <a:solidFill>
              <a:srgbClr val="000000"/>
            </a:solidFill>
            <a:latin typeface="Calibri"/>
            <a:ea typeface="Calibri"/>
            <a:cs typeface="Calibri"/>
          </a:endParaRPr>
        </a:p>
        <a:p>
          <a:pPr algn="ctr"/>
          <a:fld id="{9B838A1A-B7EA-4C89-9029-440FBD67FB2B}" type="TxLink">
            <a:rPr lang="en-US" sz="1600" b="1" i="0" u="none" strike="noStrike">
              <a:solidFill>
                <a:srgbClr val="000000"/>
              </a:solidFill>
              <a:latin typeface="Calibri"/>
              <a:ea typeface="Calibri"/>
              <a:cs typeface="Calibri"/>
            </a:rPr>
            <a:pPr algn="ctr"/>
            <a:t>₹ 4,665.67</a:t>
          </a:fld>
          <a:endParaRPr lang="en-US" sz="1600" b="1">
            <a:solidFill>
              <a:schemeClr val="tx1"/>
            </a:solidFill>
          </a:endParaRPr>
        </a:p>
      </xdr:txBody>
    </xdr:sp>
    <xdr:clientData/>
  </xdr:twoCellAnchor>
  <xdr:twoCellAnchor>
    <xdr:from>
      <xdr:col>21</xdr:col>
      <xdr:colOff>500560</xdr:colOff>
      <xdr:row>34</xdr:row>
      <xdr:rowOff>18259</xdr:rowOff>
    </xdr:from>
    <xdr:to>
      <xdr:col>31</xdr:col>
      <xdr:colOff>514048</xdr:colOff>
      <xdr:row>56</xdr:row>
      <xdr:rowOff>18259</xdr:rowOff>
    </xdr:to>
    <xdr:graphicFrame macro="">
      <xdr:nvGraphicFramePr>
        <xdr:cNvPr id="9" name="Chart 8">
          <a:extLst>
            <a:ext uri="{FF2B5EF4-FFF2-40B4-BE49-F238E27FC236}">
              <a16:creationId xmlns:a16="http://schemas.microsoft.com/office/drawing/2014/main" id="{169B528B-633F-4F96-9508-B57ABB56CE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550439</xdr:colOff>
      <xdr:row>34</xdr:row>
      <xdr:rowOff>-1</xdr:rowOff>
    </xdr:from>
    <xdr:to>
      <xdr:col>21</xdr:col>
      <xdr:colOff>211666</xdr:colOff>
      <xdr:row>55</xdr:row>
      <xdr:rowOff>151018</xdr:rowOff>
    </xdr:to>
    <xdr:graphicFrame macro="">
      <xdr:nvGraphicFramePr>
        <xdr:cNvPr id="10" name="Chart 9">
          <a:extLst>
            <a:ext uri="{FF2B5EF4-FFF2-40B4-BE49-F238E27FC236}">
              <a16:creationId xmlns:a16="http://schemas.microsoft.com/office/drawing/2014/main" id="{F2E54CCF-9797-4079-BFA4-A6AB3583D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403404</xdr:colOff>
      <xdr:row>12</xdr:row>
      <xdr:rowOff>54650</xdr:rowOff>
    </xdr:from>
    <xdr:to>
      <xdr:col>25</xdr:col>
      <xdr:colOff>352777</xdr:colOff>
      <xdr:row>32</xdr:row>
      <xdr:rowOff>78073</xdr:rowOff>
    </xdr:to>
    <mc:AlternateContent xmlns:mc="http://schemas.openxmlformats.org/markup-compatibility/2006" xmlns:a14="http://schemas.microsoft.com/office/drawing/2010/main">
      <mc:Choice Requires="a14">
        <xdr:graphicFrame macro="">
          <xdr:nvGraphicFramePr>
            <xdr:cNvPr id="12" name="Day">
              <a:extLst>
                <a:ext uri="{FF2B5EF4-FFF2-40B4-BE49-F238E27FC236}">
                  <a16:creationId xmlns:a16="http://schemas.microsoft.com/office/drawing/2014/main" id="{B6BAF431-404B-4F7E-85A7-E720FA85C7BF}"/>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4011663" y="2217294"/>
              <a:ext cx="3024033" cy="36148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414512</xdr:colOff>
      <xdr:row>12</xdr:row>
      <xdr:rowOff>61737</xdr:rowOff>
    </xdr:from>
    <xdr:to>
      <xdr:col>29</xdr:col>
      <xdr:colOff>73728</xdr:colOff>
      <xdr:row>32</xdr:row>
      <xdr:rowOff>70556</xdr:rowOff>
    </xdr:to>
    <mc:AlternateContent xmlns:mc="http://schemas.openxmlformats.org/markup-compatibility/2006" xmlns:a14="http://schemas.microsoft.com/office/drawing/2010/main">
      <mc:Choice Requires="a14">
        <xdr:graphicFrame macro="">
          <xdr:nvGraphicFramePr>
            <xdr:cNvPr id="5" name="Date">
              <a:extLst>
                <a:ext uri="{FF2B5EF4-FFF2-40B4-BE49-F238E27FC236}">
                  <a16:creationId xmlns:a16="http://schemas.microsoft.com/office/drawing/2014/main" id="{25C053B5-C93A-4408-89DC-D07A05E445D0}"/>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6667488" y="2246440"/>
              <a:ext cx="2259692" cy="36373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167569</xdr:colOff>
      <xdr:row>12</xdr:row>
      <xdr:rowOff>70555</xdr:rowOff>
    </xdr:from>
    <xdr:to>
      <xdr:col>32</xdr:col>
      <xdr:colOff>64912</xdr:colOff>
      <xdr:row>32</xdr:row>
      <xdr:rowOff>97014</xdr:rowOff>
    </xdr:to>
    <mc:AlternateContent xmlns:mc="http://schemas.openxmlformats.org/markup-compatibility/2006" xmlns:a14="http://schemas.microsoft.com/office/drawing/2010/main">
      <mc:Choice Requires="a14">
        <xdr:graphicFrame macro="">
          <xdr:nvGraphicFramePr>
            <xdr:cNvPr id="11" name="Inventory Status">
              <a:extLst>
                <a:ext uri="{FF2B5EF4-FFF2-40B4-BE49-F238E27FC236}">
                  <a16:creationId xmlns:a16="http://schemas.microsoft.com/office/drawing/2014/main" id="{A3347F36-4F01-42E7-AC22-EDA7BF8FAE91}"/>
                </a:ext>
              </a:extLst>
            </xdr:cNvPr>
            <xdr:cNvGraphicFramePr/>
          </xdr:nvGraphicFramePr>
          <xdr:xfrm>
            <a:off x="0" y="0"/>
            <a:ext cx="0" cy="0"/>
          </xdr:xfrm>
          <a:graphic>
            <a:graphicData uri="http://schemas.microsoft.com/office/drawing/2010/slicer">
              <sle:slicer xmlns:sle="http://schemas.microsoft.com/office/drawing/2010/slicer" name="Inventory Status"/>
            </a:graphicData>
          </a:graphic>
        </xdr:graphicFrame>
      </mc:Choice>
      <mc:Fallback xmlns="">
        <xdr:sp macro="" textlink="">
          <xdr:nvSpPr>
            <xdr:cNvPr id="0" name=""/>
            <xdr:cNvSpPr>
              <a:spLocks noTextEdit="1"/>
            </xdr:cNvSpPr>
          </xdr:nvSpPr>
          <xdr:spPr>
            <a:xfrm>
              <a:off x="19021021" y="2255258"/>
              <a:ext cx="1847701" cy="36550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ya chaudhary" refreshedDate="46123.075770138887" createdVersion="8" refreshedVersion="8" minRefreshableVersion="3" recordCount="1272" xr:uid="{AA9A7950-EE7A-43B9-B8BD-E13E508DBA66}">
  <cacheSource type="worksheet">
    <worksheetSource ref="A1:I1270" sheet="Sales_Data"/>
  </cacheSource>
  <cacheFields count="10">
    <cacheField name="Item Name" numFmtId="0">
      <sharedItems containsBlank="1" count="1267">
        <s v="LACTOGEN-PRO 1 REFILL 1*400GM"/>
        <s v="ISOMIL POWDER 400GM"/>
        <s v="LACTOGEN PRO 1 RIF 1*400G"/>
        <s v="DEXOLAC 1 TIN [470] 1*400GM"/>
        <s v="NAN PRO 3RIFILL 1*400G"/>
        <s v="LACTOGEN PRO 1KG 1KG"/>
        <s v="GLIMY MV 2MG TAB 1*10TAB"/>
        <s v="ISOMIL MILK TIN 1*400GM"/>
        <s v="CERELAC RICE/PROTEIN [329] 1*300GM"/>
        <s v="PREGABID NT TAB 1*15TAB"/>
        <s v="OLSERTAIN H 40MG TAB(1) 1*15TAB"/>
        <s v="OBIMET-GX-2-FORTE-TAB 1*10TAB"/>
        <s v="UDILIV 150MG TAB 1*15TAB"/>
        <s v="BILYPSA TAB 1*10TAB"/>
        <s v="ROSEDAY F 20MG TAB(1) 1*10TAB"/>
        <s v="MAMY POKO PANT EXTRA AB M8 5KG"/>
        <s v="SILODAL 8MG CAP 1*10CAP"/>
        <s v="NEXITO-PLUS-TAB 1*10TAB"/>
        <s v="FARORIGHT-200MG TAB 1*10TAB"/>
        <s v="BABY WIPES FLOW PACK 72 1*72PCS"/>
        <s v="ADULT DIAPERS(L10) 1*10PCS"/>
        <s v="PRE NAN POWDER 1*400GM"/>
        <s v="CERELAC WHEAT APPLE RIFF 350G"/>
        <s v="MAMY POKO M64 64PT"/>
        <s v="BIO-D3 MAX CAP 1*15CAP"/>
        <s v="RIFAXIGRESS-400 TAB 1*10TAB"/>
        <s v="BENADRYL SYRUP 1*150ML"/>
        <s v="CILACAR 10MG TAB 1*15TAB"/>
        <s v="GRANDPRIDE MV 2MG TAB 1*10TAB"/>
        <s v="TELMA H TAB 1*15TAB"/>
        <s v="HORLICKS LITE 450G [294] 500GM"/>
        <s v="CETAPHIL OILY SKN CLEANSER 1*250ML"/>
        <s v="DIALEX-DC SYRUP 1*60ML"/>
        <s v="GLUCO ONE(BG-03) 1*25PCS"/>
        <s v="SEROFLO-250MG INHALLER 1*120MD"/>
        <s v="GRD POWDER 1*200GM"/>
        <s v="TELVAS H 40 TABS 1*10TAB"/>
        <s v="REFRESH-TEARS EYE DROP 1*10ML"/>
        <s v="GLISEN MF 2MG TAB(1) 1*15TAB"/>
        <s v="ROSAVE F 20MG TAB 1*10TAB"/>
        <s v="DISPERZYME TAB 1*10TAB"/>
        <s v="SIMILAC-PLUS 2 POWDER(TIN) 1*400GM"/>
        <s v="LIBRIUM 25MG TAB 1*15TAB"/>
        <s v="ACITROM 3MG TAB(1) 1*30TAB"/>
        <s v="ENDURA MASS VANILA 1*500GM"/>
        <s v="EFNOCAR-T 40/40MG TAB 1*10TAB"/>
        <s v="BEVON CAP 1*15CAP"/>
        <s v="ZANDU BALM 1*25ML"/>
        <s v="PROTINEX ORIGINAL(JAR) 1*400GM"/>
        <s v="MEDERMA ADV PLUS S GEL 1*5GM"/>
        <s v="HEPA MERZ TAB 1*10TAB"/>
        <s v="BETADINE GARGLE SOLUTION 1*50ML"/>
        <s v="THERMOMETER 1*1PCS"/>
        <s v="GLYCOMET TRIO 2MG TAB(1) 1*10TAB"/>
        <s v="ECOSPRIN AV 75/40MG CAP 1*10CAP"/>
        <s v="LOSAR 25MG TAB 1*15TAB"/>
        <s v="MAMYPOKO PANTS (S60) 1*60PCS"/>
        <s v="MAMYPOKO PANTS (S10) 1*10PCS"/>
        <s v="ABDOMINAL BELT XL 1*1"/>
        <s v="STICK L TYPE 1*1PCC"/>
        <s v="VELOZ-IT-CAP 1*10CAP"/>
        <s v="ROZUCOR ASP 10 1*10CAP"/>
        <s v="SHILAJIT TAB 15TABS"/>
        <s v="PILEX-TAB 1*60TAB"/>
        <s v="HIMALAYA BABY POWDER 1*200GM"/>
        <s v="HIMALAYA BABY OIL 1*100ML"/>
        <s v="HIMALAYA BABY GIFT PACK 1*1GIFT.PACK"/>
        <s v="NEBULIZER MASK (AD) 1*1PCS"/>
        <s v="ACCUSURE B.P.MONITOR 1*1PCC"/>
        <s v="VOLINI SPRAY 1*40GM"/>
        <s v="VOLINI SPRAY 1*100GM"/>
        <s v="ROZAVEL-10MG TAB(1) 1*10TAB"/>
        <s v="OSTOSHINE TAB 1*10TAB"/>
        <s v="NATRISE 15MG TAB 1*4TAB"/>
        <s v="MIRAGO 50MG TAB 1*10TAB"/>
        <s v="ISTAMET D-XR 500MG TAB 1*7TAB"/>
        <s v="FEBUGET 40MG TAB 1*15TAB"/>
        <s v="D-VENIZ-50 TAB 1*10TAB"/>
        <s v="CARDIVAS 3.125MG TAB(1) 1*10TAB"/>
        <s v="LOBUN FORTE CAP 1*10CP"/>
        <s v="ALLEGRA NASAL SPRAY 1*120M"/>
        <s v="ENTEROGERMINA CAP 1*4CAP"/>
        <s v="MOISTUREX CREAM 1*100GM"/>
        <s v="DETTOL 500ML 500ML"/>
        <s v="MEDROL 4MG TAB(1) 1*10TAB"/>
        <s v="NEBI 5MG TAB 1*10TAB"/>
        <s v="URSOMISH-300MG TAB 1*10TAB"/>
        <s v="PANTOMISH DSR CAP 1*10CAP"/>
        <s v="NAN PRO 1 TIN 1*200G"/>
        <s v="NAN GROW 2-6 POWDER 1*400GM"/>
        <s v="LACTOGEN PRO 1 TIN 1*400G"/>
        <s v="CERELAC 2 WHEATAPPLE CHEERY 350GM"/>
        <s v="THERMOMETER DIGI FLEXI(DR.MORP 1*1PCS"/>
        <s v="MORISON GLASS FEEDING 125ML"/>
        <s v="GLYCO 6% CREAM 1*30GM"/>
        <s v="TELPLUS TAB(1) 1*15TAB"/>
        <s v="TELMED 20MG TAB(1) 1*10TAB"/>
        <s v="GEMSOLINE CAP 1*15CAP"/>
        <s v="MAMY POKO NB84 84PTT"/>
        <s v="BENFO-PLUS-TAB(1) 1*10TAB"/>
        <s v="TELMIKIND-AMH TAB(1) 1*10TAB"/>
        <s v="MANKINDS PLACIDA TAB 1*10"/>
        <s v="LIZOFORCE 600MG TAB 1*4TAB"/>
        <s v="ACNESTAR GEL 15GM"/>
        <s v="TRENAXA-500MG TAB 1*10TAB"/>
        <s v="MONOCAN 200 TAB 1*8TAB"/>
        <s v="MACSITA-M XR 50/500MG TAB 1*10TAB"/>
        <s v="BIO-D3 PLUS CAP 1*15CAP"/>
        <s v="TELISTA-MCL 25MG TAB 1*10TAB"/>
        <s v="SALBAIR-I TRANSCAP 1POT"/>
        <s v="DILNIP-20MG TAB 1*15TAB"/>
        <s v="BUDAMATE-G CAP 1*10CAP"/>
        <s v="AKURIT-3MG TAB 1*10TAB"/>
        <s v="AKT-4 TAB 1*1TAB"/>
        <s v="LIVAFIN CREAM 1*10GM"/>
        <s v="MAHAFLOX LP E/D 1*1PH"/>
        <s v="MAHAFLOX-D EYE DROP 1*5ML"/>
        <s v="TORVIGRESS 100MG TAB(1) 1*10TAB"/>
        <s v="SAT ISABGOL 500GM 500GM"/>
        <s v="WALKER ALUMINIUM 1*1PCC"/>
        <s v="METROGYL 400MG TAB 1*20TAB"/>
        <s v="CILACAR M 10/25 TAB 1*10TAB"/>
        <s v="ZORYL-M 3MG TAB(1) 1*10TAB"/>
        <s v="REXIPRA 15MG TAB 1*10TAB"/>
        <s v="AMTAS M 25MG TAB 1*15TAB"/>
        <s v="LULIBET LOTION 1*10ML"/>
        <s v="CARCA CR 10 TAB 1*15TAB"/>
        <s v="HEXIDINE MOUTHWASH 1*160ML"/>
        <s v="WOMEN'S HORLICK PLUS CARAMELJA 1*400GM"/>
        <s v="HORLICKS POUCH 1*500GM"/>
        <s v="HIMALAYA BABY OIL 1*200ML"/>
        <s v="CLEARGEL AP GEL 1*15GM"/>
        <s v="AD-VITAMIN BABY OIL 200ML"/>
        <s v="SENSODYNE 2+1 BRUSH 1*1PCS"/>
        <s v="ETHIGLOW FACE WASH 1*70GM"/>
        <s v="GLIMISAVE MV 3.3 F TAB 1*15TAB"/>
        <s v="OROFER S 200MG INJ 1*10ML"/>
        <s v="METPURE XL 50MG TAB(1) 1*10TAB"/>
        <s v="ESLO TEL 2.5MG TAB 1*15TAB"/>
        <s v="OROFER XT PLUS SYRUP 1*200ML"/>
        <s v="TRAJENTA DUO 2.5/500MG TAB 1*10TAB"/>
        <s v="TOP CREPE COTTAN BANDAGE 10CM 1*1PCC"/>
        <s v="GLUCO ONE(BG-03) 1*50PCS"/>
        <s v="PET SAFA GRANULES 1*100GM"/>
        <s v="SHILAJIT GOLD CAP 1*10CAP"/>
        <s v="MOTHER'S PLUS HORLICKS 1*500GM"/>
        <s v="DABUR HONITUS SYP 200ML"/>
        <s v="DABUR GLUCOPLUS-C POWDER 1*1KG"/>
        <s v="L HIST MONT TAB 1*15TAB"/>
        <s v="VIBITE M 1000MG TAB 1*15TAB"/>
        <s v="CORTEL M 25 TAB 1*15TAB"/>
        <s v="OMNIGEL OINT 1*50GM"/>
        <s v="N-FLOX TZ TAB 1*10TAB"/>
        <s v="THROMBOPHOB OINT 1*20GM"/>
        <s v="INSUGEN-30/70 REFIL 1*3ML"/>
        <s v="TRIOPIL-2MG TAB(1) 1*10TAB"/>
        <s v="SITAGLO-DM TAB 1*15TAB"/>
        <s v="MONOCEF-O CV 200/125MG TAB 1*10TAB"/>
        <s v="RANTOP SYP 1*100ML"/>
        <s v="DONEP M TAB 1*15TAB"/>
        <s v="TSART MCL-50MG TAB 1*10TAB"/>
        <s v="LINOKEM-600MG TAB 1*10TAB"/>
        <s v="CRIZ-M TAB 1*10TAB"/>
        <s v="GLIPY-D TAB 1*15TAB"/>
        <s v="NEERI SYRUP 1*200ML"/>
        <s v="ADIPAM PLUS TAB 1*10TAB"/>
        <s v="ENSURE DIABETES CARE CHOC 1*200GM"/>
        <s v="SIMILAC 4 600RS 1*400GM"/>
        <s v="TETMOSOL-SOAP 1*100GM"/>
        <s v="TELPRES LN 40 TAB 1*10TAB"/>
        <s v="PEDIASURE 7+ VANILA 1*400GM"/>
        <s v="OBIMET GX 2MG TAB 1*15TAB"/>
        <s v="LIBRAX TAB 1*20TAB"/>
        <s v="ENSURE PLUS (VANILA) 400G"/>
        <s v="JOHNSON'S BABY SHAMPOO 1*100ML"/>
        <s v="DERIPHYLLIN RETARD 150 TAB(1) 1*30TAB"/>
        <s v="CLOP G CREAM 30GM 1*30GM"/>
        <s v="EFNOCAR-T 20/40MG TAB 1*10TAB"/>
        <s v="PANCHRISTA 450ML 1*450ML"/>
        <s v="PANCHKAL PARISHTA 450ML 1*450ML"/>
        <s v="NITYAM CHURNA 1*50GM"/>
        <s v="PENIDURE-LA 12 INJ 1*1VIAL"/>
        <s v="DR ORTHO OIL 1*60ML"/>
        <s v="WALYTE-L ORANGE DRINK 1*200ML"/>
        <s v="COLIMEX SUSP 1*30ML"/>
        <s v="HYDROGEN PEROXIDE SOLUTION 1*100ML"/>
        <s v="SILODERM CREAM 20GM"/>
        <s v="PIOZ-15MG TAB 1*10TAB"/>
        <s v="NEOTOMIC ENEMA 1*20ML"/>
        <s v="GLYCOMET-TRIO-FORTE-2 1*10TAB"/>
        <s v="GLYCOMET GP 0.5MG TAB(1) 1*10TAB"/>
        <s v="GLYCOMET-850MG TAB 1*10TAB"/>
        <s v="GLYCOMET-500MG SR TAB 1*20TAB"/>
        <s v="ECOSPRIN 75MG TAB 1*14TAB"/>
        <s v="DOXY-1 L-DR FORTE CAP 1*10CAP"/>
        <s v="VIZYLAC DRY SYRUP 1*60ML"/>
        <s v="PREGABA M 75MG CAP 1*15CAP"/>
        <s v="MAMYPOKO PANTS(NB11) 1*11PCS"/>
        <s v="SOFY ANTIBACTERIA[XL-70] 1*7"/>
        <s v="SOFY ANTIBACTERIA OVER NIGHT 1*15PADS"/>
        <s v="MAMY POKO  WIPES [85] 1*24"/>
        <s v="MAMYPOKO PANTS XXL 1*8PANTS"/>
        <s v="MAMYPOKO PANTS ST XL6 6"/>
        <s v="MAMYPOKO PANTS (M30) 1*30PCS"/>
        <s v="MAMYPOKO PANTS EXTRA ABNB34 1*34"/>
        <s v="MAMYPOKO PANTS ALL N AB M[16] 16"/>
        <s v="MAMYPOKO PANTS ALL N AB [L28] 28"/>
        <s v="MAMYPOKO PANT EX AB [XXL-14] 1*XXL-14"/>
        <s v="ELBOW CRUTCH ADJ 1*1PCC"/>
        <s v="GRIPE WATER 200ML 1*200ML"/>
        <s v="TRIKA 0.25MG TABS 1*15"/>
        <s v="NEXPRO 40MG TAB 1*15TAB"/>
        <s v="EUREPA V 1/0.3MG TAB 1*10TAB"/>
        <s v="APIXATOR 2.5MG TAB 1*10TAB"/>
        <s v="OPHTHA CARE EYE DROP 1*10ML"/>
        <s v="LIV 52 SYRUP 1*100ML"/>
        <s v="HIMALAYA BABY WIPES 1*24WIPES"/>
        <s v="HIMALAYA BABY SOAP(REFRESHING) 1*75GM"/>
        <s v="HIMALAYA BABY SHAMPOO 1*200ML"/>
        <s v="HIMALAYA BABY POWDER 1*50GM."/>
        <s v="HIMALAYA BABY CREAM 1*50ML"/>
        <s v="FAST RELIEF 1*25GM"/>
        <s v="FAST RELIEF 1*15G"/>
        <s v="TUMMY-SOFT-SYP 1*50ML"/>
        <s v="ASTYMIN SYRUP 1*200ML"/>
        <s v="TOPP 40 TAB 1*10TAB"/>
        <s v="AMCARD 5MG TAB 1*7"/>
        <s v="HAND SANITIZER 100ML 1*100ML 1*100ML"/>
        <s v="HAND SANITIZER 100ML 100ML"/>
        <s v="CREPE BANDAGE &quot;6&quot; 1*1PCS"/>
        <s v="COTTON 100GM"/>
        <s v="BED PEN (PLASTIC) 1*1PSC"/>
        <s v="VOLITRA + SPRAY 1*55GM"/>
        <s v="VOLITRA GEL + 1*50GM"/>
        <s v="VOLINI SPRAY 1*60GM"/>
        <s v="STORVA-GOLD 10MG CAP 1*10CAP"/>
        <s v="SPORIDEX PAED DROP 1*10ML"/>
        <s v="ROZA GOLD 10MG CAP 1*10CAP"/>
        <s v="RACIPER D 40MG TAB(1) 1*15TAB"/>
        <s v="MODALERT-100MG TAB(1) 1*10TAB"/>
        <s v="MILFLODEX E/D 1*10ML"/>
        <s v="LULIFIN CREAM 1*10GM"/>
        <s v="ISTAMET 50MG/500MG TAB(1) 1*15TAB"/>
        <s v="NEEMWAY SOAP 1*75GM"/>
        <s v="SIMILIA PAIN KILLER OIL 1*100ML"/>
        <s v="SN-15MG TAB 1*10TAB"/>
        <s v="VALPARIN-CHRONO-500MG TAB(1) 1*10TAB"/>
        <s v="SANITIZR 100ML 100ML"/>
        <s v="EUMIR 15MG TAB 1*15TAB"/>
        <s v="ACCU-CHEK ACTIVE 10STRIPS 1*10STRP"/>
        <s v="RICONIA LP TAB 1*15TAB"/>
        <s v="MOOV CREAM 1*5GM"/>
        <s v="ITCH GUARD PLUS++ /// 1*5GM"/>
        <s v="ITCH GUARD PLUS+++/// 1*12GM"/>
        <s v="DETTOL  100ML 1*125ML"/>
        <s v="MOOV SPRAY 1*15GM"/>
        <s v="KRACK HAPPY FEET CREAM 1*15GM"/>
        <s v="KRACK  CREAM 1*25GM"/>
        <s v="ITCH GUARD + CREAM 1*12GM"/>
        <s v="PAMPERS PANTS M 1*26PANTS"/>
        <s v="MAMYPOKO AB WIPES-LE (20) 1*20WIPES"/>
        <s v="ZYTEE LOTION 1*10ML"/>
        <s v="DEKSEL NANO DROPS 1*15ML"/>
        <s v="POLYCID SYP 1*70ML"/>
        <s v="BRONCODIL SYP 100ML 100ML"/>
        <s v="DIGEPLEX 200ML 1*200ML"/>
        <s v="SARPIN OIL 1*110ML"/>
        <s v="MOOV OINT 1*20GM"/>
        <s v="POLYBION LC 300ML 1*300ML"/>
        <s v="NASIVION CHILD 10ML"/>
        <s v="OZOTEL TAB 1*30TAB"/>
        <s v="OZOMET-G 1MG TAB(1) 1*15TAB"/>
        <s v="DECAMOX-M EYE DROP 1*5ML"/>
        <s v="DEXOLAC 4 RIFILL 1*400GM"/>
        <s v="SOFY XXL 6PS"/>
        <s v="NOVOFINE 31G NEEDLE 1*1"/>
        <s v="CETAPHIL GENTLE SKIN CLEANSER 1*125ML"/>
        <s v="LACTOGEN PRO 1 TIN 1*200G"/>
        <s v="CERELAC 5GRAIN/FRUITS /18/ 1*300G"/>
        <s v="CERELAC 12/M&amp;FRUITS 1*300G"/>
        <s v="KUKA SYP 1*100ML"/>
        <s v="DOM-DT-10MG TAB 1*10TAB"/>
        <s v="MORISON  BOTTLE 125ML"/>
        <s v=" V WASH 100ML 1*100ML"/>
        <s v="FREE ME PAD 6PAD"/>
        <s v="VENTRYL SYP 1*100ML"/>
        <s v="RABIROS-D CAP 1*10CAP"/>
        <s v="TRH 1000MG VIAL 1*5ML"/>
        <s v="NEUROBION FORTE INJ 1*3ML"/>
        <s v="KETOZEN SOAP 1*75GM"/>
        <s v="KNEE CAP SMALL (S) 1*1PHYL"/>
        <s v="MEE MEE TOOTH BRUSH 1*1"/>
        <s v="MARCOGESIC OIL 60ML"/>
        <s v="MONET LC SYR 1*30ML"/>
        <s v="MAPRATONE SYRUP 1*200ML"/>
        <s v="THERMOKIND-F-GEL 1*100GM"/>
        <s v="RABEKIND DSR CAP(1) 1*10CAP"/>
        <s v="NUROKIND GOLD CAPS 1*10CAP"/>
        <s v="METHYCOBAL 500MG TAB 1*15TAB"/>
        <s v="MANFORCE CONDOM COCKTAIL STRAW 1*3PCS"/>
        <s v="MAHACAL D3 SOLUTION 1*4"/>
        <s v="LIVOLUCK(RF) FIBRE 180GM"/>
        <s v="GUTOK-NF CAP 1*10CAP"/>
        <s v="BANDY TAB 1*1TAB"/>
        <s v="ASTHAKIND SYP 1*100ML"/>
        <s v="ASTHAKIND LS JR SYRUP 1*60ML"/>
        <s v="ARGIPREG SACHET 1*5GM"/>
        <s v="ALBAYES PLUS SYP 10ML"/>
        <s v="ALBAYES 10ML"/>
        <s v="TELMIDUCE 40MG TAB 1*10TAB"/>
        <s v="PANDERM ++ CREAM 1*15GM"/>
        <s v="NUPENTA TAB 1*15TAB"/>
        <s v="NERVITE XT TAB 1*10TAB"/>
        <s v="MACBRITE D3 1*8 CAPS 1*8"/>
        <s v="LACTEVA GRANULES 1*200GM"/>
        <s v="FLUTICORT F 250 INHAL(1) 1*120MD"/>
        <s v="DEFCORT SYRUP 1*30ML"/>
        <s v="CEFOLAC 0Z TAB 1*10TAB"/>
        <s v="BUDETROL FORTE INHALATION 1*120MD"/>
        <s v="BILASURE 40 MG TAB 1*10TAB"/>
        <s v="AMLOVAS XM-5/50 TAB(1) 1*10TAB"/>
        <s v="HUMINSULIN REGULAR 40IU 1*1"/>
        <s v="VILFURO 200MG CAP 1*15CAP"/>
        <s v="STARPRESS-XL-25MG TAB 1*15TAB"/>
        <s v="SOFTOVAC POWDER 1*250GM"/>
        <s v="R CINEX  TAB 1*10"/>
        <s v="L-CIN-750MG TAB 1*10TAB"/>
        <s v="GLUCONORM SR 500MG TAB 1*15TAB"/>
        <s v="CLOPITAB CV GOLD 1*10CAP"/>
        <s v="CARVISTAR 6.25 TAB 1*15TAB"/>
        <s v="NASOCLEAR NASAL SPRAY 1*20ML"/>
        <s v="ITCHAWAY CREAM 25GM"/>
        <s v="EVERTEEN PADS 1*18PADS"/>
        <s v="KUFTIVE 1*10"/>
        <s v="EVIMECTIN A TAB 1*1"/>
        <s v="ABIWORM SYP 10ML"/>
        <s v="FESTIVE D EYE/EAR DROP 1*10ML"/>
        <s v="CEFLOX-DEE EYE/EAR DROPS 1*10ML"/>
        <s v="HEALTH UP 1*30"/>
        <s v="ZYDIP-C LOTION 1*50ML"/>
        <s v="KLM KLIN FACE WASH 1*100GM"/>
        <s v="SHRI TULSI DROPS 1*20ML"/>
        <s v="JOHNSON'S BABY SHAMPOO 1*50ML"/>
        <s v="JOHNSON'S BABY POWDER 1*200GM"/>
        <s v="JOHNSON'S BABY CREAM 1*50GM"/>
        <s v="JOHNSON'S BABY CREAM 1*30GM"/>
        <s v="LISTERINE COOL MINT MOUTHWASH 1*250ML"/>
        <s v="JOHNSON'S BABY OIL 1*100ML"/>
        <s v="JOHNSON S BABY SOAP 1*100GM"/>
        <s v="JOHNSONS BABY OIL 75 1*50M"/>
        <s v="JOHNSONS BABY OIL [150] 1*100ML"/>
        <s v="METROGYL 200MG TAB 1*15TAB"/>
        <s v="RANRAFT SYP 1*150ML"/>
        <s v="REVELOL AM 25/2.5MG TAB 1*15TAB"/>
        <s v="FOLITRAX 10MG TAB(1) 1*10TAB"/>
        <s v="ETOVA ER 400 TAB 1*10TAB"/>
        <s v="MIRNITE 7.5MG TAB(1) 1*10TAB"/>
        <s v="LULIBET CREAM 1*15GM"/>
        <s v="I-KUL EYE DROP 1*10ML"/>
        <s v="ESPIN-5-TAB 1*10TAB"/>
        <s v="SENSODENT-K PLUS 100G 100GM"/>
        <s v="JUSGO GEL 1*30GM"/>
        <s v="MUSCODAC GEL 1*30GM"/>
        <s v="DISPOVAN PEN NEEDLE 1*10"/>
        <s v="KIT KAT-20 1*1PCS"/>
        <s v="DISPOVAN SYRINGE 5ML 1*5ML"/>
        <s v="DISPOVAN SYRINGE 2ML 1*2ML"/>
        <s v="DISPOVAN SYRINGE 10ML 1*10ML"/>
        <s v="NAVRATANA EXTRA THANDA OIL 1*100ML"/>
        <s v="BORO PLUS CREAM 1*40ML"/>
        <s v="HIMALAYA NEEM FACE WASH 1*300ML"/>
        <s v="HICKS OVAL THERMOMETER 1*1PCS"/>
        <s v="HICKS AKUTEM THERMOMETRE 1*1PCS"/>
        <s v="NYCIL(COOL)HERBAL POW 1*150GM"/>
        <s v="DETTOL HAND WASH 900ML"/>
        <s v="VOLICURE TRIO 2/03 1*15"/>
        <s v="SAFI SYRUP 1*100ML"/>
        <s v="MADHUKASHARI 1*200ML"/>
        <s v="HONEY 250GM 1*250GM"/>
        <s v="HHSALIC*6 OINT 1*10G"/>
        <s v="DERMADEW ACNE FACE WASH 1*100ML"/>
        <s v="WIFI MT TAB(1) 1*10TAB"/>
        <s v="SENSODYNE COMPLETE PROTECTION 1*70GM"/>
        <s v="TACROZ FORTE OINT 1*10GM"/>
        <s v="MOMATE F CREAM 1*15GM"/>
        <s v="HALOVATE CREAM 1*30GM"/>
        <s v="DOXOVENT TAB 1*10TAB"/>
        <s v="CANDIBIOTIC PLUS EAR DROP 1*5ML"/>
        <s v="ALEX SYRUP 1*100ML"/>
        <s v="SENSODYNE FRESH GEL 1*75GM"/>
        <s v="SENSODYNE FRESH GEL 1*40GM"/>
        <s v="OTRIVIN FAST RELIEF 1*10ML"/>
        <s v="ELTROXIN-125MCG TAB 1*60TAB"/>
        <s v="CROCIN-TAB 1*20TAB"/>
        <s v="CROCIN 650 FAST RELIEF TAB 1*15TAB"/>
        <s v="BETNESOL TAB(1) 1*20TAB"/>
        <s v="BANOCIDE FORTE TAB 1*30TAB"/>
        <s v="IODEX ULTRAGEL 1*30GM"/>
        <s v="SENSODYNE TUBE 20GM 20GM"/>
        <s v="OTRIVIN ADVANCE NASAL SPRY 1*10GM"/>
        <s v="BIOCOF MINT 60ML 1*60ML"/>
        <s v="ORS(GALPHA)21.8GM 1*21.8GM"/>
        <s v="STIMULIV SYP 100ML"/>
        <s v="GLYCIPHAGE 500TAB(1) 1*20TAB"/>
        <s v="ETHIGLOW FACE WASH 1*200GM"/>
        <s v="ASOMEX 2.5MG TAB 1*15TAB"/>
        <s v="HOSIT D3 TAB 1*10"/>
        <s v="ANKLE BINDER MEDIUM 1*1"/>
        <s v="ARM SLING (DYNA)MEDIUM 1*1PCS"/>
        <s v="HIMALAYA BABY WASH 1*100ML"/>
        <s v="COLIZA DROP 1*30ML"/>
        <s v="BABY RASH RELIEF 50GRM 50GRM"/>
        <s v="BABY RASH RELIEF 20GRM 20GM"/>
        <s v="CNBC TOOTH &amp; GUM GEL 1*50GM"/>
        <s v="STAMLO-5MG TAB 1*30TAB"/>
        <s v="MUCOLITE SYRUP 1*100ML"/>
        <s v="PAIN X MR TAB 1*10"/>
        <s v="ENEMA 100ML"/>
        <s v="LAL TAIL 100ML 1*100ML"/>
        <s v="GLUCOPLUS C 1*100ML"/>
        <s v="SAT ISABGOL (DABUR) 1*50GM"/>
        <s v="DABUR LAL TAIL 1*50ML"/>
        <s v="DABUR HONEY MADHU 1*50GM"/>
        <s v="DABUR GLUCOSE D POWDER 1*500GM"/>
        <s v="SITOPLADI CHURNA 1*30GM"/>
        <s v="JANAM GHUNTI 120ML 1*120ML"/>
        <s v="HONITUS GINGER 100PS"/>
        <s v="HONEY 50GM 50GM"/>
        <s v="HONEY 100GM 100GM"/>
        <s v="DETTOL 1 LTR 1LTR"/>
        <s v="COTTON 1*50GM"/>
        <s v="COTTON 1*15GM"/>
        <s v="REXCOF DX SYR 60ML"/>
        <s v="OMNIGEL SPRAY 1*20GM"/>
        <s v="NICOTEX 2MG MINT PLUS TAB 1*9TAB"/>
        <s v="KAYAM CHURNA 1*50GM"/>
        <s v="FORACORT 200 SYNCHROBREATHE 1*120"/>
        <s v="FLUKA-150MG TAB 1*1TAB"/>
        <s v="FERICIP XT TAB 1*10TAB"/>
        <s v="CIPLADINE POWDER 1*10GM"/>
        <s v="ADVENT 228.5MG DRY SYRUP 1*60ML"/>
        <s v="SINAREST VAPOCAPS 1*10CAP"/>
        <s v="FACEMOIST CREAM 1*60GM"/>
        <s v="SKINSHINE SOAP 1*75GM"/>
        <s v="DEXONA TAB 1*30TAB"/>
        <s v="RUTALIN-BR TAB 1*10TAB"/>
        <s v="SENSODYNE GEL 40GM"/>
        <s v="INSUGEN R 40IU/ML INJ(1) 1*10ML"/>
        <s v="BETONY-Z SYP 1*200ML"/>
        <s v="ALOEVERRA JUCE 1*1LTR"/>
        <s v="TORSID-10MG TAB(1) 1*10TAB"/>
        <s v="SITAGLO-M 50/500MG 1*15TAB"/>
        <s v="MYOPROL XL 25MG TAB(1) 1*10TAB"/>
        <s v="MONOCEF-O DROPS 1*10ML"/>
        <s v="MEGAPEN 500 CAP 1*10CAP"/>
        <s v="GABAMAX NT 50TAB 1*10TAB"/>
        <s v="DAROLAC-CAP 1*10CAP"/>
        <s v="PROSTAGARD 8 CAP 1*10CAP"/>
        <s v="PROGG DROPS 1*4ML"/>
        <s v="COFSTOP-CDX SYRUP 1*100ML"/>
        <s v="GLUCOMOL 0.5% EYE DROP 1*5ML"/>
        <s v="SUMO-L DS SYP 1*60ML"/>
        <s v="SACUVAL 50 TAB 1*10"/>
        <s v="ZITHIUM XL 200 SYP 30ML"/>
        <s v="ZITHIUM XL 100 SUSPENSION 1*30ML"/>
        <s v="VESBAL-16MG TAB 1*10TAB"/>
        <s v="TAXIM O DRY SYP 1*30ML"/>
        <s v="TAXIM O DROP 1*10ML"/>
        <s v="SWICH-100 SYRUP 1*30ML"/>
        <s v="RAPEED L CAP 1*10CAP"/>
        <s v="ONDEM 4MG TAB 1*10TAB"/>
        <s v="NEUROKEM D 50/20MG TAB 1*10TAB"/>
        <s v="GLUVILDA-M+ 500MG TAB 1*15TAB"/>
        <s v="EMTY-SYP 1*200ML"/>
        <s v="ALDIGESIC-SP FORTE TAB 1*10TAB"/>
        <s v="TELLZY 20MG TAB(1) 1*15TAB"/>
        <s v="ROSAVE A 75MG CAP 1*10CAP"/>
        <s v="REKOOL-20MG TAB 1*15TAB"/>
        <s v="AZITHRAL XL 200MG SYRUP 1*30ML"/>
        <s v="ROSAVE EZ TAB 1*10"/>
        <s v="BREAZE L TAB(1) 1*10TAB"/>
        <s v="ACTIBILE-300MG TAB 1*10TAB"/>
        <s v="GLIMICURE M-1MG TAB 1*15TAB"/>
        <s v="SOFTDROPS EYE DROP 1*10ML"/>
        <s v="AGLOZYME SYRUP 1*200ML"/>
        <s v="ASCABIOL 120ML LOTION 1*120ML"/>
        <s v="STATOR ASP 75MG CAP 1*15CAP"/>
        <s v="I-CAN PREGNANCY TEST KIT 1*1KIT"/>
        <s v="GLUFORMIN XL 500MG TAB(1) 1*15TAB"/>
        <s v="FLAGYL 400MG TAB 1*20TAB"/>
        <s v="COLOSPA 135MG TAB 1*10TAB"/>
        <s v="CALAPTIN-40MG TAB 1*30TAB"/>
        <s v="HYDENT K 202.23 1*100GM"/>
        <s v="GLUCOSE C 200"/>
        <s v="CHYAWANPRASH P 1KG"/>
        <s v="TOTAL"/>
        <m/>
        <s v="STOCK &lt;= 15 DAYS [1.95 Lakh - 13.53%]"/>
        <s v="Item Name"/>
        <s v="PANTOP-DSR CAP 1*15TAB"/>
        <s v="LACTOGEN PRO 2 RIFF 1*400G"/>
        <s v="SIMILAC NEOSURE 1*400GM"/>
        <s v="APTAMIL PREMIUM 1 RF [750] 1*400GM"/>
        <s v="TELVAS AM TAB 1*15TAB"/>
        <s v="PAN-40-TAB 1*15TAB"/>
        <s v="ISTAMET XR 500MG TAB 1*10TAB"/>
        <s v="THYROX 25 MG TAB 1*120TAB"/>
        <s v="DILNIP-TRIO-TAB 1*10TAB"/>
        <s v="A-TO-Z-GOLD CAP 1*15CAP"/>
        <s v="DYDROGEST-ER 20MG TAB 1*10TAB"/>
        <s v="GLYCOMET-GP 2MG TAB(1) 1*15TAB"/>
        <s v="LIV 52 DS TAB 1*60TAB"/>
        <s v="RIFAGUT-400MG TAB 1*10TAB"/>
        <s v="LACTIHEP-PLUS-SYP 1*250ML"/>
        <s v="NEOPEPTINE SYP 1*100ML"/>
        <s v="COREX-DX SYRUP 1*100ML"/>
        <s v="CERELAC STA3 WHE.RI.MXD.VEG 300GM"/>
        <s v="TELMED AM TAB(1) 1*10TAB"/>
        <s v="THYROX 75MG  120TABS 1*120TABS"/>
        <s v="PEPTARD-D CAP 1*10TAB"/>
        <s v="TELMA 40MG TAB 1*30TAB"/>
        <s v="ARNICOR 100 TAB 1*15"/>
        <s v="ATEN-AM-TAB(1) 1*14TAB"/>
        <s v="MMS GOLD 1 POWDER 1*400GM"/>
        <s v="GLIMIPREX MF 1/500 TAB(1) 1*15TAB"/>
        <s v="AMLOSAFE TM 40MG TAB 1*10TAB"/>
        <s v="EVITOL CAP 1*15CAP"/>
        <s v="CREMAFFIN PLUS SYRUP 1*225ML"/>
        <s v="SIMILAC 1 1KG"/>
        <s v="FOLVITE TAB 1*45TAB"/>
        <s v="UDAPA-TRIO TAB 1*10TAB"/>
        <s v="OLSAR A 20MG TAB 1*10TAB"/>
        <s v="OLSAR 40MG TAB 1*10TAB"/>
        <s v="DILZEM CD 90MG TAB(1) 1*10TAB"/>
        <s v="TENTEX-FORTE TAB 1*10TAB"/>
        <s v="LIV 52 SYRUP 1*200ML"/>
        <s v="SYNDOPA-PLUS TAB 1*15TAB"/>
        <s v="RIVAFLO 10MG TAB 1*10TAB"/>
        <s v="RACIRAFT SYP 1*200ML"/>
        <s v="KIDTRO EYE DROPS 1*5ML"/>
        <s v="GEMER P 2MG TAB(1) 1*10TAB"/>
        <s v="CABGOLIN 0.5 TAB 1*4TAB"/>
        <s v="BRINZOTIM EYE DROPS 1*5ML"/>
        <s v="LACTIHEP-SYRUP 1*450ML"/>
        <s v="CHERI-CAP 1*15TAB"/>
        <s v="AMUL TIN 500GM"/>
        <s v="VILDOMISH-M 50/500MG TAB 1*15TAB"/>
        <s v="TURBOVAS-20MG TAB 1*15TAB"/>
        <s v="VOGLI-GM 2MG TAB(1) 1*10TAB"/>
        <s v="TELMIKIND-20MG TAB 1*10TAB"/>
        <s v="PANTAKIND-DSR CAP 1*10CAP"/>
        <s v="COMBIHALE G CAP 1*10"/>
        <s v="TRINEXOVAS 40MG TAB 1*15TAB"/>
        <s v="THYROX-12.5MG TAB 1*100TAB"/>
        <s v="RAPITUS PLUS SYRUP 1*100ML"/>
        <s v="RABEMAC-DSR CAP(1) 1*15CAP"/>
        <s v="MACBERY-XT SYRUP 1*100ML"/>
        <s v="FEBUMAC 40 TAB 1*10TAB"/>
        <s v="ACOGUT TAB 1*15TAB"/>
        <s v="SITAHENZ-100MG TAB 1*10TAB"/>
        <s v="PARI-CR-12.5-TAB 1*15TAB"/>
        <s v="KERAGLO EVA TAB 1*10TAB"/>
        <s v="GLYREE M 2MG TAB(1) 1*10TAB"/>
        <s v="VELFU TAB 1*10TAB"/>
        <s v="SOLTUS-200MG TAB(1) 1*10TAB"/>
        <s v="SARTEL-AM 40MG TAB(1) 1*15TAB"/>
        <s v="MONIT GTN-2.6MG TAB(1) 1*30TAB"/>
        <s v="BROCLEAR TAB 1*10TAB"/>
        <s v="CALCITAS D3 1*4"/>
        <s v="RA-THERMOSEAL TOOTH PASTE 1*100GM"/>
        <s v="COMPLAN (MEMORY CHARGERS)JAR 1*400GM"/>
        <s v="AD VITAMIN BABY OIL 1*500ML"/>
        <s v="CALCIGRAND FORTE CAP 1*10CAP"/>
        <s v="TACROZ FORTE OINT 1*20GM"/>
        <s v="CANDID MOUTH PAINT 1*25ML"/>
        <s v="CEFTUM 500MG TAB 1*4TAB"/>
        <s v="GLYCIPHAGE SR 500MG TAB 1*10TAB"/>
        <s v="NEFROSAVE FORTE TAB 1*15TAB"/>
        <s v="SILDOO D8 CAPS 1*10CAPS"/>
        <s v="RECLIMET XR TAB(1) 1*14TAB"/>
        <s v="GLIMY-M 2MG TAB 1*15TAB"/>
        <s v="ASHOKARISHTA 680ML 1*680ML"/>
        <s v="MONTAIR LC TAB 1*15TAB"/>
        <s v="DUOLIN ROTACAPS 1*60TAB"/>
        <s v="BUDECORT 100 INHALER(1) 1*200MD"/>
        <s v="LINID TAB 1*10TAB"/>
        <s v="MEFTAL SPAS TAB 1*10TAB"/>
        <s v="BIOCOF MINT SYP 1*100ML"/>
        <s v="TELVAS-3D 80MG TAB(1) 1*10TAB"/>
        <s v="MONTINA L SYP 1*60ML"/>
        <s v="GABAMAX NT CAP 1*10CAP"/>
        <s v="ZINCOVIT-TAB 1*15TAB"/>
        <s v="ALPHAGAN Z DROP 1*5ML"/>
        <s v="XONE-1GM-INJ 1*1VIAL"/>
        <s v="TOLKEM D TAB 1*10 TAB"/>
        <s v="OLYMPRIX-20MG TAB 1*15TAB"/>
        <s v="DAPANORM-TRIO FORTE TAB 1*10TAB"/>
        <s v="CRINA NCR 15MG TAB 1*5TAB"/>
        <s v="BLADMIR-S 25 COMBIKIT 1*14TAB"/>
        <s v="MET XL 25MG TAB 1*20TAB"/>
        <s v="TIXYLIX SYRUP 1*60ML"/>
        <s v="EPILEX SYRUP(1) 1*200ML"/>
        <s v="CALCIQUICK D3 1*4"/>
        <s v="SUGAR FREE GOLD POWDER 200SPOONS"/>
        <s v="WYSOLONE 5MG TAB(1) 1*15TAB"/>
        <s v="NADOXIN CREAM 1*10GM"/>
        <s v="DROTIN-SYP 1*100ML"/>
        <s v="WALAMYCIN SYRUP 1*30ML"/>
        <s v="GLYCOMET 250MG TAB(1) 1*10TAB"/>
        <s v="ROSEDAY A 20MG TAB 1*10TAB"/>
        <s v="METOCARD XL 25MG TAB 1*10TAB"/>
        <s v="NITYAM TAB 1*10TAB"/>
        <s v="KOFLET H TAB 1*6TAB"/>
        <s v="NORMAXIN TAB 1*20TAB"/>
        <s v="CYRA-LS TAB 1*10TAB"/>
        <s v="VOLINI SPRAY 1*15GM"/>
        <s v="TEAR DROPS 1*10ML"/>
        <s v="ROZALET 10 CAP 1*10CAP"/>
        <s v="MONOTRATE SR 30MG TAB 1*10TAB"/>
        <s v="MILFLOX DROP 1*5ML"/>
        <s v="MEGABROM EYE DROP 1*5ML"/>
        <s v="DAPEFY 10MG TAB 1*14TAB"/>
        <s v="BILASURE 20MG TAB 1*10TAB"/>
        <s v="VALPARIN-200MG TAB 1*15TAB"/>
        <s v="OZOVAS-F TAB 1*10TAB"/>
        <s v="OZOMET-PG 2MG TAB 1*15TAB"/>
        <s v="OSIL CREAM 1*30GM"/>
        <s v="DIZONE TAB 1*10TAB"/>
        <s v="GLUFLOZIN 10MG TAB 1*15TAB"/>
        <s v="SLEPNEX-0.25MG TAB 1*10TAB"/>
        <s v="MICROCID SR CAP 1*10TAB"/>
        <s v="DOLOPAR M SUSPENSION 1*60ML"/>
        <s v="DOLO-250-SYP 1*60ML"/>
        <s v="DAJIO M 1000MG TAB 1*10TAB"/>
        <s v="NASIVION CLASSIC ADULT 1*15ML"/>
        <s v="TELMED ACT 40MG TAB(1) 1*10TAB"/>
        <s v="FARO XT TAB 1*10TAB"/>
        <s v="ACENAC-SP TAB 1*10TAB"/>
        <s v="DROTIN DS SYP 1*100ML"/>
        <s v="DILONA FORTE TAB 1*10TAB"/>
        <s v="COAID SYRUP 1*60ML"/>
        <s v="CB-12 INJ 2*2.5ML"/>
        <s v="TELMIKIND-TRIO 12.5 TAB 1*10TAB"/>
        <s v="TELMIKIND-40MG TAB 1*10TAB"/>
        <s v="MOXIKIND CV 625MG TAB 1*10TAB"/>
        <s v="DOLOKIND PLUS TAB 1*10TAB"/>
        <s v="ASTHAKIND LS DROPS 15ML"/>
        <s v="THYROX 150MG TAB(1) 1*100TAB"/>
        <s v="OLMESAR A TAB 1*15"/>
        <s v="MOXIMAC TAB 1*10TAB"/>
        <s v="MACTOR 10MG TAB(1) 1*10TAB"/>
        <s v="MACSITA-M 50/500MG TAB 1*10TAB"/>
        <s v="MACBRITE D3 400IU DROPS 1*15ML"/>
        <s v="GEN D3 60K 1*8CAP"/>
        <s v="L CIN OZ SYRUP 1*30ML"/>
        <s v="BUDAMATE-400 R/C 1*30CAP"/>
        <s v="AUVELIA TAB 1*10"/>
        <s v="NORFAGYL PLUS SYRUP 1*60ML"/>
        <s v="EMBETA XR-25MG TAB(1) 1*30TAB"/>
        <s v="DIVAA 250MG TAB(1) 1*15TAB"/>
        <s v="CLOBA 5MG TAB(1) 1*15TAB"/>
        <s v="CLAVIX 75MG TAB(1) 1*15TAB"/>
        <s v="TRETIN-0.05% CREAM 1*30GM"/>
        <s v="ASCORIL LS JUNIOR SYRUP 1*60ML"/>
        <s v="ASCORIL LS DROPS 1*15ML"/>
        <s v="ASCORIL D PLUS SYP 1*100ML"/>
        <s v="PIRITON-CS SYRUP 1*100ML"/>
        <s v="OSTOCALCIUM  SYP 200ML 200ML"/>
        <s v="XILIA MP 1MG TAB(1) 1*10TAB"/>
        <s v="DREP EAR DROP 1*5ML"/>
        <s v="VOZET 5MG TAB 1*10TAB"/>
        <s v="CHEERIO GEL 1*75GM"/>
        <s v="THEO ASTHALIN FORTE TAB 1*20TAB"/>
        <s v="MOXICIP EYE DROPS 5ML 1*5ML"/>
        <s v="LEVEPSY 500MG TAB(1) 1*15TAB"/>
        <s v="JUNIOR LANZOL 15MG TAB 1*15TAB"/>
        <s v="FLUDAC 20MG CAP(1) 1*15CAP"/>
        <s v="ATORVA-10MG TAB 1*15TAB"/>
        <s v="AMLODAC-T TAB 1*15TAB"/>
        <s v="STRESNIL-0.5MG TAB(1) 1*10TAB"/>
        <s v="MONTINA-L SYRUP(1) 1*30ML"/>
        <s v="MEGA-CV DRY SYRUP 1*30ML"/>
        <s v="COFSTOP A SYRUP 1*100ML"/>
        <s v="ZINCOVIT SYP 1*200ML"/>
        <s v="DETTOL HAND SANITIZER 1*25ML"/>
        <s v="UPRISE-D3 DROPS 1*15ML"/>
        <s v="TSART TRIO 12.5MG TAB(1) 1*10TAB"/>
        <s v="TAXIM O FORTE SYP 1*30ML"/>
        <s v="TAXIM 100 TAB 1*10"/>
        <s v="SWICH DROPS 1*10ML"/>
        <s v="NEUROKEM PLUS CAP(1) 1*10CAP"/>
        <s v="MIGRABETA TR 40MG TAB 1*15TAB"/>
        <s v="GLUCORYL M 2 TAB 1*15TAB"/>
        <s v="CETIRIZ SYP 60ML 60ML"/>
        <s v="WIKORYL-AF DROP 1*15ML"/>
        <s v="VALEMBIC 80MG AM TAB 1*10TAB"/>
        <s v="GLISEN PM 1 TAB(1) 1*15TAB"/>
        <s v="VOAGE GM 2 TAB 1*10"/>
        <s v="N.S.ING 1*100ML"/>
        <s v="DURANZO TAB 1*10TAB"/>
        <s v="SORBITRATE-5MG TAB(1) 1*50TAB"/>
        <s v="PENTIDS-400 TAB 1*10TAB"/>
        <s v="INDERAL LA 20MG TAB 1*15TAB"/>
        <s v="GANATON 50MG TAB 1*10TAB"/>
        <s v="ASCABIOL EMULSION 1*100ML"/>
        <s v="ROOHAFZA 750ML"/>
        <s v="CILIX TC 40 1*15"/>
        <s v="STOCK &lt;= 30 DAYS [3.85 Lakh - 26.73%]"/>
        <s v="SIMILAC-1 RIFIL 600RS 1*400GM"/>
        <s v="DEXOLAC HI-KAL(TIN) 1*400GM"/>
        <s v="APTAMIL-GOLD 2 REFIL 1*400GM"/>
        <s v="TELVAS 40MG TAB 1*15TAB"/>
        <s v="LIPAGLYN 4MG TAB 1*10TAB"/>
        <s v="APTAMIL GOLD 1 RF 400GM [975] 1*450GM"/>
        <s v="CERELAC WHEAT/RICE /FRUIT 1*300G"/>
        <s v="LACTOGEN PRO 2 1KG"/>
        <s v="TRIGLIMIPREX-2MG TAB 1*10TAB"/>
        <s v="MONTINA-L TAB 1*10TAB"/>
        <s v="SIMILAC-PLUS 2 POWDER 1*200GM"/>
        <s v="DEXOLAC 1 REFIL 1KG"/>
        <s v="NAN PRO 1RIFILL 1*400G"/>
        <s v="DEXOLAC 3 RIFILL 1*400GM"/>
        <s v="RYZODEG PENFILL 1*3ML"/>
        <s v="ZORYL M 2MG FORTE TAB 1*15TAB"/>
        <s v="VANTEJ TOOTHPASTE 1*100GM"/>
        <s v="COBALMAX FORTE CAP 1*10CAP"/>
        <s v="JAMUN NEEM KARELA RAS 1LTR 1*1000LTR"/>
        <s v="TELVAS-3D TAB 1*10TAB"/>
        <s v="AMLOSAFE-AT-TAB(1) 1*15TAB"/>
        <s v="SOMPRAZ L CAP 1*10TAB"/>
        <s v="RIFAGUT 550MG TAB 1*10TAB"/>
        <s v="REVITAL H TAB 1*30CAP"/>
        <s v="RANOZEX TAB 1*10TAB"/>
        <s v="PANTOCID-DSR CAP 1*15CAP"/>
        <s v="GEMER-2MG TAB 1*15TAB"/>
        <s v="BECOSULES CAP 1*20CAP"/>
        <s v="NAN EXCELLA PRO 3 1*400GM"/>
        <s v="LACTOGEN PRO 3RIFF 1*400G"/>
        <s v="EVION 400MG CAP 1*20CAP"/>
        <s v="MAMY POKO M22 22PT"/>
        <s v="GLUCONORM VG-2 FORTE TAB 1*15TAB"/>
        <s v="AKURIT-4MG TAB 1*10TAB"/>
        <s v="BENIZEP CAP 1*10TAB"/>
        <s v="LEVIGRESS-500MG TAB 1*10TAB"/>
        <s v="EIREF CAP 1*10CAP"/>
        <s v="REVELOL-AM 50/5MG TAB 1*15TAB"/>
        <s v="HCQS-200MG TAB 1*15TAB"/>
        <s v="OLCURE-TRIO 40MG TAB 1*15TAB"/>
        <s v="MYMI MAX CAP 1*10TAB"/>
        <s v="DYDROHOPE TAB 1*10TAB"/>
        <s v="TELVAS H-80/12.5MG TAB(1) 1*10TAB"/>
        <s v="PROSTAGARD D 8 TAB 1*10TAB"/>
        <s v="TRIVOSE 2/02 TAB 1*15"/>
        <s v="DAPANORM-TRIO TAB 1*10TAB"/>
        <s v="TAXIM-O-200MG TAB 1*10TAB"/>
        <s v="CEHAM P TAB(1) 1*10TAB"/>
        <s v="GLISEN MF FORTE 1 1*15TAB"/>
        <s v="GLIPY MET 500MG TAB 1*15TAB"/>
        <s v="CETANIL TRIO 12.5 TAB(1) 1*10TAB"/>
        <s v="SIMILAC 2 600RS 1*400GM"/>
        <s v="IMEGLYN 1000MG TAB 1*10TAB"/>
        <s v="NASOCLEAR DROP 20ML 1*20ML"/>
        <s v="ESLO TEL 5MG TAB 1*15TAB"/>
        <s v="AUTRIN CAP 1*30CAP"/>
        <s v="SPASMO-PROXYVON PLUS CAP 1*8CAP"/>
        <s v="TRIGLYNASE-2MG TAB 1*10TAB"/>
        <s v="JALRA 50 TAB 1*15"/>
        <s v="VORXAR TAB 1*10TAB"/>
        <s v="TRIOLSAR 40MG HS TAB 1*10TAB"/>
        <s v="TORVATE CHRONO 500MG 1*10TAB"/>
        <s v="SITAXA M 50/500MG TAB 1*15TAB"/>
        <s v="SHELCAL 500(BOTTLE) (40TAB)"/>
        <s v="OLSAR CH 40/12.5MG TAB 1*10TAB"/>
        <s v="LAMITOR OD 100MG TAB 1*10TAB"/>
        <s v="EUREPA V 0.5/0.2MG TAB 1*10TAB"/>
        <s v="DYDROPREG TAB 1*10TAB"/>
        <s v="LIV-52 TAB 1*100TAB"/>
        <s v="CYRA D CAP 1*10CAP"/>
        <s v="SOMPRAZ 40MG TAB 1*15TAB"/>
        <s v="ROPARK XL 2MG TAB 1*10TAB"/>
        <s v="REVITAL-H(WOMAN) 1*10TAB"/>
        <s v="REVITAL H CAP 1*10CAP"/>
        <s v="PROLOMET-XL 50MG TAB 1*10TAB"/>
        <s v="PRAZOPRESS XL 5MG TAB 1*30TAB"/>
        <s v="PANTOCID-L CAP 1*10CAP"/>
        <s v="PANTOCID-IT CAP 1*10CAP"/>
        <s v="OXETOL 300MG TAB(1) 1*10TAB"/>
        <s v="OPIPROL 50MG TAB(1) 1*10TAB"/>
        <s v="LUMIA 60K CAP 1*8CAP"/>
        <s v="LACTIHEP-SYRUP 1*200ML"/>
        <s v="ETOSHINE 60MG TAB 1*10TAB"/>
        <s v="DUZELA M 30MG CAP(1) 1*10CAP"/>
        <s v="DRONIS-30MG TAB 1*21TAB"/>
        <s v="BILASURE M 40 TAB 1*10"/>
        <s v="NOVELON TAB 1*21TAB"/>
        <s v="DAFLON 500MG TAB 1*10TAB"/>
        <s v="CARDACE 5MG TAB(1) 1*15TAB"/>
        <s v="CARDACE 2.5MG TAB(1) 1*15TAB"/>
        <s v="CARDACE 10MG TAB(1) 1*10TAB"/>
        <s v="ALLEGRA M TAB 1*10TAB"/>
        <s v="ALNITRO-2.6MG TAB 1*30TAB"/>
        <s v="ETIZGO S 10 1*10"/>
        <s v="MUCAINE GEL/ORANGE/ 200ML"/>
        <s v="GELUSIL MPS SYRUP 1*200ML"/>
        <s v="PERFECXA BP 1*1"/>
        <s v="GLIZID M TAB(1) 1*15TAB"/>
        <s v="WANISH CREAM 1*25GM"/>
        <s v="OSIL CAP 1*10CAP"/>
        <s v="KETOL Z SOAP 1*75GM"/>
        <s v="ALLGEL-O-SYP 1*210ML"/>
        <s v="LACTOGEN PRO 4 1*400G"/>
        <s v="JANUMET-50/500MG TAB(1) 1*15TAB"/>
        <s v="NEBILONG AM TAB 1*15TAB"/>
        <s v="AMLONG MT 25MG TAB 1*15TAB"/>
        <s v="CALCIMAX-500 TAB 1*30TAB"/>
        <s v="CALCIMAX TOTAL TAB 1*15TAB"/>
        <s v="POLYBION-LC SYRUP 1*100ML"/>
        <s v="CONCOR COR 2.5MG TAB 1*10TAB"/>
        <s v="GEPRIDE M 2MG TAB 1*10TAB"/>
        <s v="ABEVIA-N TAB 1*10TAB"/>
        <s v="TELMIKIND-H TAB(1) 1*10TAB"/>
        <s v="RANIDOM-O SYRUP 1*200ML"/>
        <s v="NUROKIND-LC TAB 1*15TAB"/>
        <s v="HEPAKIND 300MG TAB 1*10TAB"/>
        <s v="CANDIFORCE-200CAP 1*7CAP"/>
        <s v="BISOHEART-2.5-TAB 1*10TAB"/>
        <s v="DARD HARN-OIL 1*100ML"/>
        <s v="TRIOLMESAR 40MG TAB(1) 1*10TAB"/>
        <s v="THYROX-88MG TAB(1) 1*100TAB"/>
        <s v="TENLIMAC TAB 1*10TAB"/>
        <s v="SETFRAC PLUS TAB 1*15TAB"/>
        <s v="ROSUMAC 10MG 1*15"/>
        <s v="OLMESAR-H-40MG TAB(1) 1*15TAB"/>
        <s v="NEXOVAS O 40 TAB 1*10"/>
        <s v="NEXOVAS CH TAB 1*10TAB"/>
        <s v="LEVOMAC 500MG TAB 1*10TAB"/>
        <s v="GEMINOR-M-3-FORTE-TAB 1*15TAB"/>
        <s v="GEMINOR M 2MG TAB 1*15TAB"/>
        <s v="DAPAMAC 10MG TAB 1*10TAB"/>
        <s v="BUDETROL-G ROTACAP 1*30CAP"/>
        <s v="BUDETROL-400-ROTACAP 1*30CAP"/>
        <s v="BIO D3 XT TAB 1*15"/>
        <s v="AEROTROP F INHAL 1*180MD"/>
        <s v="VERIFICA-M 50/500MG TAB 1*15TAB"/>
        <s v="LINVAS 4MG TAB 1*10TAB"/>
        <s v="TELISTA CL TAB 1*10"/>
        <s v="TELISTA-AM TAB(1) 1*15TAB"/>
        <s v="SOFTOVAC POWDER 1*100GM"/>
        <s v="R-CINEX-E TAB 1*6TAB"/>
        <s v="GLUCONORM PG 2MG TAB 1*15TAB"/>
        <s v="FRUSELAC TAB 1*10TAB"/>
        <s v="KETOFORD OINT 1*15GM"/>
        <s v="CLOBETA GM OINT 1*20GM"/>
        <s v="SACULYSIN-50MG TAB 1*14TAB"/>
        <s v="SITAHENZ DM 1000MG TAB 1*10TAB"/>
        <s v="SPEED HEIGHT CAP 1*20CAP"/>
        <s v="RANTAC SYRUP 1*100ML"/>
        <s v="NICARDIA XL 30MG TAB(1) 1*15"/>
        <s v="DAPACOSE 10 TAB 1*10TAB"/>
        <s v="REVELOL-XL-50MG TAB 1*15TAB"/>
        <s v="LEFNO 10MG TAB(1) 1*10TAB"/>
        <s v="ZENOXA-600MG TAB(1) 1*10TAB"/>
        <s v="REJUNEX CD3 TAB 1*10TAB"/>
        <s v="QUIKHALE SF 250 CAP(1) 1*30CAP"/>
        <s v="POTRATE SF SYRUP 1*200ML"/>
        <s v="LULIBET CREAM 1*30GM"/>
        <s v="EMBETA XR 50MG TAB(1) 1*30TAB"/>
        <s v="DEPRAN-10MG TAB 1*15TAB"/>
        <s v="BACLOF LIQUID(1) 1*100ML"/>
        <s v="SENSODENT K/FAST RELIEF 1*125G"/>
        <s v="CHERI XT TAB 1*15TAB"/>
        <s v="QSITA M-50/1000MG TAB 1*10TAB"/>
        <s v="QSITA-DM 500MG TAB 1*15TAB"/>
        <s v="DAPAGOLD 10MG TAB 1*15TAB"/>
        <s v="DAPA GOLD V 10MG 1*10TAB"/>
        <s v="ZITA-DM 500MG TAB 1*15TAB"/>
        <s v="TELMA BETA-25MG TAB 1*10TAB"/>
        <s v="TELMA AMH 40MG 1*15TAB"/>
        <s v="SCALPE PLUS ANTI DANDRUFF 1*75ML"/>
        <s v="ORS RE-HYDRATION DRINK 1*200ML"/>
        <s v="CANDITRAL SB 130 CAP 1*10CAP"/>
        <s v="CANDID-POWDER 1*100GM"/>
        <s v="CANDID B LOTION 10ML"/>
        <s v="BON K2 TAB 1*10TAB"/>
        <s v="ASCORIL LS SYRUP 1*100ML"/>
        <s v="ALEX JUNIOR SYP 1*60ML"/>
        <s v="ELTROXIN-100MCG-TAB 1*120TAB"/>
        <s v="COBADEX CZS TAB 1*15TAB"/>
        <s v="AUGMENTIN 625MG TAB 1*10TAB"/>
        <s v="HORLICKS JUNIOR[225] 500GM"/>
        <s v="ENO LEMON FLAVOUR 1*5GM"/>
        <s v="CYPON SYRUP 1*200ML"/>
        <s v="SORBILINE SYRUP (L) 1*200ML"/>
        <s v="DEXORANGE SYRUP 1*200ML"/>
        <s v="GLIMISAVE MV 3.3 TAB 1*10TAB"/>
        <s v="CREVAST 20MG TAB 1*15TAB"/>
        <s v="OROFER XT TAB 1*10TAB"/>
        <s v="ATORFEN-10MG TAB(1) 1*10TAB"/>
        <s v="ASOMEX 5MG TAB 1*15TAB"/>
        <s v="EMSITA TRIO TAB 1*10"/>
        <s v="RESWAS SYP 100ML"/>
        <s v="TRIPHALA CHURNA  120GMS 1*120GMS"/>
        <s v="HONITUS TULSI SYP 100ML"/>
        <s v="VITNEURIN CZS TAB 1*15TAB"/>
        <s v="HB 29 X TAB 1*10TAB"/>
        <s v="CORTEL LNB 25MG TAB 1*10TAB"/>
        <s v="SEROFLO 250 ROTACAPS 1*30"/>
        <s v="MONTAIR-LC-KID-SYP 1*60ML"/>
        <s v="FORACORT 400 INHALER 1*120MD"/>
        <s v="DYTOR E 10MG TAB 1*10TAB"/>
        <s v="DYTOR 40MG TAB 1*10TAB"/>
        <s v="DYTOR-10MG TAB 1*15TAB"/>
        <s v="VASOGRAIN TABLET 1*20"/>
        <s v="BOURN VITA RIFILL 1KG 1*1KG"/>
        <s v="R PPI L TAB 1*15TAB"/>
        <s v="CELLUSOOTHE-GEL 1*10ML"/>
        <s v="TITANIC K2 CAP 1*6CAP"/>
        <s v="BRILINTA-90MG TAB 1*14TAB"/>
        <s v="TRIOPIL-1MG TAB(1) 1*10TAB"/>
        <s v="MONOCEF O CV 100 DRY SYRUP 1*30ML"/>
        <s v="AMLOSAFE 3D TAB(1) 1*7TAB"/>
        <s v="MONTINA-FX TAB 1*10TAB"/>
        <s v="MEGAZOLID 600TAB 1*10TAB"/>
        <s v="GABANEURON NT 300 TAB 1*15TAB"/>
        <s v="AMLOSAFE-5MG TAB(1) 1*15TAB"/>
        <s v="RABALKEM LS TAB 1*10TAB"/>
        <s v="UPRISE-D3 60K SYP 1*5ML"/>
        <s v="TSART H TAB(1) 1*10TAB"/>
        <s v="TOFE 5MG TAB 1*10TAB"/>
        <s v="SWICH CV 325MG TAB 1*10TAB"/>
        <s v="NEWCITA PLUS TAB 1*10TAB"/>
        <s v="NEUROKEM-MNT TAB 1*10TAB"/>
        <s v="GEMCAL CAP 1*15CAP"/>
        <s v="DAPANORM M 10MG TAB 1*10TAB"/>
        <s v="A TO Z NS SYRUP 1*200ML"/>
        <s v="DELTONE-60MG CAP 1*10CAP"/>
        <s v="CETANIL-M 50MG TAB 1*10TAB"/>
        <s v="CETANIL 10 TAB(1) 1*15TAB"/>
        <s v="VOAGE S TAB 1*15."/>
        <s v="VIGADEXA E/D 1*5ML"/>
        <s v="ADLIV SYRUP 1*200ML"/>
        <s v="CILAMET XL 10/50 MG TAB 1*10TAB"/>
        <s v="BRINZOX EYE DROPS 1*5ML"/>
        <s v="AMLYCURE-DS-SYRUP 1*200ML"/>
        <s v="SIMILAC-PLUS 3 POWDER 1*400GM"/>
        <s v="RANOGARD-500MG TAB 1*10TAB"/>
        <s v="NEO-MERCAZOLE 5MG 1*130"/>
        <s v="VERTIN-16-TAB 1*15TAB"/>
        <s v="THYRONORM-75MG TAB 1*120TAB"/>
        <s v="RZOLE DSR CAP 1*10CAP"/>
        <s v="ENSURE DIABETIC VAN 375GM REF 375GM"/>
        <s v="DIGENE GEL ORANGE 1*200ML"/>
        <s v="BETONIN SYP 210ML 1*210ML"/>
        <s v="SUGAR FREE GOLD TAB 100TAB"/>
        <s v="IMEGLYN 500MG TAB 1*10TAB"/>
        <s v="WOKRIDE CAP 1*15CAP"/>
        <s v="BRO-ZEDEX EXP SYP 1*100ML"/>
        <s v="ORASORE GEL 1*10GM"/>
        <s v="DROTIN INJ 1*2ML"/>
        <s v="LYNX INJ 1*2ML"/>
        <s v="GP-2MG TAB(1) 1*10TAB"/>
        <s v="GLYCOMET TRIO 1MG TAB(1) 1*10TAB"/>
        <s v="GLYCOMET-1GM TAB 1*15TAB"/>
        <s v="D RISE 60K CAP 1*4CAP"/>
        <s v="DEROBIN OINT 1*30GM"/>
        <s v="ANOVATE CREAM 1*20GM"/>
        <s v="VIZYLAC RICH CAP 1*10CAP"/>
        <s v="DOMADOL CAP 1*10CAP"/>
        <s v="MAMYPOKO WIPES 1*100WIPES"/>
        <s v="VIZYLAC GG DROPS 1*3.5ML"/>
        <s v="SHELCAL SYRUP 1*200ML"/>
        <s v="SHELCAL-250MG TAB 1*30TAB"/>
        <s v="PRUVICT 2MG TAB 1*10TAB"/>
        <s v="ENZAR FORTE TAB 1*15TAB"/>
        <s v="DEPLATT 75 TAB 1*15TAB"/>
        <s v="MEDISALIC SOAP 1*100GM"/>
        <s v="MEDISALIC OINT 1*20GM"/>
        <s v="HIMALAYA BABY CREAM 1*100ML"/>
        <s v="CYSTONE SYRUP 1*200ML"/>
        <s v="CONFIDO TAB 1*60TAB"/>
        <s v="BRAHMI TAB 1*60TAB"/>
        <s v="ISRYL M 1MG TAB 1*15TAB"/>
        <s v="LOTEFLOX-E/D 1*5ML"/>
        <s v="CAREBET-G-CREAM 1*15GM"/>
        <s v="STOMAFIT SYRUP 1*100ML"/>
        <s v="ZENOXA-SYP 1*100ML"/>
        <s v="XAFINACT 50MG TAB 1*10TAB"/>
        <s v="TEAR DROPS GEL 10ML"/>
        <s v="SOMPRAZ-IT CAP 1*10CAP"/>
        <s v="ROLES-D (20MG+30MG)CAP(1) 1*10CAP"/>
        <s v="PROLOMET XL 25MG TAB 1*15TAB"/>
        <s v="OLEANZ 10MG TAB 1*10TAB"/>
        <s v="MOXCLAV DS 457MG SUS 1*30ML"/>
        <s v="MIRTAZ 7.5MG TAB 1*10TAB"/>
        <s v="LETROZ 2.5MG TAB 1*5TAB"/>
        <s v="ETOSHINE 90MG TAB 1*15TAB"/>
        <s v="CHERICOF-JUNIOR-SYP 1*60ML"/>
        <s v="BREVIPIL 50MG TAB 1*10TAB"/>
        <s v="BETACAP-TR-40MG CAP(1) 1*10CAP"/>
        <s v="AQUAZIDE-25MG TAB(1) 1*10TAB"/>
        <s v="ALLEGRA-120MG TAB 1*10TAB"/>
        <s v="OLISTU OIL 1*100ML"/>
        <s v="RALOP SYRUP 1*30ML"/>
        <s v="NAPROSYN 250 TAB 1*15TAB"/>
        <s v="LOMOFEN + TAB 1*20TAB"/>
        <s v="RICONIA LP TAB 1*30TAB"/>
        <s v="VEET CREM 25GM 25GM"/>
        <s v="DETTOL HAND WASH 1*900ML"/>
        <s v="RAMODAP-M TAB 1*10TAB"/>
        <s v="MINIPRESS XL 2.5MG TAB(1) 1*30TAB"/>
        <s v="MEDROL-8MG TAB(1) 1*14TAB"/>
        <s v="HETRAZAN 100MG TAB 1*30"/>
        <s v="DOLONEX DT 20MG TAB 1*15TAB"/>
        <s v="MOOV OINT 1*10GM"/>
        <s v="OZOTEL H TAB 1*30TAB"/>
        <s v="OZOMET-PG 1MG TAB 1*15TAB"/>
        <s v="LUBRINAC EYE DROP 1*10ML"/>
        <s v="VILDOMISH-M 50/1000MG TAB 1*15TAB"/>
        <s v="ENDOPLAT AV 20/75MG CAP 1*10CAP"/>
        <s v="NIVEA SOFT MOISTURISER  CREAM 1*100ML"/>
        <s v="ORTHOGAT OIL 200ML"/>
        <s v="UNICONTIN-E-600MG TAB(1) 1*10TAB"/>
        <s v="V WASH 20ML 1*20ML"/>
        <s v="AD VITAMIN BABY OIL 1*100ML"/>
        <s v="TURBOVAS 10MG TAB 1*10TAB"/>
        <s v="NULONG 5MG TAB(1) 1*10TAB"/>
        <s v="MICRODOX LBX CAP 1*10CAP"/>
        <s v="DOTHIP 75MG TAB 1*10TAB"/>
        <s v="PETRIL BETA 20MG 1*15TAB"/>
        <s v="DIAPRIDE-M 0.5MG TAB 1*15TAB"/>
        <s v="COLICAID DROPS 1*15ML"/>
        <s v="XYMEX DROP 1*15ML"/>
        <s v="O2-SYP 1*60ML"/>
        <s v="NORTIPAN M TAB(1) 1*10TAB"/>
        <s v="GEPRIDE M 2MG FORTE TAB 1*10TAB"/>
        <s v="ACENAC-P-TAB 1*15TAB"/>
        <s v="MORISON STEEL FEEDIG 200ML"/>
        <s v="MAMY POKO XXL 14 14PTT"/>
        <s v="ZINCUP SYRUP 1*100ML"/>
        <s v="DILONA GEL 1*30GM"/>
        <s v="VOGLISTAR MD 0.3TAB 1*15TAB"/>
        <s v="TERBINAFORCE PLUS CREAM 1*15GM"/>
        <s v="TERBINAFORCE 500MG TAB 1*7TAB"/>
        <s v="TELMIKIND BETA 50MG TAB(1) 1*10TAB"/>
        <s v="NUROKIND PLUS CAP(1) 1*10CAP"/>
        <s v="NUFORCE 200MG TAB 1*1TAB"/>
        <s v="MAHAFLOX EYE DROP 1*5ML"/>
        <s v="LUBISTAR 1% E/D 1*10ML"/>
        <s v="JUSTOZA S/10/100 1*15"/>
        <s v="JUSLINA-5MG TAB 1*10TAB"/>
        <s v="GLIMESTAR 2MG TAB(1) 1*10TAB"/>
        <s v="D3 MUST 60K TAB 1*8TAB"/>
        <s v="BISOHEART 5MG TAB 1*10TAB"/>
        <s v="ASTHAKIND-DX SYRUP 1*100ML"/>
        <s v="ACNESTAR-2.5% SOAP 1*75GM"/>
        <s v="VILDAMAC 50MG TAB 1*15TAB"/>
        <s v="SETFRAC CAP 1*10CAP"/>
        <s v="OMNACORTIL FORTE SUSP 1*60ML"/>
        <s v="OMNACORTIL 20MG TAB(1) 1*10TAB"/>
        <s v="MACZORB TAB 1*10TAB"/>
        <s v="MACPROT KESAR POWDER 1*200GM"/>
        <s v="MACGESIA PAIN RELIEF ROLL ON 1*50ML"/>
        <s v="MACBERY DC SYP 60ML"/>
        <s v="ETIZOLA 0.5MG TAB 1*10TAB"/>
        <s v="ERDOMAC 300MG CAP 1*6CAP"/>
        <s v="ENZOMAC TAB 1*10TAB"/>
        <s v="ENZOMAC OINT 1*5GM"/>
        <s v="EMPAHOPE S 25 TAB 1*10"/>
        <s v="ANTI-THYROX-5MG TAB 1*100TAB"/>
        <s v="ONDERO TAB(1) 1*10TAB"/>
        <s v="GLUCONORM SR 1GM TAB 1*15TAB"/>
        <s v="GLUCONORM P 15MG TAB 1*10TAB"/>
        <s v="GLUCONORM-G 4MG FORTE TAB 1*15TAB"/>
        <s v="GLADOR M 2MG TAB 1*15TAB"/>
        <s v="BUDAMATE 200 TRANSCAP 1*30CAP"/>
        <s v="AZEFLO NASAL SPRAY 1*70MD"/>
        <s v="APTIVATE SYRUP 1*175ML"/>
        <s v="RIBOCIN-LB TAB 1*10TAB"/>
        <s v="CLOP S CREAM 1*20GM"/>
        <s v="DROTIKIND 80 TAB 1*10TAB"/>
        <s v="CHERRYTONE SYRUP 1*200ML"/>
        <s v="METROGYL DG GEL FORTE 1*20GM"/>
        <s v="LULIFORD CREAM 1*10GM"/>
        <s v="KT5DERM CREAM 1*15GM"/>
        <s v="FESTIVE DEE EYE/EAR DROPS 1*10ML"/>
        <s v="NIOCLEAN GEL 1*20GM"/>
        <s v="DECOMIC PLUS EYE DROP 1*10ML"/>
        <s v="CERUKLIN EAR DROP 1*10ML"/>
        <s v="DART-TAB 1*15TAB"/>
        <s v="JOHNSON'S BABY SOAP 1*25GM"/>
        <s v="RINGCUTER OINTMENT 1*14GM"/>
        <s v="INDOCAP SR CAP 1*10CAP"/>
        <s v="JBTOR 10MG TAB 1*10TAB"/>
        <s v="ZERODOL TAB 1*10TAB"/>
        <s v="TASULIN-D CAP 1*15CAP"/>
        <s v="REVELOL-AM 25/2.5MG TAB(1) 1*10TAB"/>
        <s v="PERINORM TAB 1*10TAB"/>
        <s v="MOXISURGE D EYE DROP 1*5ML"/>
        <s v="FOLITRAX 2.5MG TAB(1) 1*10TAB"/>
        <s v="ZORYL-1MG TAB(1) 1*15TAB"/>
        <s v="ZENOXA-300MG TAB(1) 1*10TAB"/>
        <s v="TRETIVA-10MG CAP 1*10CAP"/>
        <s v="TAH 40MG TAB 1*15TAB"/>
        <s v="SPINFREE TAB 1*15TAB"/>
        <s v="SITARA DM 1000MG TAB 1*10TAB"/>
        <s v="QUIKHALE T R/C 1*30CAP"/>
        <s v="PROVANOL-SR-40MG TAB(1) 1*10TAB"/>
        <s v="NAPRA D 500MG TAB 1*10TAB"/>
        <s v="LOPEZ MD 1MG TAB 1*10TAB"/>
        <s v="LEVERA-750MG TAB(1) 1*10TAB"/>
        <s v="HIFENAC SP TAB 1*10TAB"/>
        <s v="GABAPIN NT 200MG TAB 1*15TAB"/>
        <s v="ETILAAM-PRO-20MG TAB(1) 1*10TAB"/>
        <s v="ESPIN-2.5-TAB 1*10TAB"/>
        <s v="CARCA-3.125MG TAB 1*15TAB"/>
        <s v="HITAP ER 50MG TAB 1*15TAB"/>
        <s v="DAPAVEL GM 10/2/500 TAB 1*10"/>
        <s v="KIDODENT DENTAL GEL 1*75GM"/>
        <s v="ZECAL-FEM-TAB 1*10TAB"/>
        <s v="NORVENT LS SYRUP 1*100ML"/>
        <s v="DV 400 SYRUP 1*30ML"/>
        <s v="NAVRATNA COOL TALC POWDER 1*100GM"/>
        <s v="HIMALAYA BABY POWDER 1*400GM"/>
        <s v="HIMALAYA BABY DERMA CREAM 50ML"/>
        <s v="COMPLAN (MEMORY CHARGERS)RIFI 1*400GM"/>
        <s v="TELCURE BETA 25 TAB 1*15TAB"/>
        <s v="KAYAM TAB 1*30TAB"/>
        <s v="HEMPUSHPA SYP 1*454ML"/>
        <s v="PROPYSALIC-NF OINT 1*30GM"/>
        <s v="HHLEVO M TAB 1*10TAB"/>
        <s v="KZ PLUS SHOP 75GM"/>
        <s v="GRANDPRIDE-MV 1MG TAB 1*10TAB"/>
        <s v="DURAZYME SYRUP 1*200ML"/>
        <s v="BRAVIA 20TAB 1*10TAB"/>
        <s v="BACTRIM-DS-TAB 1*10TAB"/>
        <s v="TELMA 20MG TAB 1*30TAB"/>
        <s v="LIZOLID 600MG CAP 1*10CAP"/>
        <s v="FLUCORT N SKIN CREAM 1*20GM"/>
        <s v="CANDITRAL 200MG TAB 1*10TAB"/>
        <s v="CANDID TOTAL PLUS CREAM 1*20GM"/>
        <s v="ZENTEL TAB 1*1TAB"/>
        <s v="ZENTEL SUSP 1*10ML"/>
        <s v="T-BACT OINT 1*5GM"/>
        <s v="SEPTRAN PEAD SUSP 1*50ML"/>
        <s v="SENSODYNE RAPID RELIEF 1*40GM"/>
        <s v="NEOSPORIN H OINT 1*5GM"/>
        <s v="EUMOSONE M CREAM 1*15GM"/>
        <s v="CALPOL PD DROPS 1*15ML"/>
        <s v="CALPOL 650MG TAB 1*15TAB"/>
        <s v="CROCIN-240-SYP 1*100ML"/>
        <s v="FORMONIDE 400MG INHALAR(1) 1*120MD"/>
        <s v="DERIPHYLLIN TAB 1*30TAB"/>
        <s v="B-COLEN NS SYRUP 1*200ML"/>
        <s v="SURFAZ-SN CREAM 1*10GM"/>
        <s v="ZOCON-400MG TAB 1*1TAB"/>
        <s v="VITCOFOL INJ 1*10ML"/>
        <s v="COTARYL CREAM 1*50GM"/>
        <s v="NUBION MAX CAP 1*10TAB"/>
        <s v="REMYLIN D TAB 1*10TAB"/>
        <s v="LN BETA 2.5MG TAB(1) 1*10TAB"/>
        <s v="CARDEXA-25MG TAB 1*10TAB"/>
        <s v="KIMET XL 25MG TAB 1*10TAB"/>
        <s v="ASOMEX D TAB 1*15TAB"/>
        <s v="FINGER COT 1*3PCS"/>
        <s v="Z &amp; D-DS-10MG SUSP 1*15ML"/>
        <s v="TRYPTOMER 25MG TAB 1*30TAB"/>
        <s v="TRYPTOMER-10MG TAB 1*30TAB"/>
        <s v="REDOTIL-CAP 1*15CAP"/>
        <s v="CHEERIO TOOTH PAST 1*75GM"/>
        <s v="BECOZINC CAP 1*30CAP"/>
        <s v="ATOCOR 20MG TAB 1*14TAB"/>
        <s v="GLUCOSE C 1*500GM"/>
        <s v="TULSI DROPS 1*30ML"/>
        <s v="REAL FRUIT PINE APPLE 1*1LIT"/>
        <s v="PUDIN HARA DROPS 1*35ML"/>
        <s v="CORTEL 3D TAB 1*10TAB"/>
        <s v="WARF 5MG TAB 1*30TAB"/>
        <s v="WARF 1MG TAB 1*30TAB"/>
        <s v="VITOMIN-D3 DROPS 1*1GM"/>
        <s v="MOXICIP KT EYE DROP 1*5ML"/>
        <s v="MOXICIP D E/D 1*5ML"/>
        <s v="METOLAR XR 25MG CAP(1) 1*15CAP"/>
        <s v="KETOCIP SOAP 75GM"/>
        <s v="FURAMIST AZ NASAL SPRAY 1*70MD"/>
        <s v="FORACORT FORTE ROTACAPS(1) 1*30CAP"/>
        <s v="DYTOR PLUS 5MG TAB(1) 1*15TAB"/>
        <s v="CIPLAR LA 20MG TAB(1) 1*15TAB"/>
        <s v="CIPLAR 40MG TAB(1) 1*15TAB"/>
        <s v="CIPLAR 10MG TAB(1) 1*15TAB"/>
        <s v="ATORLIP 10MG TAB(1) 1*15TAB"/>
        <s v="ASTHALIN INHALER 1*200MD"/>
        <s v="AMLOPRES AT 25 TAB(1) 1*15TAB"/>
        <s v="AMLOPRES-10MG TAB(1) 1*10TAB"/>
        <s v="AEROCORT ROTACAPS 60CAPS"/>
        <s v="COSVATE CREAM 1*30GM"/>
        <s v="OCUREST AH EYE DROP 1*10ML"/>
        <s v="TORGET-PLUS-10MG TAB 1*10TAB"/>
        <s v="RAMITORVA CAP(1) 1*10CAP"/>
        <s v="PIVASTA-2MG TAB(1) 1*10TAB"/>
        <s v="OCID-20-TAB 1*20CAP"/>
        <s v="CLOPITORVA 10MG CAP(1) 1*10CAP"/>
        <s v="ATEN-D-TAB(1) 1*10TAB"/>
        <s v="ATEN-50MG TAB(1) 1*14TAB"/>
        <s v="AMLODAC 5MG TAB(1) 1*30TAB"/>
        <s v="ACILOC ONLY LIQUID 1*100ML"/>
        <s v="TRAXOL-500MG INJ 1*1VIAL"/>
        <s v="NE-C TAB 1*10TAB"/>
        <s v="CAVIT 500  TAB 1*15TAB"/>
        <s v="COSCOPIN (PD) SYP 60ML"/>
        <s v="SELOKEN XL 50MG TAB(1) 1*30TAB"/>
        <s v="VILDAGARD M 50/500MG TAB 1*15TAB"/>
        <s v="TELVAS-CT LS TAB 1*10TAB"/>
        <s v="MONOCEF O 100MG DT TAB 1*10TAB"/>
        <s v="HATRIC-2-SYP 1*60ML"/>
        <s v="GABANEURON 100MG TAB 1*15TAB"/>
        <s v="DAROLAC SACHET 1*1GM"/>
        <s v="BIGOMET-SR-1000MG TAB(1) 1*10TAB"/>
        <s v="ATCHOL-CV-TAB 1*10TAB"/>
        <s v="ARISTOZYME DROP 1*15ML"/>
        <s v="AMBRODIL PLUS RF SYP 100ML 1*100ML"/>
        <s v="PROSTAGARD D 4 CAP 1*10CAP"/>
        <s v="AMLOSAFE MT 25MG TAB 1*10TAB"/>
        <s v="AMBRODIL LS SYP 1*100ML"/>
        <s v="P-100 DROPS 1*15ML"/>
        <s v="LASMA-LC TAB(1) 1*10TAB"/>
        <s v="PRED FORTE EYE DROP 1*10ML"/>
        <s v="KOJIGLO GOLD CREAM 1*20GM"/>
        <s v="INDIKOF LS SYRUP 1*60ML"/>
        <s v="HEMFER SYRUP 1*225ML"/>
        <s v="PENTANERV NT 100MG TAB 1*10TAB"/>
        <s v="ONDEM SYRUP(1) 1*30ML"/>
        <s v="NEUROKEM D 75/20MG TAB 1*10TAB"/>
        <s v="METRON I.V 1*100ML"/>
        <s v="EMTY-PEG-SYP 1*200ML"/>
        <s v="DAPANORM M 5MG TAB 1*10TAB"/>
        <s v="CRIZ M SYRUP 1*60ML"/>
        <s v="CLAVAM DROPS 1*10ML"/>
        <s v="CLAVAM BID SYRUP 1*30ML"/>
        <s v="A TO Z WOMAN CAP 1*15CAP"/>
        <s v="A TO Z NS SYRUP 1*100ML"/>
        <s v="MIRAKEM 50 TAB 1*10"/>
        <s v="GLIPY-DM TAB 1*15TAB"/>
        <s v="WIKORYL TAB 1*10TAB"/>
        <s v="CRINA-NCR 10MG TAB 1*10TAB"/>
        <s v="BILAMBIC M 10 TAB 1*10"/>
        <s v="ALBRIM T EYE DROPS 1*5ML"/>
        <s v="TOVAXO EYE DROP 1*2.5ML"/>
        <s v="SITAMAX GM FORTE 2 TAB 1*10"/>
        <s v="NEPAFLAM EYE DROP 1*5ML"/>
        <s v="MET XL TRIO 50MG TAB 1*10TAB"/>
        <s v="MET XL 50MG TAB 1*20TAB"/>
        <s v="APDROPS LP EYE DROPS 1*5ML"/>
        <s v="APDROPS KT EYE DROP 1*5ML"/>
        <s v="APDROPS EYE DROP 1*3ML"/>
        <s v="AGLOZYME-C-SYRUP 1*200ML"/>
        <s v="INDERAL LA 40MG TAB 1*15TAB"/>
        <s v="ZOLFRESH 10MG TAB 1*15TAB"/>
        <s v="VERTIN-24-TAB 1*15TAB"/>
        <s v="THYRONORM-112MG TAB 1*120TAB"/>
        <s v="OBIMET GX 1MG TAB 1*15TAB"/>
        <s v="LANOXIN-0.25MG TAB(1) 1*10TAB"/>
        <s v="KENACORT 4MG TAB 1*15TAB"/>
        <s v="INDERAL 10MG TAB 1*15TAB"/>
        <s v="ANAFORTAN TAB 1*15TAB"/>
        <s v="ABVIDA-D 100/10MG TAB 1*10TAB"/>
        <s v="RAPITUS JUNIOR 100SYP"/>
        <s v="ACOTIBIEN 300 ER 1*10"/>
      </sharedItems>
    </cacheField>
    <cacheField name="Stock" numFmtId="0">
      <sharedItems containsString="0" containsBlank="1" containsNumber="1" containsInteger="1" minValue="-3244" maxValue="19476"/>
    </cacheField>
    <cacheField name="Stock Days" numFmtId="0">
      <sharedItems containsString="0" containsBlank="1" containsNumber="1" containsInteger="1" minValue="0" maxValue="14895"/>
    </cacheField>
    <cacheField name="Sale Value" numFmtId="0">
      <sharedItems containsString="0" containsBlank="1" containsNumber="1" minValue="0" maxValue="3.4999999999999694"/>
    </cacheField>
    <cacheField name="%age" numFmtId="0">
      <sharedItems containsString="0" containsBlank="1" containsNumber="1" minValue="0" maxValue="26.790000000000209"/>
    </cacheField>
    <cacheField name="Sale" numFmtId="0">
      <sharedItems containsString="0" containsBlank="1" containsNumber="1" containsInteger="1" minValue="1" maxValue="24099"/>
    </cacheField>
    <cacheField name="PO" numFmtId="0">
      <sharedItems containsString="0" containsBlank="1" containsNumber="1" containsInteger="1" minValue="0" maxValue="0"/>
    </cacheField>
    <cacheField name="No of Tran" numFmtId="0">
      <sharedItems containsString="0" containsBlank="1" containsNumber="1" containsInteger="1" minValue="1" maxValue="2015"/>
    </cacheField>
    <cacheField name="Days Tran" numFmtId="0">
      <sharedItems containsString="0" containsBlank="1" containsNumber="1" containsInteger="1" minValue="1" maxValue="1727"/>
    </cacheField>
    <cacheField name="Order" numFmtId="0">
      <sharedItems containsString="0" containsBlank="1"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ya chaudhary" refreshedDate="46123.587991435183" createdVersion="8" refreshedVersion="8" minRefreshableVersion="3" recordCount="1273" xr:uid="{4F93A21B-9952-4AAB-9A2C-A03F3A5C62EF}">
  <cacheSource type="worksheet">
    <worksheetSource ref="A1:G1048576" sheet="Sales_Data"/>
  </cacheSource>
  <cacheFields count="10">
    <cacheField name="Item Name" numFmtId="0">
      <sharedItems containsBlank="1" count="1266">
        <s v="LACTOGEN-PRO 1 REFILL 1*400GM"/>
        <s v="ISOMIL POWDER 400GM"/>
        <s v="LACTOGEN PRO 1 RIF 1*400G"/>
        <s v="DEXOLAC 1 TIN [470] 1*400GM"/>
        <s v="NAN PRO 3RIFILL 1*400G"/>
        <s v="LACTOGEN PRO 1KG 1KG"/>
        <s v="GLIMY MV 2MG TAB 1*10TAB"/>
        <s v="ISOMIL MILK TIN 1*400GM"/>
        <s v="CERELAC RICE/PROTEIN [329] 1*300GM"/>
        <s v="PREGABID NT TAB 1*15TAB"/>
        <s v="OLSERTAIN H 40MG TAB(1) 1*15TAB"/>
        <s v="OBIMET-GX-2-FORTE-TAB 1*10TAB"/>
        <s v="UDILIV 150MG TAB 1*15TAB"/>
        <s v="BILYPSA TAB 1*10TAB"/>
        <s v="ROSEDAY F 20MG TAB(1) 1*10TAB"/>
        <s v="MAMY POKO PANT EXTRA AB M8 5KG"/>
        <s v="SILODAL 8MG CAP 1*10CAP"/>
        <s v="NEXITO-PLUS-TAB 1*10TAB"/>
        <s v="FARORIGHT-200MG TAB 1*10TAB"/>
        <s v="BABY WIPES FLOW PACK 72 1*72PCS"/>
        <s v="ADULT DIAPERS(L10) 1*10PCS"/>
        <s v="PRE NAN POWDER 1*400GM"/>
        <s v="CERELAC WHEAT APPLE RIFF 350G"/>
        <s v="MAMY POKO M64 64PT"/>
        <s v="BIO-D3 MAX CAP 1*15CAP"/>
        <s v="RIFAXIGRESS-400 TAB 1*10TAB"/>
        <s v="BENADRYL SYRUP 1*150ML"/>
        <s v="CILACAR 10MG TAB 1*15TAB"/>
        <s v="GRANDPRIDE MV 2MG TAB 1*10TAB"/>
        <s v="TELMA H TAB 1*15TAB"/>
        <s v="HORLICKS LITE 450G [294] 500GM"/>
        <s v="CETAPHIL OILY SKN CLEANSER 1*250ML"/>
        <s v="DIALEX-DC SYRUP 1*60ML"/>
        <s v="GLUCO ONE(BG-03) 1*25PCS"/>
        <s v="SEROFLO-250MG INHALLER 1*120MD"/>
        <s v="GRD POWDER 1*200GM"/>
        <s v="TELVAS H 40 TABS 1*10TAB"/>
        <s v="REFRESH-TEARS EYE DROP 1*10ML"/>
        <s v="GLISEN MF 2MG TAB(1) 1*15TAB"/>
        <s v="ROSAVE F 20MG TAB 1*10TAB"/>
        <s v="DISPERZYME TAB 1*10TAB"/>
        <s v="SIMILAC-PLUS 2 POWDER(TIN) 1*400GM"/>
        <s v="LIBRIUM 25MG TAB 1*15TAB"/>
        <s v="ACITROM 3MG TAB(1) 1*30TAB"/>
        <s v="ENDURA MASS VANILA 1*500GM"/>
        <s v="EFNOCAR-T 40/40MG TAB 1*10TAB"/>
        <s v="BEVON CAP 1*15CAP"/>
        <s v="ZANDU BALM 1*25ML"/>
        <s v="PROTINEX ORIGINAL(JAR) 1*400GM"/>
        <s v="MEDERMA ADV PLUS S GEL 1*5GM"/>
        <s v="HEPA MERZ TAB 1*10TAB"/>
        <s v="BETADINE GARGLE SOLUTION 1*50ML"/>
        <s v="THERMOMETER 1*1PCS"/>
        <s v="GLYCOMET TRIO 2MG TAB(1) 1*10TAB"/>
        <s v="ECOSPRIN AV 75/40MG CAP 1*10CAP"/>
        <s v="LOSAR 25MG TAB 1*15TAB"/>
        <s v="MAMYPOKO PANTS (S60) 1*60PCS"/>
        <s v="MAMYPOKO PANTS (S10) 1*10PCS"/>
        <s v="ABDOMINAL BELT XL 1*1"/>
        <s v="STICK L TYPE 1*1PCC"/>
        <s v="VELOZ-IT-CAP 1*10CAP"/>
        <s v="ROZUCOR ASP 10 1*10CAP"/>
        <s v="SHILAJIT TAB 15TABS"/>
        <s v="PILEX-TAB 1*60TAB"/>
        <s v="HIMALAYA BABY POWDER 1*200GM"/>
        <s v="HIMALAYA BABY OIL 1*100ML"/>
        <s v="HIMALAYA BABY GIFT PACK 1*1GIFT.PACK"/>
        <s v="NEBULIZER MASK (AD) 1*1PCS"/>
        <s v="ACCUSURE B.P.MONITOR 1*1PCC"/>
        <s v="VOLINI SPRAY 1*40GM"/>
        <s v="VOLINI SPRAY 1*100GM"/>
        <s v="ROZAVEL-10MG TAB(1) 1*10TAB"/>
        <s v="OSTOSHINE TAB 1*10TAB"/>
        <s v="NATRISE 15MG TAB 1*4TAB"/>
        <s v="MIRAGO 50MG TAB 1*10TAB"/>
        <s v="ISTAMET D-XR 500MG TAB 1*7TAB"/>
        <s v="FEBUGET 40MG TAB 1*15TAB"/>
        <s v="D-VENIZ-50 TAB 1*10TAB"/>
        <s v="CARDIVAS 3.125MG TAB(1) 1*10TAB"/>
        <s v="LOBUN FORTE CAP 1*10CP"/>
        <s v="ALLEGRA NASAL SPRAY 1*120M"/>
        <s v="ENTEROGERMINA CAP 1*4CAP"/>
        <s v="MOISTUREX CREAM 1*100GM"/>
        <s v="DETTOL 500ML 500ML"/>
        <s v="MEDROL 4MG TAB(1) 1*10TAB"/>
        <s v="NEBI 5MG TAB 1*10TAB"/>
        <s v="URSOMISH-300MG TAB 1*10TAB"/>
        <s v="PANTOMISH DSR CAP 1*10CAP"/>
        <s v="NAN PRO 1 TIN 1*200G"/>
        <s v="NAN GROW 2-6 POWDER 1*400GM"/>
        <s v="LACTOGEN PRO 1 TIN 1*400G"/>
        <s v="CERELAC 2 WHEATAPPLE CHEERY 350GM"/>
        <s v="THERMOMETER DIGI FLEXI(DR.MORP 1*1PCS"/>
        <s v="MORISON GLASS FEEDING 125ML"/>
        <s v="GLYCO 6% CREAM 1*30GM"/>
        <s v="TELPLUS TAB(1) 1*15TAB"/>
        <s v="TELMED 20MG TAB(1) 1*10TAB"/>
        <s v="GEMSOLINE CAP 1*15CAP"/>
        <s v="MAMY POKO NB84 84PTT"/>
        <s v="BENFO-PLUS-TAB(1) 1*10TAB"/>
        <s v="TELMIKIND-AMH TAB(1) 1*10TAB"/>
        <s v="MANKINDS PLACIDA TAB 1*10"/>
        <s v="LIZOFORCE 600MG TAB 1*4TAB"/>
        <s v="ACNESTAR GEL 15GM"/>
        <s v="TRENAXA-500MG TAB 1*10TAB"/>
        <s v="MONOCAN 200 TAB 1*8TAB"/>
        <s v="MACSITA-M XR 50/500MG TAB 1*10TAB"/>
        <s v="BIO-D3 PLUS CAP 1*15CAP"/>
        <s v="TELISTA-MCL 25MG TAB 1*10TAB"/>
        <s v="SALBAIR-I TRANSCAP 1POT"/>
        <s v="DILNIP-20MG TAB 1*15TAB"/>
        <s v="BUDAMATE-G CAP 1*10CAP"/>
        <s v="AKURIT-3MG TAB 1*10TAB"/>
        <s v="AKT-4 TAB 1*1TAB"/>
        <s v="LIVAFIN CREAM 1*10GM"/>
        <s v="MAHAFLOX LP E/D 1*1PH"/>
        <s v="MAHAFLOX-D EYE DROP 1*5ML"/>
        <s v="TORVIGRESS 100MG TAB(1) 1*10TAB"/>
        <s v="SAT ISABGOL 500GM 500GM"/>
        <s v="WALKER ALUMINIUM 1*1PCC"/>
        <s v="METROGYL 400MG TAB 1*20TAB"/>
        <s v="CILACAR M 10/25 TAB 1*10TAB"/>
        <s v="ZORYL-M 3MG TAB(1) 1*10TAB"/>
        <s v="REXIPRA 15MG TAB 1*10TAB"/>
        <s v="AMTAS M 25MG TAB 1*15TAB"/>
        <s v="LULIBET LOTION 1*10ML"/>
        <s v="CARCA CR 10 TAB 1*15TAB"/>
        <s v="HEXIDINE MOUTHWASH 1*160ML"/>
        <s v="WOMEN'S HORLICK PLUS CARAMELJA 1*400GM"/>
        <s v="HORLICKS POUCH 1*500GM"/>
        <s v="HIMALAYA BABY OIL 1*200ML"/>
        <s v="CLEARGEL AP GEL 1*15GM"/>
        <s v="AD-VITAMIN BABY OIL 200ML"/>
        <s v="SENSODYNE 2+1 BRUSH 1*1PCS"/>
        <s v="ETHIGLOW FACE WASH 1*70GM"/>
        <s v="GLIMISAVE MV 3.3 F TAB 1*15TAB"/>
        <s v="OROFER S 200MG INJ 1*10ML"/>
        <s v="METPURE XL 50MG TAB(1) 1*10TAB"/>
        <s v="ESLO TEL 2.5MG TAB 1*15TAB"/>
        <s v="OROFER XT PLUS SYRUP 1*200ML"/>
        <s v="TRAJENTA DUO 2.5/500MG TAB 1*10TAB"/>
        <s v="TOP CREPE COTTAN BANDAGE 10CM 1*1PCC"/>
        <s v="GLUCO ONE(BG-03) 1*50PCS"/>
        <s v="PET SAFA GRANULES 1*100GM"/>
        <s v="SHILAJIT GOLD CAP 1*10CAP"/>
        <s v="MOTHER'S PLUS HORLICKS 1*500GM"/>
        <s v="DABUR HONITUS SYP 200ML"/>
        <s v="DABUR GLUCOPLUS-C POWDER 1*1KG"/>
        <s v="L HIST MONT TAB 1*15TAB"/>
        <s v="VIBITE M 1000MG TAB 1*15TAB"/>
        <s v="CORTEL M 25 TAB 1*15TAB"/>
        <s v="OMNIGEL OINT 1*50GM"/>
        <s v="N-FLOX TZ TAB 1*10TAB"/>
        <s v="THROMBOPHOB OINT 1*20GM"/>
        <s v="INSUGEN-30/70 REFIL 1*3ML"/>
        <s v="TRIOPIL-2MG TAB(1) 1*10TAB"/>
        <s v="SITAGLO-DM TAB 1*15TAB"/>
        <s v="MONOCEF-O CV 200/125MG TAB 1*10TAB"/>
        <s v="RANTOP SYP 1*100ML"/>
        <s v="DONEP M TAB 1*15TAB"/>
        <s v="TSART MCL-50MG TAB 1*10TAB"/>
        <s v="LINOKEM-600MG TAB 1*10TAB"/>
        <s v="CRIZ-M TAB 1*10TAB"/>
        <s v="GLIPY-D TAB 1*15TAB"/>
        <s v="NEERI SYRUP 1*200ML"/>
        <s v="ADIPAM PLUS TAB 1*10TAB"/>
        <s v="ENSURE DIABETES CARE CHOC 1*200GM"/>
        <s v="SIMILAC 4 600RS 1*400GM"/>
        <s v="TETMOSOL-SOAP 1*100GM"/>
        <s v="TELPRES LN 40 TAB 1*10TAB"/>
        <s v="PEDIASURE 7+ VANILA 1*400GM"/>
        <s v="OBIMET GX 2MG TAB 1*15TAB"/>
        <s v="LIBRAX TAB 1*20TAB"/>
        <s v="ENSURE PLUS (VANILA) 400G"/>
        <s v="JOHNSON'S BABY SHAMPOO 1*100ML"/>
        <s v="DERIPHYLLIN RETARD 150 TAB(1) 1*30TAB"/>
        <s v="CLOP G CREAM 30GM 1*30GM"/>
        <s v="EFNOCAR-T 20/40MG TAB 1*10TAB"/>
        <s v="PANCHRISTA 450ML 1*450ML"/>
        <s v="PANCHKAL PARISHTA 450ML 1*450ML"/>
        <s v="NITYAM CHURNA 1*50GM"/>
        <s v="PENIDURE-LA 12 INJ 1*1VIAL"/>
        <s v="DR ORTHO OIL 1*60ML"/>
        <s v="WALYTE-L ORANGE DRINK 1*200ML"/>
        <s v="COLIMEX SUSP 1*30ML"/>
        <s v="HYDROGEN PEROXIDE SOLUTION 1*100ML"/>
        <s v="SILODERM CREAM 20GM"/>
        <s v="PIOZ-15MG TAB 1*10TAB"/>
        <s v="NEOTOMIC ENEMA 1*20ML"/>
        <s v="GLYCOMET-TRIO-FORTE-2 1*10TAB"/>
        <s v="GLYCOMET GP 0.5MG TAB(1) 1*10TAB"/>
        <s v="GLYCOMET-850MG TAB 1*10TAB"/>
        <s v="GLYCOMET-500MG SR TAB 1*20TAB"/>
        <s v="ECOSPRIN 75MG TAB 1*14TAB"/>
        <s v="DOXY-1 L-DR FORTE CAP 1*10CAP"/>
        <s v="VIZYLAC DRY SYRUP 1*60ML"/>
        <s v="PREGABA M 75MG CAP 1*15CAP"/>
        <s v="MAMYPOKO PANTS(NB11) 1*11PCS"/>
        <s v="SOFY ANTIBACTERIA[XL-70] 1*7"/>
        <s v="SOFY ANTIBACTERIA OVER NIGHT 1*15PADS"/>
        <s v="MAMY POKO  WIPES [85] 1*24"/>
        <s v="MAMYPOKO PANTS XXL 1*8PANTS"/>
        <s v="MAMYPOKO PANTS ST XL6 6"/>
        <s v="MAMYPOKO PANTS (M30) 1*30PCS"/>
        <s v="MAMYPOKO PANTS EXTRA ABNB34 1*34"/>
        <s v="MAMYPOKO PANTS ALL N AB M[16] 16"/>
        <s v="MAMYPOKO PANTS ALL N AB [L28] 28"/>
        <s v="MAMYPOKO PANT EX AB [XXL-14] 1*XXL-14"/>
        <s v="ELBOW CRUTCH ADJ 1*1PCC"/>
        <s v="GRIPE WATER 200ML 1*200ML"/>
        <s v="TRIKA 0.25MG TABS 1*15"/>
        <s v="NEXPRO 40MG TAB 1*15TAB"/>
        <s v="EUREPA V 1/0.3MG TAB 1*10TAB"/>
        <s v="APIXATOR 2.5MG TAB 1*10TAB"/>
        <s v="OPHTHA CARE EYE DROP 1*10ML"/>
        <s v="LIV 52 SYRUP 1*100ML"/>
        <s v="HIMALAYA BABY WIPES 1*24WIPES"/>
        <s v="HIMALAYA BABY SOAP(REFRESHING) 1*75GM"/>
        <s v="HIMALAYA BABY SHAMPOO 1*200ML"/>
        <s v="HIMALAYA BABY POWDER 1*50GM."/>
        <s v="HIMALAYA BABY CREAM 1*50ML"/>
        <s v="FAST RELIEF 1*25GM"/>
        <s v="FAST RELIEF 1*15G"/>
        <s v="TUMMY-SOFT-SYP 1*50ML"/>
        <s v="ASTYMIN SYRUP 1*200ML"/>
        <s v="TOPP 40 TAB 1*10TAB"/>
        <s v="AMCARD 5MG TAB 1*7"/>
        <s v="HAND SANITIZER 100ML 1*100ML 1*100ML"/>
        <s v="HAND SANITIZER 100ML 100ML"/>
        <s v="CREPE BANDAGE &quot;6&quot; 1*1PCS"/>
        <s v="COTTON 100GM"/>
        <s v="BED PEN (PLASTIC) 1*1PSC"/>
        <s v="VOLITRA + SPRAY 1*55GM"/>
        <s v="VOLITRA GEL + 1*50GM"/>
        <s v="VOLINI SPRAY 1*60GM"/>
        <s v="STORVA-GOLD 10MG CAP 1*10CAP"/>
        <s v="SPORIDEX PAED DROP 1*10ML"/>
        <s v="ROZA GOLD 10MG CAP 1*10CAP"/>
        <s v="RACIPER D 40MG TAB(1) 1*15TAB"/>
        <s v="MODALERT-100MG TAB(1) 1*10TAB"/>
        <s v="MILFLODEX E/D 1*10ML"/>
        <s v="LULIFIN CREAM 1*10GM"/>
        <s v="ISTAMET 50MG/500MG TAB(1) 1*15TAB"/>
        <s v="NEEMWAY SOAP 1*75GM"/>
        <s v="SIMILIA PAIN KILLER OIL 1*100ML"/>
        <s v="SN-15MG TAB 1*10TAB"/>
        <s v="VALPARIN-CHRONO-500MG TAB(1) 1*10TAB"/>
        <s v="SANITIZR 100ML 100ML"/>
        <s v="EUMIR 15MG TAB 1*15TAB"/>
        <s v="ACCU-CHEK ACTIVE 10STRIPS 1*10STRP"/>
        <s v="RICONIA LP TAB 1*15TAB"/>
        <s v="MOOV CREAM 1*5GM"/>
        <s v="ITCH GUARD PLUS++ /// 1*5GM"/>
        <s v="ITCH GUARD PLUS+++/// 1*12GM"/>
        <s v="DETTOL  100ML 1*125ML"/>
        <s v="MOOV SPRAY 1*15GM"/>
        <s v="KRACK HAPPY FEET CREAM 1*15GM"/>
        <s v="KRACK  CREAM 1*25GM"/>
        <s v="ITCH GUARD + CREAM 1*12GM"/>
        <s v="PAMPERS PANTS M 1*26PANTS"/>
        <s v="MAMYPOKO AB WIPES-LE (20) 1*20WIPES"/>
        <s v="ZYTEE LOTION 1*10ML"/>
        <s v="DEKSEL NANO DROPS 1*15ML"/>
        <s v="POLYCID SYP 1*70ML"/>
        <s v="BRONCODIL SYP 100ML 100ML"/>
        <s v="DIGEPLEX 200ML 1*200ML"/>
        <s v="SARPIN OIL 1*110ML"/>
        <s v="MOOV OINT 1*20GM"/>
        <s v="POLYBION LC 300ML 1*300ML"/>
        <s v="NASIVION CHILD 10ML"/>
        <s v="OZOTEL TAB 1*30TAB"/>
        <s v="OZOMET-G 1MG TAB(1) 1*15TAB"/>
        <s v="DECAMOX-M EYE DROP 1*5ML"/>
        <s v="DEXOLAC 4 RIFILL 1*400GM"/>
        <s v="SOFY XXL 6PS"/>
        <s v="NOVOFINE 31G NEEDLE 1*1"/>
        <s v="CETAPHIL GENTLE SKIN CLEANSER 1*125ML"/>
        <s v="LACTOGEN PRO 1 TIN 1*200G"/>
        <s v="CERELAC 5GRAIN/FRUITS /18/ 1*300G"/>
        <s v="CERELAC 12/M&amp;FRUITS 1*300G"/>
        <s v="KUKA SYP 1*100ML"/>
        <s v="DOM-DT-10MG TAB 1*10TAB"/>
        <s v="MORISON  BOTTLE 125ML"/>
        <s v=" V WASH 100ML 1*100ML"/>
        <s v="FREE ME PAD 6PAD"/>
        <s v="VENTRYL SYP 1*100ML"/>
        <s v="RABIROS-D CAP 1*10CAP"/>
        <s v="TRH 1000MG VIAL 1*5ML"/>
        <s v="NEUROBION FORTE INJ 1*3ML"/>
        <s v="KETOZEN SOAP 1*75GM"/>
        <s v="KNEE CAP SMALL (S) 1*1PHYL"/>
        <s v="MEE MEE TOOTH BRUSH 1*1"/>
        <s v="MARCOGESIC OIL 60ML"/>
        <s v="MONET LC SYR 1*30ML"/>
        <s v="MAPRATONE SYRUP 1*200ML"/>
        <s v="THERMOKIND-F-GEL 1*100GM"/>
        <s v="RABEKIND DSR CAP(1) 1*10CAP"/>
        <s v="NUROKIND GOLD CAPS 1*10CAP"/>
        <s v="METHYCOBAL 500MG TAB 1*15TAB"/>
        <s v="MANFORCE CONDOM COCKTAIL STRAW 1*3PCS"/>
        <s v="MAHACAL D3 SOLUTION 1*4"/>
        <s v="LIVOLUCK(RF) FIBRE 180GM"/>
        <s v="GUTOK-NF CAP 1*10CAP"/>
        <s v="BANDY TAB 1*1TAB"/>
        <s v="ASTHAKIND SYP 1*100ML"/>
        <s v="ASTHAKIND LS JR SYRUP 1*60ML"/>
        <s v="ARGIPREG SACHET 1*5GM"/>
        <s v="ALBAYES PLUS SYP 10ML"/>
        <s v="ALBAYES 10ML"/>
        <s v="TELMIDUCE 40MG TAB 1*10TAB"/>
        <s v="PANDERM ++ CREAM 1*15GM"/>
        <s v="NUPENTA TAB 1*15TAB"/>
        <s v="NERVITE XT TAB 1*10TAB"/>
        <s v="MACBRITE D3 1*8 CAPS 1*8"/>
        <s v="LACTEVA GRANULES 1*200GM"/>
        <s v="FLUTICORT F 250 INHAL(1) 1*120MD"/>
        <s v="DEFCORT SYRUP 1*30ML"/>
        <s v="CEFOLAC 0Z TAB 1*10TAB"/>
        <s v="BUDETROL FORTE INHALATION 1*120MD"/>
        <s v="BILASURE 40 MG TAB 1*10TAB"/>
        <s v="AMLOVAS XM-5/50 TAB(1) 1*10TAB"/>
        <s v="HUMINSULIN REGULAR 40IU 1*1"/>
        <s v="VILFURO 200MG CAP 1*15CAP"/>
        <s v="STARPRESS-XL-25MG TAB 1*15TAB"/>
        <s v="SOFTOVAC POWDER 1*250GM"/>
        <s v="R CINEX  TAB 1*10"/>
        <s v="L-CIN-750MG TAB 1*10TAB"/>
        <s v="GLUCONORM SR 500MG TAB 1*15TAB"/>
        <s v="CLOPITAB CV GOLD 1*10CAP"/>
        <s v="CARVISTAR 6.25 TAB 1*15TAB"/>
        <s v="NASOCLEAR NASAL SPRAY 1*20ML"/>
        <s v="ITCHAWAY CREAM 25GM"/>
        <s v="EVERTEEN PADS 1*18PADS"/>
        <s v="KUFTIVE 1*10"/>
        <s v="EVIMECTIN A TAB 1*1"/>
        <s v="ABIWORM SYP 10ML"/>
        <s v="FESTIVE D EYE/EAR DROP 1*10ML"/>
        <s v="CEFLOX-DEE EYE/EAR DROPS 1*10ML"/>
        <s v="HEALTH UP 1*30"/>
        <s v="ZYDIP-C LOTION 1*50ML"/>
        <s v="KLM KLIN FACE WASH 1*100GM"/>
        <s v="SHRI TULSI DROPS 1*20ML"/>
        <s v="JOHNSON'S BABY SHAMPOO 1*50ML"/>
        <s v="JOHNSON'S BABY POWDER 1*200GM"/>
        <s v="JOHNSON'S BABY CREAM 1*50GM"/>
        <s v="JOHNSON'S BABY CREAM 1*30GM"/>
        <s v="LISTERINE COOL MINT MOUTHWASH 1*250ML"/>
        <s v="JOHNSON'S BABY OIL 1*100ML"/>
        <s v="JOHNSON S BABY SOAP 1*100GM"/>
        <s v="JOHNSONS BABY OIL 75 1*50M"/>
        <s v="JOHNSONS BABY OIL [150] 1*100ML"/>
        <s v="METROGYL 200MG TAB 1*15TAB"/>
        <s v="RANRAFT SYP 1*150ML"/>
        <s v="REVELOL AM 25/2.5MG TAB 1*15TAB"/>
        <s v="FOLITRAX 10MG TAB(1) 1*10TAB"/>
        <s v="ETOVA ER 400 TAB 1*10TAB"/>
        <s v="MIRNITE 7.5MG TAB(1) 1*10TAB"/>
        <s v="LULIBET CREAM 1*15GM"/>
        <s v="I-KUL EYE DROP 1*10ML"/>
        <s v="ESPIN-5-TAB 1*10TAB"/>
        <s v="SENSODENT-K PLUS 100G 100GM"/>
        <s v="JUSGO GEL 1*30GM"/>
        <s v="MUSCODAC GEL 1*30GM"/>
        <s v="DISPOVAN PEN NEEDLE 1*10"/>
        <s v="KIT KAT-20 1*1PCS"/>
        <s v="DISPOVAN SYRINGE 5ML 1*5ML"/>
        <s v="DISPOVAN SYRINGE 2ML 1*2ML"/>
        <s v="DISPOVAN SYRINGE 10ML 1*10ML"/>
        <s v="NAVRATANA EXTRA THANDA OIL 1*100ML"/>
        <s v="BORO PLUS CREAM 1*40ML"/>
        <s v="HIMALAYA NEEM FACE WASH 1*300ML"/>
        <s v="HICKS OVAL THERMOMETER 1*1PCS"/>
        <s v="HICKS AKUTEM THERMOMETRE 1*1PCS"/>
        <s v="NYCIL(COOL)HERBAL POW 1*150GM"/>
        <s v="DETTOL HAND WASH 900ML"/>
        <s v="VOLICURE TRIO 2/03 1*15"/>
        <s v="SAFI SYRUP 1*100ML"/>
        <s v="MADHUKASHARI 1*200ML"/>
        <s v="HONEY 250GM 1*250GM"/>
        <s v="HHSALIC*6 OINT 1*10G"/>
        <s v="DERMADEW ACNE FACE WASH 1*100ML"/>
        <s v="WIFI MT TAB(1) 1*10TAB"/>
        <s v="SENSODYNE COMPLETE PROTECTION 1*70GM"/>
        <s v="TACROZ FORTE OINT 1*10GM"/>
        <s v="MOMATE F CREAM 1*15GM"/>
        <s v="HALOVATE CREAM 1*30GM"/>
        <s v="DOXOVENT TAB 1*10TAB"/>
        <s v="CANDIBIOTIC PLUS EAR DROP 1*5ML"/>
        <s v="ALEX SYRUP 1*100ML"/>
        <s v="SENSODYNE FRESH GEL 1*75GM"/>
        <s v="SENSODYNE FRESH GEL 1*40GM"/>
        <s v="OTRIVIN FAST RELIEF 1*10ML"/>
        <s v="ELTROXIN-125MCG TAB 1*60TAB"/>
        <s v="CROCIN-TAB 1*20TAB"/>
        <s v="CROCIN 650 FAST RELIEF TAB 1*15TAB"/>
        <s v="BETNESOL TAB(1) 1*20TAB"/>
        <s v="BANOCIDE FORTE TAB 1*30TAB"/>
        <s v="IODEX ULTRAGEL 1*30GM"/>
        <s v="SENSODYNE TUBE 20GM 20GM"/>
        <s v="OTRIVIN ADVANCE NASAL SPRY 1*10GM"/>
        <s v="BIOCOF MINT 60ML 1*60ML"/>
        <s v="ORS(GALPHA)21.8GM 1*21.8GM"/>
        <s v="STIMULIV SYP 100ML"/>
        <s v="GLYCIPHAGE 500TAB(1) 1*20TAB"/>
        <s v="ETHIGLOW FACE WASH 1*200GM"/>
        <s v="ASOMEX 2.5MG TAB 1*15TAB"/>
        <s v="HOSIT D3 TAB 1*10"/>
        <s v="ANKLE BINDER MEDIUM 1*1"/>
        <s v="ARM SLING (DYNA)MEDIUM 1*1PCS"/>
        <s v="HIMALAYA BABY WASH 1*100ML"/>
        <s v="COLIZA DROP 1*30ML"/>
        <s v="BABY RASH RELIEF 50GRM 50GRM"/>
        <s v="BABY RASH RELIEF 20GRM 20GM"/>
        <s v="CNBC TOOTH &amp; GUM GEL 1*50GM"/>
        <s v="STAMLO-5MG TAB 1*30TAB"/>
        <s v="MUCOLITE SYRUP 1*100ML"/>
        <s v="PAIN X MR TAB 1*10"/>
        <s v="ENEMA 100ML"/>
        <s v="LAL TAIL 100ML 1*100ML"/>
        <s v="GLUCOPLUS C 1*100ML"/>
        <s v="SAT ISABGOL (DABUR) 1*50GM"/>
        <s v="DABUR LAL TAIL 1*50ML"/>
        <s v="DABUR HONEY MADHU 1*50GM"/>
        <s v="DABUR GLUCOSE D POWDER 1*500GM"/>
        <s v="SITOPLADI CHURNA 1*30GM"/>
        <s v="JANAM GHUNTI 120ML 1*120ML"/>
        <s v="HONITUS GINGER 100PS"/>
        <s v="HONEY 50GM 50GM"/>
        <s v="HONEY 100GM 100GM"/>
        <s v="DETTOL 1 LTR 1LTR"/>
        <s v="COTTON 1*50GM"/>
        <s v="COTTON 1*15GM"/>
        <s v="REXCOF DX SYR 60ML"/>
        <s v="OMNIGEL SPRAY 1*20GM"/>
        <s v="NICOTEX 2MG MINT PLUS TAB 1*9TAB"/>
        <s v="KAYAM CHURNA 1*50GM"/>
        <s v="FORACORT 200 SYNCHROBREATHE 1*120"/>
        <s v="FLUKA-150MG TAB 1*1TAB"/>
        <s v="FERICIP XT TAB 1*10TAB"/>
        <s v="CIPLADINE POWDER 1*10GM"/>
        <s v="ADVENT 228.5MG DRY SYRUP 1*60ML"/>
        <s v="SINAREST VAPOCAPS 1*10CAP"/>
        <s v="FACEMOIST CREAM 1*60GM"/>
        <s v="SKINSHINE SOAP 1*75GM"/>
        <s v="DEXONA TAB 1*30TAB"/>
        <s v="RUTALIN-BR TAB 1*10TAB"/>
        <s v="SENSODYNE GEL 40GM"/>
        <s v="INSUGEN R 40IU/ML INJ(1) 1*10ML"/>
        <s v="BETONY-Z SYP 1*200ML"/>
        <s v="ALOEVERRA JUCE 1*1LTR"/>
        <s v="TORSID-10MG TAB(1) 1*10TAB"/>
        <s v="SITAGLO-M 50/500MG 1*15TAB"/>
        <s v="MYOPROL XL 25MG TAB(1) 1*10TAB"/>
        <s v="MONOCEF-O DROPS 1*10ML"/>
        <s v="MEGAPEN 500 CAP 1*10CAP"/>
        <s v="GABAMAX NT 50TAB 1*10TAB"/>
        <s v="DAROLAC-CAP 1*10CAP"/>
        <s v="PROSTAGARD 8 CAP 1*10CAP"/>
        <s v="PROGG DROPS 1*4ML"/>
        <s v="COFSTOP-CDX SYRUP 1*100ML"/>
        <s v="GLUCOMOL 0.5% EYE DROP 1*5ML"/>
        <s v="SUMO-L DS SYP 1*60ML"/>
        <s v="SACUVAL 50 TAB 1*10"/>
        <s v="ZITHIUM XL 200 SYP 30ML"/>
        <s v="ZITHIUM XL 100 SUSPENSION 1*30ML"/>
        <s v="VESBAL-16MG TAB 1*10TAB"/>
        <s v="TAXIM O DRY SYP 1*30ML"/>
        <s v="TAXIM O DROP 1*10ML"/>
        <s v="SWICH-100 SYRUP 1*30ML"/>
        <s v="RAPEED L CAP 1*10CAP"/>
        <s v="ONDEM 4MG TAB 1*10TAB"/>
        <s v="NEUROKEM D 50/20MG TAB 1*10TAB"/>
        <s v="GLUVILDA-M+ 500MG TAB 1*15TAB"/>
        <s v="EMTY-SYP 1*200ML"/>
        <s v="ALDIGESIC-SP FORTE TAB 1*10TAB"/>
        <s v="TELLZY 20MG TAB(1) 1*15TAB"/>
        <s v="ROSAVE A 75MG CAP 1*10CAP"/>
        <s v="REKOOL-20MG TAB 1*15TAB"/>
        <s v="AZITHRAL XL 200MG SYRUP 1*30ML"/>
        <s v="ROSAVE EZ TAB 1*10"/>
        <s v="BREAZE L TAB(1) 1*10TAB"/>
        <s v="ACTIBILE-300MG TAB 1*10TAB"/>
        <s v="GLIMICURE M-1MG TAB 1*15TAB"/>
        <s v="SOFTDROPS EYE DROP 1*10ML"/>
        <s v="AGLOZYME SYRUP 1*200ML"/>
        <s v="ASCABIOL 120ML LOTION 1*120ML"/>
        <s v="STATOR ASP 75MG CAP 1*15CAP"/>
        <s v="I-CAN PREGNANCY TEST KIT 1*1KIT"/>
        <s v="GLUFORMIN XL 500MG TAB(1) 1*15TAB"/>
        <s v="FLAGYL 400MG TAB 1*20TAB"/>
        <s v="COLOSPA 135MG TAB 1*10TAB"/>
        <s v="CALAPTIN-40MG TAB 1*30TAB"/>
        <s v="HYDENT K 202.23 1*100GM"/>
        <s v="GLUCOSE C 200"/>
        <s v="CHYAWANPRASH P 1KG"/>
        <m/>
        <s v="STOCK &lt;= 15 DAYS [1.95 Lakh - 13.53%]"/>
        <s v="Item Name"/>
        <s v="PANTOP-DSR CAP 1*15TAB"/>
        <s v="LACTOGEN PRO 2 RIFF 1*400G"/>
        <s v="SIMILAC NEOSURE 1*400GM"/>
        <s v="APTAMIL PREMIUM 1 RF [750] 1*400GM"/>
        <s v="TELVAS AM TAB 1*15TAB"/>
        <s v="PAN-40-TAB 1*15TAB"/>
        <s v="ISTAMET XR 500MG TAB 1*10TAB"/>
        <s v="THYROX 25 MG TAB 1*120TAB"/>
        <s v="DILNIP-TRIO-TAB 1*10TAB"/>
        <s v="A-TO-Z-GOLD CAP 1*15CAP"/>
        <s v="DYDROGEST-ER 20MG TAB 1*10TAB"/>
        <s v="GLYCOMET-GP 2MG TAB(1) 1*15TAB"/>
        <s v="LIV 52 DS TAB 1*60TAB"/>
        <s v="RIFAGUT-400MG TAB 1*10TAB"/>
        <s v="LACTIHEP-PLUS-SYP 1*250ML"/>
        <s v="NEOPEPTINE SYP 1*100ML"/>
        <s v="COREX-DX SYRUP 1*100ML"/>
        <s v="CERELAC STA3 WHE.RI.MXD.VEG 300GM"/>
        <s v="TELMED AM TAB(1) 1*10TAB"/>
        <s v="THYROX 75MG  120TABS 1*120TABS"/>
        <s v="PEPTARD-D CAP 1*10TAB"/>
        <s v="TELMA 40MG TAB 1*30TAB"/>
        <s v="ARNICOR 100 TAB 1*15"/>
        <s v="ATEN-AM-TAB(1) 1*14TAB"/>
        <s v="MMS GOLD 1 POWDER 1*400GM"/>
        <s v="GLIMIPREX MF 1/500 TAB(1) 1*15TAB"/>
        <s v="AMLOSAFE TM 40MG TAB 1*10TAB"/>
        <s v="EVITOL CAP 1*15CAP"/>
        <s v="CREMAFFIN PLUS SYRUP 1*225ML"/>
        <s v="SIMILAC 1 1KG"/>
        <s v="FOLVITE TAB 1*45TAB"/>
        <s v="UDAPA-TRIO TAB 1*10TAB"/>
        <s v="OLSAR A 20MG TAB 1*10TAB"/>
        <s v="OLSAR 40MG TAB 1*10TAB"/>
        <s v="DILZEM CD 90MG TAB(1) 1*10TAB"/>
        <s v="TENTEX-FORTE TAB 1*10TAB"/>
        <s v="LIV 52 SYRUP 1*200ML"/>
        <s v="SYNDOPA-PLUS TAB 1*15TAB"/>
        <s v="RIVAFLO 10MG TAB 1*10TAB"/>
        <s v="RACIRAFT SYP 1*200ML"/>
        <s v="KIDTRO EYE DROPS 1*5ML"/>
        <s v="GEMER P 2MG TAB(1) 1*10TAB"/>
        <s v="CABGOLIN 0.5 TAB 1*4TAB"/>
        <s v="BRINZOTIM EYE DROPS 1*5ML"/>
        <s v="LACTIHEP-SYRUP 1*450ML"/>
        <s v="CHERI-CAP 1*15TAB"/>
        <s v="AMUL TIN 500GM"/>
        <s v="VILDOMISH-M 50/500MG TAB 1*15TAB"/>
        <s v="TURBOVAS-20MG TAB 1*15TAB"/>
        <s v="VOGLI-GM 2MG TAB(1) 1*10TAB"/>
        <s v="TELMIKIND-20MG TAB 1*10TAB"/>
        <s v="PANTAKIND-DSR CAP 1*10CAP"/>
        <s v="COMBIHALE G CAP 1*10"/>
        <s v="TRINEXOVAS 40MG TAB 1*15TAB"/>
        <s v="THYROX-12.5MG TAB 1*100TAB"/>
        <s v="RAPITUS PLUS SYRUP 1*100ML"/>
        <s v="RABEMAC-DSR CAP(1) 1*15CAP"/>
        <s v="MACBERY-XT SYRUP 1*100ML"/>
        <s v="FEBUMAC 40 TAB 1*10TAB"/>
        <s v="ACOGUT TAB 1*15TAB"/>
        <s v="SITAHENZ-100MG TAB 1*10TAB"/>
        <s v="PARI-CR-12.5-TAB 1*15TAB"/>
        <s v="KERAGLO EVA TAB 1*10TAB"/>
        <s v="GLYREE M 2MG TAB(1) 1*10TAB"/>
        <s v="VELFU TAB 1*10TAB"/>
        <s v="SOLTUS-200MG TAB(1) 1*10TAB"/>
        <s v="SARTEL-AM 40MG TAB(1) 1*15TAB"/>
        <s v="MONIT GTN-2.6MG TAB(1) 1*30TAB"/>
        <s v="BROCLEAR TAB 1*10TAB"/>
        <s v="CALCITAS D3 1*4"/>
        <s v="RA-THERMOSEAL TOOTH PASTE 1*100GM"/>
        <s v="COMPLAN (MEMORY CHARGERS)JAR 1*400GM"/>
        <s v="AD VITAMIN BABY OIL 1*500ML"/>
        <s v="CALCIGRAND FORTE CAP 1*10CAP"/>
        <s v="TACROZ FORTE OINT 1*20GM"/>
        <s v="CANDID MOUTH PAINT 1*25ML"/>
        <s v="CEFTUM 500MG TAB 1*4TAB"/>
        <s v="GLYCIPHAGE SR 500MG TAB 1*10TAB"/>
        <s v="NEFROSAVE FORTE TAB 1*15TAB"/>
        <s v="SILDOO D8 CAPS 1*10CAPS"/>
        <s v="RECLIMET XR TAB(1) 1*14TAB"/>
        <s v="GLIMY-M 2MG TAB 1*15TAB"/>
        <s v="ASHOKARISHTA 680ML 1*680ML"/>
        <s v="MONTAIR LC TAB 1*15TAB"/>
        <s v="DUOLIN ROTACAPS 1*60TAB"/>
        <s v="BUDECORT 100 INHALER(1) 1*200MD"/>
        <s v="LINID TAB 1*10TAB"/>
        <s v="MEFTAL SPAS TAB 1*10TAB"/>
        <s v="BIOCOF MINT SYP 1*100ML"/>
        <s v="TELVAS-3D 80MG TAB(1) 1*10TAB"/>
        <s v="MONTINA L SYP 1*60ML"/>
        <s v="GABAMAX NT CAP 1*10CAP"/>
        <s v="ZINCOVIT-TAB 1*15TAB"/>
        <s v="ALPHAGAN Z DROP 1*5ML"/>
        <s v="XONE-1GM-INJ 1*1VIAL"/>
        <s v="TOLKEM D TAB 1*10 TAB"/>
        <s v="OLYMPRIX-20MG TAB 1*15TAB"/>
        <s v="DAPANORM-TRIO FORTE TAB 1*10TAB"/>
        <s v="CRINA NCR 15MG TAB 1*5TAB"/>
        <s v="BLADMIR-S 25 COMBIKIT 1*14TAB"/>
        <s v="MET XL 25MG TAB 1*20TAB"/>
        <s v="TIXYLIX SYRUP 1*60ML"/>
        <s v="EPILEX SYRUP(1) 1*200ML"/>
        <s v="CALCIQUICK D3 1*4"/>
        <s v="SUGAR FREE GOLD POWDER 200SPOONS"/>
        <s v="WYSOLONE 5MG TAB(1) 1*15TAB"/>
        <s v="NADOXIN CREAM 1*10GM"/>
        <s v="DROTIN-SYP 1*100ML"/>
        <s v="WALAMYCIN SYRUP 1*30ML"/>
        <s v="GLYCOMET 250MG TAB(1) 1*10TAB"/>
        <s v="ROSEDAY A 20MG TAB 1*10TAB"/>
        <s v="METOCARD XL 25MG TAB 1*10TAB"/>
        <s v="NITYAM TAB 1*10TAB"/>
        <s v="KOFLET H TAB 1*6TAB"/>
        <s v="NORMAXIN TAB 1*20TAB"/>
        <s v="CYRA-LS TAB 1*10TAB"/>
        <s v="VOLINI SPRAY 1*15GM"/>
        <s v="TEAR DROPS 1*10ML"/>
        <s v="ROZALET 10 CAP 1*10CAP"/>
        <s v="MONOTRATE SR 30MG TAB 1*10TAB"/>
        <s v="MILFLOX DROP 1*5ML"/>
        <s v="MEGABROM EYE DROP 1*5ML"/>
        <s v="DAPEFY 10MG TAB 1*14TAB"/>
        <s v="BILASURE 20MG TAB 1*10TAB"/>
        <s v="VALPARIN-200MG TAB 1*15TAB"/>
        <s v="OZOVAS-F TAB 1*10TAB"/>
        <s v="OZOMET-PG 2MG TAB 1*15TAB"/>
        <s v="OSIL CREAM 1*30GM"/>
        <s v="DIZONE TAB 1*10TAB"/>
        <s v="GLUFLOZIN 10MG TAB 1*15TAB"/>
        <s v="SLEPNEX-0.25MG TAB 1*10TAB"/>
        <s v="MICROCID SR CAP 1*10TAB"/>
        <s v="DOLOPAR M SUSPENSION 1*60ML"/>
        <s v="DOLO-250-SYP 1*60ML"/>
        <s v="DAJIO M 1000MG TAB 1*10TAB"/>
        <s v="NASIVION CLASSIC ADULT 1*15ML"/>
        <s v="TELMED ACT 40MG TAB(1) 1*10TAB"/>
        <s v="FARO XT TAB 1*10TAB"/>
        <s v="ACENAC-SP TAB 1*10TAB"/>
        <s v="DROTIN DS SYP 1*100ML"/>
        <s v="DILONA FORTE TAB 1*10TAB"/>
        <s v="COAID SYRUP 1*60ML"/>
        <s v="CB-12 INJ 2*2.5ML"/>
        <s v="TELMIKIND-TRIO 12.5 TAB 1*10TAB"/>
        <s v="TELMIKIND-40MG TAB 1*10TAB"/>
        <s v="MOXIKIND CV 625MG TAB 1*10TAB"/>
        <s v="DOLOKIND PLUS TAB 1*10TAB"/>
        <s v="ASTHAKIND LS DROPS 15ML"/>
        <s v="THYROX 150MG TAB(1) 1*100TAB"/>
        <s v="OLMESAR A TAB 1*15"/>
        <s v="MOXIMAC TAB 1*10TAB"/>
        <s v="MACTOR 10MG TAB(1) 1*10TAB"/>
        <s v="MACSITA-M 50/500MG TAB 1*10TAB"/>
        <s v="MACBRITE D3 400IU DROPS 1*15ML"/>
        <s v="GEN D3 60K 1*8CAP"/>
        <s v="L CIN OZ SYRUP 1*30ML"/>
        <s v="BUDAMATE-400 R/C 1*30CAP"/>
        <s v="AUVELIA TAB 1*10"/>
        <s v="NORFAGYL PLUS SYRUP 1*60ML"/>
        <s v="EMBETA XR-25MG TAB(1) 1*30TAB"/>
        <s v="DIVAA 250MG TAB(1) 1*15TAB"/>
        <s v="CLOBA 5MG TAB(1) 1*15TAB"/>
        <s v="CLAVIX 75MG TAB(1) 1*15TAB"/>
        <s v="TRETIN-0.05% CREAM 1*30GM"/>
        <s v="ASCORIL LS JUNIOR SYRUP 1*60ML"/>
        <s v="ASCORIL LS DROPS 1*15ML"/>
        <s v="ASCORIL D PLUS SYP 1*100ML"/>
        <s v="PIRITON-CS SYRUP 1*100ML"/>
        <s v="OSTOCALCIUM  SYP 200ML 200ML"/>
        <s v="XILIA MP 1MG TAB(1) 1*10TAB"/>
        <s v="DREP EAR DROP 1*5ML"/>
        <s v="VOZET 5MG TAB 1*10TAB"/>
        <s v="CHEERIO GEL 1*75GM"/>
        <s v="THEO ASTHALIN FORTE TAB 1*20TAB"/>
        <s v="MOXICIP EYE DROPS 5ML 1*5ML"/>
        <s v="LEVEPSY 500MG TAB(1) 1*15TAB"/>
        <s v="JUNIOR LANZOL 15MG TAB 1*15TAB"/>
        <s v="FLUDAC 20MG CAP(1) 1*15CAP"/>
        <s v="ATORVA-10MG TAB 1*15TAB"/>
        <s v="AMLODAC-T TAB 1*15TAB"/>
        <s v="STRESNIL-0.5MG TAB(1) 1*10TAB"/>
        <s v="MONTINA-L SYRUP(1) 1*30ML"/>
        <s v="MEGA-CV DRY SYRUP 1*30ML"/>
        <s v="COFSTOP A SYRUP 1*100ML"/>
        <s v="ZINCOVIT SYP 1*200ML"/>
        <s v="DETTOL HAND SANITIZER 1*25ML"/>
        <s v="UPRISE-D3 DROPS 1*15ML"/>
        <s v="TSART TRIO 12.5MG TAB(1) 1*10TAB"/>
        <s v="TAXIM O FORTE SYP 1*30ML"/>
        <s v="TAXIM 100 TAB 1*10"/>
        <s v="SWICH DROPS 1*10ML"/>
        <s v="NEUROKEM PLUS CAP(1) 1*10CAP"/>
        <s v="MIGRABETA TR 40MG TAB 1*15TAB"/>
        <s v="GLUCORYL M 2 TAB 1*15TAB"/>
        <s v="CETIRIZ SYP 60ML 60ML"/>
        <s v="WIKORYL-AF DROP 1*15ML"/>
        <s v="VALEMBIC 80MG AM TAB 1*10TAB"/>
        <s v="GLISEN PM 1 TAB(1) 1*15TAB"/>
        <s v="VOAGE GM 2 TAB 1*10"/>
        <s v="N.S.ING 1*100ML"/>
        <s v="DURANZO TAB 1*10TAB"/>
        <s v="SORBITRATE-5MG TAB(1) 1*50TAB"/>
        <s v="PENTIDS-400 TAB 1*10TAB"/>
        <s v="INDERAL LA 20MG TAB 1*15TAB"/>
        <s v="GANATON 50MG TAB 1*10TAB"/>
        <s v="ASCABIOL EMULSION 1*100ML"/>
        <s v="ROOHAFZA 750ML"/>
        <s v="CILIX TC 40 1*15"/>
        <s v="STOCK &lt;= 30 DAYS [3.85 Lakh - 26.73%]"/>
        <s v="SIMILAC-1 RIFIL 600RS 1*400GM"/>
        <s v="DEXOLAC HI-KAL(TIN) 1*400GM"/>
        <s v="APTAMIL-GOLD 2 REFIL 1*400GM"/>
        <s v="TELVAS 40MG TAB 1*15TAB"/>
        <s v="LIPAGLYN 4MG TAB 1*10TAB"/>
        <s v="APTAMIL GOLD 1 RF 400GM [975] 1*450GM"/>
        <s v="CERELAC WHEAT/RICE /FRUIT 1*300G"/>
        <s v="LACTOGEN PRO 2 1KG"/>
        <s v="TRIGLIMIPREX-2MG TAB 1*10TAB"/>
        <s v="MONTINA-L TAB 1*10TAB"/>
        <s v="SIMILAC-PLUS 2 POWDER 1*200GM"/>
        <s v="DEXOLAC 1 REFIL 1KG"/>
        <s v="NAN PRO 1RIFILL 1*400G"/>
        <s v="DEXOLAC 3 RIFILL 1*400GM"/>
        <s v="RYZODEG PENFILL 1*3ML"/>
        <s v="ZORYL M 2MG FORTE TAB 1*15TAB"/>
        <s v="VANTEJ TOOTHPASTE 1*100GM"/>
        <s v="COBALMAX FORTE CAP 1*10CAP"/>
        <s v="JAMUN NEEM KARELA RAS 1LTR 1*1000LTR"/>
        <s v="TELVAS-3D TAB 1*10TAB"/>
        <s v="AMLOSAFE-AT-TAB(1) 1*15TAB"/>
        <s v="SOMPRAZ L CAP 1*10TAB"/>
        <s v="RIFAGUT 550MG TAB 1*10TAB"/>
        <s v="REVITAL H TAB 1*30CAP"/>
        <s v="RANOZEX TAB 1*10TAB"/>
        <s v="PANTOCID-DSR CAP 1*15CAP"/>
        <s v="GEMER-2MG TAB 1*15TAB"/>
        <s v="BECOSULES CAP 1*20CAP"/>
        <s v="NAN EXCELLA PRO 3 1*400GM"/>
        <s v="LACTOGEN PRO 3RIFF 1*400G"/>
        <s v="EVION 400MG CAP 1*20CAP"/>
        <s v="MAMY POKO M22 22PT"/>
        <s v="GLUCONORM VG-2 FORTE TAB 1*15TAB"/>
        <s v="AKURIT-4MG TAB 1*10TAB"/>
        <s v="BENIZEP CAP 1*10TAB"/>
        <s v="LEVIGRESS-500MG TAB 1*10TAB"/>
        <s v="EIREF CAP 1*10CAP"/>
        <s v="REVELOL-AM 50/5MG TAB 1*15TAB"/>
        <s v="HCQS-200MG TAB 1*15TAB"/>
        <s v="OLCURE-TRIO 40MG TAB 1*15TAB"/>
        <s v="MYMI MAX CAP 1*10TAB"/>
        <s v="DYDROHOPE TAB 1*10TAB"/>
        <s v="TELVAS H-80/12.5MG TAB(1) 1*10TAB"/>
        <s v="PROSTAGARD D 8 TAB 1*10TAB"/>
        <s v="TRIVOSE 2/02 TAB 1*15"/>
        <s v="DAPANORM-TRIO TAB 1*10TAB"/>
        <s v="TAXIM-O-200MG TAB 1*10TAB"/>
        <s v="CEHAM P TAB(1) 1*10TAB"/>
        <s v="GLISEN MF FORTE 1 1*15TAB"/>
        <s v="GLIPY MET 500MG TAB 1*15TAB"/>
        <s v="CETANIL TRIO 12.5 TAB(1) 1*10TAB"/>
        <s v="SIMILAC 2 600RS 1*400GM"/>
        <s v="IMEGLYN 1000MG TAB 1*10TAB"/>
        <s v="NASOCLEAR DROP 20ML 1*20ML"/>
        <s v="ESLO TEL 5MG TAB 1*15TAB"/>
        <s v="AUTRIN CAP 1*30CAP"/>
        <s v="SPASMO-PROXYVON PLUS CAP 1*8CAP"/>
        <s v="TRIGLYNASE-2MG TAB 1*10TAB"/>
        <s v="JALRA 50 TAB 1*15"/>
        <s v="VORXAR TAB 1*10TAB"/>
        <s v="TRIOLSAR 40MG HS TAB 1*10TAB"/>
        <s v="TORVATE CHRONO 500MG 1*10TAB"/>
        <s v="SITAXA M 50/500MG TAB 1*15TAB"/>
        <s v="SHELCAL 500(BOTTLE) (40TAB)"/>
        <s v="OLSAR CH 40/12.5MG TAB 1*10TAB"/>
        <s v="LAMITOR OD 100MG TAB 1*10TAB"/>
        <s v="EUREPA V 0.5/0.2MG TAB 1*10TAB"/>
        <s v="DYDROPREG TAB 1*10TAB"/>
        <s v="LIV-52 TAB 1*100TAB"/>
        <s v="CYRA D CAP 1*10CAP"/>
        <s v="SOMPRAZ 40MG TAB 1*15TAB"/>
        <s v="ROPARK XL 2MG TAB 1*10TAB"/>
        <s v="REVITAL-H(WOMAN) 1*10TAB"/>
        <s v="REVITAL H CAP 1*10CAP"/>
        <s v="PROLOMET-XL 50MG TAB 1*10TAB"/>
        <s v="PRAZOPRESS XL 5MG TAB 1*30TAB"/>
        <s v="PANTOCID-L CAP 1*10CAP"/>
        <s v="PANTOCID-IT CAP 1*10CAP"/>
        <s v="OXETOL 300MG TAB(1) 1*10TAB"/>
        <s v="OPIPROL 50MG TAB(1) 1*10TAB"/>
        <s v="LUMIA 60K CAP 1*8CAP"/>
        <s v="LACTIHEP-SYRUP 1*200ML"/>
        <s v="ETOSHINE 60MG TAB 1*10TAB"/>
        <s v="DUZELA M 30MG CAP(1) 1*10CAP"/>
        <s v="DRONIS-30MG TAB 1*21TAB"/>
        <s v="BILASURE M 40 TAB 1*10"/>
        <s v="NOVELON TAB 1*21TAB"/>
        <s v="DAFLON 500MG TAB 1*10TAB"/>
        <s v="CARDACE 5MG TAB(1) 1*15TAB"/>
        <s v="CARDACE 2.5MG TAB(1) 1*15TAB"/>
        <s v="CARDACE 10MG TAB(1) 1*10TAB"/>
        <s v="ALLEGRA M TAB 1*10TAB"/>
        <s v="ALNITRO-2.6MG TAB 1*30TAB"/>
        <s v="ETIZGO S 10 1*10"/>
        <s v="MUCAINE GEL/ORANGE/ 200ML"/>
        <s v="GELUSIL MPS SYRUP 1*200ML"/>
        <s v="PERFECXA BP 1*1"/>
        <s v="GLIZID M TAB(1) 1*15TAB"/>
        <s v="WANISH CREAM 1*25GM"/>
        <s v="OSIL CAP 1*10CAP"/>
        <s v="KETOL Z SOAP 1*75GM"/>
        <s v="ALLGEL-O-SYP 1*210ML"/>
        <s v="LACTOGEN PRO 4 1*400G"/>
        <s v="JANUMET-50/500MG TAB(1) 1*15TAB"/>
        <s v="NEBILONG AM TAB 1*15TAB"/>
        <s v="AMLONG MT 25MG TAB 1*15TAB"/>
        <s v="CALCIMAX-500 TAB 1*30TAB"/>
        <s v="CALCIMAX TOTAL TAB 1*15TAB"/>
        <s v="POLYBION-LC SYRUP 1*100ML"/>
        <s v="CONCOR COR 2.5MG TAB 1*10TAB"/>
        <s v="GEPRIDE M 2MG TAB 1*10TAB"/>
        <s v="ABEVIA-N TAB 1*10TAB"/>
        <s v="TELMIKIND-H TAB(1) 1*10TAB"/>
        <s v="RANIDOM-O SYRUP 1*200ML"/>
        <s v="NUROKIND-LC TAB 1*15TAB"/>
        <s v="HEPAKIND 300MG TAB 1*10TAB"/>
        <s v="CANDIFORCE-200CAP 1*7CAP"/>
        <s v="BISOHEART-2.5-TAB 1*10TAB"/>
        <s v="DARD HARN-OIL 1*100ML"/>
        <s v="TRIOLMESAR 40MG TAB(1) 1*10TAB"/>
        <s v="THYROX-88MG TAB(1) 1*100TAB"/>
        <s v="TENLIMAC TAB 1*10TAB"/>
        <s v="SETFRAC PLUS TAB 1*15TAB"/>
        <s v="ROSUMAC 10MG 1*15"/>
        <s v="OLMESAR-H-40MG TAB(1) 1*15TAB"/>
        <s v="NEXOVAS O 40 TAB 1*10"/>
        <s v="NEXOVAS CH TAB 1*10TAB"/>
        <s v="LEVOMAC 500MG TAB 1*10TAB"/>
        <s v="GEMINOR-M-3-FORTE-TAB 1*15TAB"/>
        <s v="GEMINOR M 2MG TAB 1*15TAB"/>
        <s v="DAPAMAC 10MG TAB 1*10TAB"/>
        <s v="BUDETROL-G ROTACAP 1*30CAP"/>
        <s v="BUDETROL-400-ROTACAP 1*30CAP"/>
        <s v="BIO D3 XT TAB 1*15"/>
        <s v="AEROTROP F INHAL 1*180MD"/>
        <s v="VERIFICA-M 50/500MG TAB 1*15TAB"/>
        <s v="LINVAS 4MG TAB 1*10TAB"/>
        <s v="TELISTA CL TAB 1*10"/>
        <s v="TELISTA-AM TAB(1) 1*15TAB"/>
        <s v="SOFTOVAC POWDER 1*100GM"/>
        <s v="R-CINEX-E TAB 1*6TAB"/>
        <s v="GLUCONORM PG 2MG TAB 1*15TAB"/>
        <s v="FRUSELAC TAB 1*10TAB"/>
        <s v="KETOFORD OINT 1*15GM"/>
        <s v="CLOBETA GM OINT 1*20GM"/>
        <s v="SACULYSIN-50MG TAB 1*14TAB"/>
        <s v="SITAHENZ DM 1000MG TAB 1*10TAB"/>
        <s v="SPEED HEIGHT CAP 1*20CAP"/>
        <s v="RANTAC SYRUP 1*100ML"/>
        <s v="NICARDIA XL 30MG TAB(1) 1*15"/>
        <s v="DAPACOSE 10 TAB 1*10TAB"/>
        <s v="REVELOL-XL-50MG TAB 1*15TAB"/>
        <s v="LEFNO 10MG TAB(1) 1*10TAB"/>
        <s v="ZENOXA-600MG TAB(1) 1*10TAB"/>
        <s v="REJUNEX CD3 TAB 1*10TAB"/>
        <s v="QUIKHALE SF 250 CAP(1) 1*30CAP"/>
        <s v="POTRATE SF SYRUP 1*200ML"/>
        <s v="LULIBET CREAM 1*30GM"/>
        <s v="EMBETA XR 50MG TAB(1) 1*30TAB"/>
        <s v="DEPRAN-10MG TAB 1*15TAB"/>
        <s v="BACLOF LIQUID(1) 1*100ML"/>
        <s v="SENSODENT K/FAST RELIEF 1*125G"/>
        <s v="CHERI XT TAB 1*15TAB"/>
        <s v="QSITA M-50/1000MG TAB 1*10TAB"/>
        <s v="QSITA-DM 500MG TAB 1*15TAB"/>
        <s v="DAPAGOLD 10MG TAB 1*15TAB"/>
        <s v="DAPA GOLD V 10MG 1*10TAB"/>
        <s v="ZITA-DM 500MG TAB 1*15TAB"/>
        <s v="TELMA BETA-25MG TAB 1*10TAB"/>
        <s v="TELMA AMH 40MG 1*15TAB"/>
        <s v="SCALPE PLUS ANTI DANDRUFF 1*75ML"/>
        <s v="ORS RE-HYDRATION DRINK 1*200ML"/>
        <s v="CANDITRAL SB 130 CAP 1*10CAP"/>
        <s v="CANDID-POWDER 1*100GM"/>
        <s v="CANDID B LOTION 10ML"/>
        <s v="BON K2 TAB 1*10TAB"/>
        <s v="ASCORIL LS SYRUP 1*100ML"/>
        <s v="ALEX JUNIOR SYP 1*60ML"/>
        <s v="ELTROXIN-100MCG-TAB 1*120TAB"/>
        <s v="COBADEX CZS TAB 1*15TAB"/>
        <s v="AUGMENTIN 625MG TAB 1*10TAB"/>
        <s v="HORLICKS JUNIOR[225] 500GM"/>
        <s v="ENO LEMON FLAVOUR 1*5GM"/>
        <s v="CYPON SYRUP 1*200ML"/>
        <s v="SORBILINE SYRUP (L) 1*200ML"/>
        <s v="DEXORANGE SYRUP 1*200ML"/>
        <s v="GLIMISAVE MV 3.3 TAB 1*10TAB"/>
        <s v="CREVAST 20MG TAB 1*15TAB"/>
        <s v="OROFER XT TAB 1*10TAB"/>
        <s v="ATORFEN-10MG TAB(1) 1*10TAB"/>
        <s v="ASOMEX 5MG TAB 1*15TAB"/>
        <s v="EMSITA TRIO TAB 1*10"/>
        <s v="RESWAS SYP 100ML"/>
        <s v="TRIPHALA CHURNA  120GMS 1*120GMS"/>
        <s v="HONITUS TULSI SYP 100ML"/>
        <s v="VITNEURIN CZS TAB 1*15TAB"/>
        <s v="HB 29 X TAB 1*10TAB"/>
        <s v="CORTEL LNB 25MG TAB 1*10TAB"/>
        <s v="SEROFLO 250 ROTACAPS 1*30"/>
        <s v="MONTAIR-LC-KID-SYP 1*60ML"/>
        <s v="FORACORT 400 INHALER 1*120MD"/>
        <s v="DYTOR E 10MG TAB 1*10TAB"/>
        <s v="DYTOR 40MG TAB 1*10TAB"/>
        <s v="DYTOR-10MG TAB 1*15TAB"/>
        <s v="VASOGRAIN TABLET 1*20"/>
        <s v="BOURN VITA RIFILL 1KG 1*1KG"/>
        <s v="R PPI L TAB 1*15TAB"/>
        <s v="CELLUSOOTHE-GEL 1*10ML"/>
        <s v="TITANIC K2 CAP 1*6CAP"/>
        <s v="BRILINTA-90MG TAB 1*14TAB"/>
        <s v="TRIOPIL-1MG TAB(1) 1*10TAB"/>
        <s v="MONOCEF O CV 100 DRY SYRUP 1*30ML"/>
        <s v="AMLOSAFE 3D TAB(1) 1*7TAB"/>
        <s v="MONTINA-FX TAB 1*10TAB"/>
        <s v="MEGAZOLID 600TAB 1*10TAB"/>
        <s v="GABANEURON NT 300 TAB 1*15TAB"/>
        <s v="AMLOSAFE-5MG TAB(1) 1*15TAB"/>
        <s v="RABALKEM LS TAB 1*10TAB"/>
        <s v="UPRISE-D3 60K SYP 1*5ML"/>
        <s v="TSART H TAB(1) 1*10TAB"/>
        <s v="TOFE 5MG TAB 1*10TAB"/>
        <s v="SWICH CV 325MG TAB 1*10TAB"/>
        <s v="NEWCITA PLUS TAB 1*10TAB"/>
        <s v="NEUROKEM-MNT TAB 1*10TAB"/>
        <s v="GEMCAL CAP 1*15CAP"/>
        <s v="DAPANORM M 10MG TAB 1*10TAB"/>
        <s v="A TO Z NS SYRUP 1*200ML"/>
        <s v="DELTONE-60MG CAP 1*10CAP"/>
        <s v="CETANIL-M 50MG TAB 1*10TAB"/>
        <s v="CETANIL 10 TAB(1) 1*15TAB"/>
        <s v="VOAGE S TAB 1*15."/>
        <s v="VIGADEXA E/D 1*5ML"/>
        <s v="ADLIV SYRUP 1*200ML"/>
        <s v="CILAMET XL 10/50 MG TAB 1*10TAB"/>
        <s v="BRINZOX EYE DROPS 1*5ML"/>
        <s v="AMLYCURE-DS-SYRUP 1*200ML"/>
        <s v="SIMILAC-PLUS 3 POWDER 1*400GM"/>
        <s v="RANOGARD-500MG TAB 1*10TAB"/>
        <s v="NEO-MERCAZOLE 5MG 1*130"/>
        <s v="VERTIN-16-TAB 1*15TAB"/>
        <s v="THYRONORM-75MG TAB 1*120TAB"/>
        <s v="RZOLE DSR CAP 1*10CAP"/>
        <s v="ENSURE DIABETIC VAN 375GM REF 375GM"/>
        <s v="DIGENE GEL ORANGE 1*200ML"/>
        <s v="BETONIN SYP 210ML 1*210ML"/>
        <s v="SUGAR FREE GOLD TAB 100TAB"/>
        <s v="IMEGLYN 500MG TAB 1*10TAB"/>
        <s v="WOKRIDE CAP 1*15CAP"/>
        <s v="BRO-ZEDEX EXP SYP 1*100ML"/>
        <s v="ORASORE GEL 1*10GM"/>
        <s v="DROTIN INJ 1*2ML"/>
        <s v="LYNX INJ 1*2ML"/>
        <s v="GP-2MG TAB(1) 1*10TAB"/>
        <s v="GLYCOMET TRIO 1MG TAB(1) 1*10TAB"/>
        <s v="GLYCOMET-1GM TAB 1*15TAB"/>
        <s v="D RISE 60K CAP 1*4CAP"/>
        <s v="DEROBIN OINT 1*30GM"/>
        <s v="ANOVATE CREAM 1*20GM"/>
        <s v="VIZYLAC RICH CAP 1*10CAP"/>
        <s v="DOMADOL CAP 1*10CAP"/>
        <s v="MAMYPOKO WIPES 1*100WIPES"/>
        <s v="VIZYLAC GG DROPS 1*3.5ML"/>
        <s v="SHELCAL SYRUP 1*200ML"/>
        <s v="SHELCAL-250MG TAB 1*30TAB"/>
        <s v="PRUVICT 2MG TAB 1*10TAB"/>
        <s v="ENZAR FORTE TAB 1*15TAB"/>
        <s v="DEPLATT 75 TAB 1*15TAB"/>
        <s v="MEDISALIC SOAP 1*100GM"/>
        <s v="MEDISALIC OINT 1*20GM"/>
        <s v="HIMALAYA BABY CREAM 1*100ML"/>
        <s v="CYSTONE SYRUP 1*200ML"/>
        <s v="CONFIDO TAB 1*60TAB"/>
        <s v="BRAHMI TAB 1*60TAB"/>
        <s v="ISRYL M 1MG TAB 1*15TAB"/>
        <s v="LOTEFLOX-E/D 1*5ML"/>
        <s v="CAREBET-G-CREAM 1*15GM"/>
        <s v="STOMAFIT SYRUP 1*100ML"/>
        <s v="ZENOXA-SYP 1*100ML"/>
        <s v="XAFINACT 50MG TAB 1*10TAB"/>
        <s v="TEAR DROPS GEL 10ML"/>
        <s v="SOMPRAZ-IT CAP 1*10CAP"/>
        <s v="ROLES-D (20MG+30MG)CAP(1) 1*10CAP"/>
        <s v="PROLOMET XL 25MG TAB 1*15TAB"/>
        <s v="OLEANZ 10MG TAB 1*10TAB"/>
        <s v="MOXCLAV DS 457MG SUS 1*30ML"/>
        <s v="MIRTAZ 7.5MG TAB 1*10TAB"/>
        <s v="LETROZ 2.5MG TAB 1*5TAB"/>
        <s v="ETOSHINE 90MG TAB 1*15TAB"/>
        <s v="CHERICOF-JUNIOR-SYP 1*60ML"/>
        <s v="BREVIPIL 50MG TAB 1*10TAB"/>
        <s v="BETACAP-TR-40MG CAP(1) 1*10CAP"/>
        <s v="AQUAZIDE-25MG TAB(1) 1*10TAB"/>
        <s v="ALLEGRA-120MG TAB 1*10TAB"/>
        <s v="OLISTU OIL 1*100ML"/>
        <s v="RALOP SYRUP 1*30ML"/>
        <s v="NAPROSYN 250 TAB 1*15TAB"/>
        <s v="LOMOFEN + TAB 1*20TAB"/>
        <s v="RICONIA LP TAB 1*30TAB"/>
        <s v="VEET CREM 25GM 25GM"/>
        <s v="DETTOL HAND WASH 1*900ML"/>
        <s v="RAMODAP-M TAB 1*10TAB"/>
        <s v="MINIPRESS XL 2.5MG TAB(1) 1*30TAB"/>
        <s v="MEDROL-8MG TAB(1) 1*14TAB"/>
        <s v="HETRAZAN 100MG TAB 1*30"/>
        <s v="DOLONEX DT 20MG TAB 1*15TAB"/>
        <s v="MOOV OINT 1*10GM"/>
        <s v="OZOTEL H TAB 1*30TAB"/>
        <s v="OZOMET-PG 1MG TAB 1*15TAB"/>
        <s v="LUBRINAC EYE DROP 1*10ML"/>
        <s v="VILDOMISH-M 50/1000MG TAB 1*15TAB"/>
        <s v="ENDOPLAT AV 20/75MG CAP 1*10CAP"/>
        <s v="NIVEA SOFT MOISTURISER  CREAM 1*100ML"/>
        <s v="ORTHOGAT OIL 200ML"/>
        <s v="UNICONTIN-E-600MG TAB(1) 1*10TAB"/>
        <s v="V WASH 20ML 1*20ML"/>
        <s v="AD VITAMIN BABY OIL 1*100ML"/>
        <s v="TURBOVAS 10MG TAB 1*10TAB"/>
        <s v="NULONG 5MG TAB(1) 1*10TAB"/>
        <s v="MICRODOX LBX CAP 1*10CAP"/>
        <s v="DOTHIP 75MG TAB 1*10TAB"/>
        <s v="PETRIL BETA 20MG 1*15TAB"/>
        <s v="DIAPRIDE-M 0.5MG TAB 1*15TAB"/>
        <s v="COLICAID DROPS 1*15ML"/>
        <s v="XYMEX DROP 1*15ML"/>
        <s v="O2-SYP 1*60ML"/>
        <s v="NORTIPAN M TAB(1) 1*10TAB"/>
        <s v="GEPRIDE M 2MG FORTE TAB 1*10TAB"/>
        <s v="ACENAC-P-TAB 1*15TAB"/>
        <s v="MORISON STEEL FEEDIG 200ML"/>
        <s v="MAMY POKO XXL 14 14PTT"/>
        <s v="ZINCUP SYRUP 1*100ML"/>
        <s v="DILONA GEL 1*30GM"/>
        <s v="VOGLISTAR MD 0.3TAB 1*15TAB"/>
        <s v="TERBINAFORCE PLUS CREAM 1*15GM"/>
        <s v="TERBINAFORCE 500MG TAB 1*7TAB"/>
        <s v="TELMIKIND BETA 50MG TAB(1) 1*10TAB"/>
        <s v="NUROKIND PLUS CAP(1) 1*10CAP"/>
        <s v="NUFORCE 200MG TAB 1*1TAB"/>
        <s v="MAHAFLOX EYE DROP 1*5ML"/>
        <s v="LUBISTAR 1% E/D 1*10ML"/>
        <s v="JUSTOZA S/10/100 1*15"/>
        <s v="JUSLINA-5MG TAB 1*10TAB"/>
        <s v="GLIMESTAR 2MG TAB(1) 1*10TAB"/>
        <s v="D3 MUST 60K TAB 1*8TAB"/>
        <s v="BISOHEART 5MG TAB 1*10TAB"/>
        <s v="ASTHAKIND-DX SYRUP 1*100ML"/>
        <s v="ACNESTAR-2.5% SOAP 1*75GM"/>
        <s v="VILDAMAC 50MG TAB 1*15TAB"/>
        <s v="SETFRAC CAP 1*10CAP"/>
        <s v="OMNACORTIL FORTE SUSP 1*60ML"/>
        <s v="OMNACORTIL 20MG TAB(1) 1*10TAB"/>
        <s v="MACZORB TAB 1*10TAB"/>
        <s v="MACPROT KESAR POWDER 1*200GM"/>
        <s v="MACGESIA PAIN RELIEF ROLL ON 1*50ML"/>
        <s v="MACBERY DC SYP 60ML"/>
        <s v="ETIZOLA 0.5MG TAB 1*10TAB"/>
        <s v="ERDOMAC 300MG CAP 1*6CAP"/>
        <s v="ENZOMAC TAB 1*10TAB"/>
        <s v="ENZOMAC OINT 1*5GM"/>
        <s v="EMPAHOPE S 25 TAB 1*10"/>
        <s v="ANTI-THYROX-5MG TAB 1*100TAB"/>
        <s v="ONDERO TAB(1) 1*10TAB"/>
        <s v="GLUCONORM SR 1GM TAB 1*15TAB"/>
        <s v="GLUCONORM P 15MG TAB 1*10TAB"/>
        <s v="GLUCONORM-G 4MG FORTE TAB 1*15TAB"/>
        <s v="GLADOR M 2MG TAB 1*15TAB"/>
        <s v="BUDAMATE 200 TRANSCAP 1*30CAP"/>
        <s v="AZEFLO NASAL SPRAY 1*70MD"/>
        <s v="APTIVATE SYRUP 1*175ML"/>
        <s v="RIBOCIN-LB TAB 1*10TAB"/>
        <s v="CLOP S CREAM 1*20GM"/>
        <s v="DROTIKIND 80 TAB 1*10TAB"/>
        <s v="CHERRYTONE SYRUP 1*200ML"/>
        <s v="METROGYL DG GEL FORTE 1*20GM"/>
        <s v="LULIFORD CREAM 1*10GM"/>
        <s v="KT5DERM CREAM 1*15GM"/>
        <s v="FESTIVE DEE EYE/EAR DROPS 1*10ML"/>
        <s v="NIOCLEAN GEL 1*20GM"/>
        <s v="DECOMIC PLUS EYE DROP 1*10ML"/>
        <s v="CERUKLIN EAR DROP 1*10ML"/>
        <s v="DART-TAB 1*15TAB"/>
        <s v="JOHNSON'S BABY SOAP 1*25GM"/>
        <s v="RINGCUTER OINTMENT 1*14GM"/>
        <s v="INDOCAP SR CAP 1*10CAP"/>
        <s v="JBTOR 10MG TAB 1*10TAB"/>
        <s v="ZERODOL TAB 1*10TAB"/>
        <s v="TASULIN-D CAP 1*15CAP"/>
        <s v="REVELOL-AM 25/2.5MG TAB(1) 1*10TAB"/>
        <s v="PERINORM TAB 1*10TAB"/>
        <s v="MOXISURGE D EYE DROP 1*5ML"/>
        <s v="FOLITRAX 2.5MG TAB(1) 1*10TAB"/>
        <s v="ZORYL-1MG TAB(1) 1*15TAB"/>
        <s v="ZENOXA-300MG TAB(1) 1*10TAB"/>
        <s v="TRETIVA-10MG CAP 1*10CAP"/>
        <s v="TAH 40MG TAB 1*15TAB"/>
        <s v="SPINFREE TAB 1*15TAB"/>
        <s v="SITARA DM 1000MG TAB 1*10TAB"/>
        <s v="QUIKHALE T R/C 1*30CAP"/>
        <s v="PROVANOL-SR-40MG TAB(1) 1*10TAB"/>
        <s v="NAPRA D 500MG TAB 1*10TAB"/>
        <s v="LOPEZ MD 1MG TAB 1*10TAB"/>
        <s v="LEVERA-750MG TAB(1) 1*10TAB"/>
        <s v="HIFENAC SP TAB 1*10TAB"/>
        <s v="GABAPIN NT 200MG TAB 1*15TAB"/>
        <s v="ETILAAM-PRO-20MG TAB(1) 1*10TAB"/>
        <s v="ESPIN-2.5-TAB 1*10TAB"/>
        <s v="CARCA-3.125MG TAB 1*15TAB"/>
        <s v="HITAP ER 50MG TAB 1*15TAB"/>
        <s v="DAPAVEL GM 10/2/500 TAB 1*10"/>
        <s v="KIDODENT DENTAL GEL 1*75GM"/>
        <s v="ZECAL-FEM-TAB 1*10TAB"/>
        <s v="NORVENT LS SYRUP 1*100ML"/>
        <s v="DV 400 SYRUP 1*30ML"/>
        <s v="NAVRATNA COOL TALC POWDER 1*100GM"/>
        <s v="HIMALAYA BABY POWDER 1*400GM"/>
        <s v="HIMALAYA BABY DERMA CREAM 50ML"/>
        <s v="COMPLAN (MEMORY CHARGERS)RIFI 1*400GM"/>
        <s v="TELCURE BETA 25 TAB 1*15TAB"/>
        <s v="KAYAM TAB 1*30TAB"/>
        <s v="HEMPUSHPA SYP 1*454ML"/>
        <s v="PROPYSALIC-NF OINT 1*30GM"/>
        <s v="HHLEVO M TAB 1*10TAB"/>
        <s v="KZ PLUS SHOP 75GM"/>
        <s v="GRANDPRIDE-MV 1MG TAB 1*10TAB"/>
        <s v="DURAZYME SYRUP 1*200ML"/>
        <s v="BRAVIA 20TAB 1*10TAB"/>
        <s v="BACTRIM-DS-TAB 1*10TAB"/>
        <s v="TELMA 20MG TAB 1*30TAB"/>
        <s v="LIZOLID 600MG CAP 1*10CAP"/>
        <s v="FLUCORT N SKIN CREAM 1*20GM"/>
        <s v="CANDITRAL 200MG TAB 1*10TAB"/>
        <s v="CANDID TOTAL PLUS CREAM 1*20GM"/>
        <s v="ZENTEL TAB 1*1TAB"/>
        <s v="ZENTEL SUSP 1*10ML"/>
        <s v="T-BACT OINT 1*5GM"/>
        <s v="SEPTRAN PEAD SUSP 1*50ML"/>
        <s v="SENSODYNE RAPID RELIEF 1*40GM"/>
        <s v="NEOSPORIN H OINT 1*5GM"/>
        <s v="EUMOSONE M CREAM 1*15GM"/>
        <s v="CALPOL PD DROPS 1*15ML"/>
        <s v="CALPOL 650MG TAB 1*15TAB"/>
        <s v="CROCIN-240-SYP 1*100ML"/>
        <s v="FORMONIDE 400MG INHALAR(1) 1*120MD"/>
        <s v="DERIPHYLLIN TAB 1*30TAB"/>
        <s v="B-COLEN NS SYRUP 1*200ML"/>
        <s v="SURFAZ-SN CREAM 1*10GM"/>
        <s v="ZOCON-400MG TAB 1*1TAB"/>
        <s v="VITCOFOL INJ 1*10ML"/>
        <s v="COTARYL CREAM 1*50GM"/>
        <s v="NUBION MAX CAP 1*10TAB"/>
        <s v="REMYLIN D TAB 1*10TAB"/>
        <s v="LN BETA 2.5MG TAB(1) 1*10TAB"/>
        <s v="CARDEXA-25MG TAB 1*10TAB"/>
        <s v="KIMET XL 25MG TAB 1*10TAB"/>
        <s v="ASOMEX D TAB 1*15TAB"/>
        <s v="FINGER COT 1*3PCS"/>
        <s v="Z &amp; D-DS-10MG SUSP 1*15ML"/>
        <s v="TRYPTOMER 25MG TAB 1*30TAB"/>
        <s v="TRYPTOMER-10MG TAB 1*30TAB"/>
        <s v="REDOTIL-CAP 1*15CAP"/>
        <s v="CHEERIO TOOTH PAST 1*75GM"/>
        <s v="BECOZINC CAP 1*30CAP"/>
        <s v="ATOCOR 20MG TAB 1*14TAB"/>
        <s v="GLUCOSE C 1*500GM"/>
        <s v="TULSI DROPS 1*30ML"/>
        <s v="REAL FRUIT PINE APPLE 1*1LIT"/>
        <s v="PUDIN HARA DROPS 1*35ML"/>
        <s v="CORTEL 3D TAB 1*10TAB"/>
        <s v="WARF 5MG TAB 1*30TAB"/>
        <s v="WARF 1MG TAB 1*30TAB"/>
        <s v="VITOMIN-D3 DROPS 1*1GM"/>
        <s v="MOXICIP KT EYE DROP 1*5ML"/>
        <s v="MOXICIP D E/D 1*5ML"/>
        <s v="METOLAR XR 25MG CAP(1) 1*15CAP"/>
        <s v="KETOCIP SOAP 75GM"/>
        <s v="FURAMIST AZ NASAL SPRAY 1*70MD"/>
        <s v="FORACORT FORTE ROTACAPS(1) 1*30CAP"/>
        <s v="DYTOR PLUS 5MG TAB(1) 1*15TAB"/>
        <s v="CIPLAR LA 20MG TAB(1) 1*15TAB"/>
        <s v="CIPLAR 40MG TAB(1) 1*15TAB"/>
        <s v="CIPLAR 10MG TAB(1) 1*15TAB"/>
        <s v="ATORLIP 10MG TAB(1) 1*15TAB"/>
        <s v="ASTHALIN INHALER 1*200MD"/>
        <s v="AMLOPRES AT 25 TAB(1) 1*15TAB"/>
        <s v="AMLOPRES-10MG TAB(1) 1*10TAB"/>
        <s v="AEROCORT ROTACAPS 60CAPS"/>
        <s v="COSVATE CREAM 1*30GM"/>
        <s v="OCUREST AH EYE DROP 1*10ML"/>
        <s v="TORGET-PLUS-10MG TAB 1*10TAB"/>
        <s v="RAMITORVA CAP(1) 1*10CAP"/>
        <s v="PIVASTA-2MG TAB(1) 1*10TAB"/>
        <s v="OCID-20-TAB 1*20CAP"/>
        <s v="CLOPITORVA 10MG CAP(1) 1*10CAP"/>
        <s v="ATEN-D-TAB(1) 1*10TAB"/>
        <s v="ATEN-50MG TAB(1) 1*14TAB"/>
        <s v="AMLODAC 5MG TAB(1) 1*30TAB"/>
        <s v="ACILOC ONLY LIQUID 1*100ML"/>
        <s v="TRAXOL-500MG INJ 1*1VIAL"/>
        <s v="NE-C TAB 1*10TAB"/>
        <s v="CAVIT 500  TAB 1*15TAB"/>
        <s v="COSCOPIN (PD) SYP 60ML"/>
        <s v="SELOKEN XL 50MG TAB(1) 1*30TAB"/>
        <s v="VILDAGARD M 50/500MG TAB 1*15TAB"/>
        <s v="TELVAS-CT LS TAB 1*10TAB"/>
        <s v="MONOCEF O 100MG DT TAB 1*10TAB"/>
        <s v="HATRIC-2-SYP 1*60ML"/>
        <s v="GABANEURON 100MG TAB 1*15TAB"/>
        <s v="DAROLAC SACHET 1*1GM"/>
        <s v="BIGOMET-SR-1000MG TAB(1) 1*10TAB"/>
        <s v="ATCHOL-CV-TAB 1*10TAB"/>
        <s v="ARISTOZYME DROP 1*15ML"/>
        <s v="AMBRODIL PLUS RF SYP 100ML 1*100ML"/>
        <s v="PROSTAGARD D 4 CAP 1*10CAP"/>
        <s v="AMLOSAFE MT 25MG TAB 1*10TAB"/>
        <s v="AMBRODIL LS SYP 1*100ML"/>
        <s v="P-100 DROPS 1*15ML"/>
        <s v="LASMA-LC TAB(1) 1*10TAB"/>
        <s v="PRED FORTE EYE DROP 1*10ML"/>
        <s v="KOJIGLO GOLD CREAM 1*20GM"/>
        <s v="INDIKOF LS SYRUP 1*60ML"/>
        <s v="HEMFER SYRUP 1*225ML"/>
        <s v="PENTANERV NT 100MG TAB 1*10TAB"/>
        <s v="ONDEM SYRUP(1) 1*30ML"/>
        <s v="NEUROKEM D 75/20MG TAB 1*10TAB"/>
        <s v="METRON I.V 1*100ML"/>
        <s v="EMTY-PEG-SYP 1*200ML"/>
        <s v="DAPANORM M 5MG TAB 1*10TAB"/>
        <s v="CRIZ M SYRUP 1*60ML"/>
        <s v="CLAVAM DROPS 1*10ML"/>
        <s v="CLAVAM BID SYRUP 1*30ML"/>
        <s v="A TO Z WOMAN CAP 1*15CAP"/>
        <s v="A TO Z NS SYRUP 1*100ML"/>
        <s v="MIRAKEM 50 TAB 1*10"/>
        <s v="GLIPY-DM TAB 1*15TAB"/>
        <s v="WIKORYL TAB 1*10TAB"/>
        <s v="CRINA-NCR 10MG TAB 1*10TAB"/>
        <s v="BILAMBIC M 10 TAB 1*10"/>
        <s v="ALBRIM T EYE DROPS 1*5ML"/>
        <s v="TOVAXO EYE DROP 1*2.5ML"/>
        <s v="SITAMAX GM FORTE 2 TAB 1*10"/>
        <s v="NEPAFLAM EYE DROP 1*5ML"/>
        <s v="MET XL TRIO 50MG TAB 1*10TAB"/>
        <s v="MET XL 50MG TAB 1*20TAB"/>
        <s v="APDROPS LP EYE DROPS 1*5ML"/>
        <s v="APDROPS KT EYE DROP 1*5ML"/>
        <s v="APDROPS EYE DROP 1*3ML"/>
        <s v="AGLOZYME-C-SYRUP 1*200ML"/>
        <s v="INDERAL LA 40MG TAB 1*15TAB"/>
        <s v="ZOLFRESH 10MG TAB 1*15TAB"/>
        <s v="VERTIN-24-TAB 1*15TAB"/>
        <s v="THYRONORM-112MG TAB 1*120TAB"/>
        <s v="OBIMET GX 1MG TAB 1*15TAB"/>
        <s v="LANOXIN-0.25MG TAB(1) 1*10TAB"/>
        <s v="KENACORT 4MG TAB 1*15TAB"/>
        <s v="INDERAL 10MG TAB 1*15TAB"/>
        <s v="ANAFORTAN TAB 1*15TAB"/>
        <s v="ABVIDA-D 100/10MG TAB 1*10TAB"/>
        <s v="RAPITUS JUNIOR 100SYP"/>
        <s v="ACOTIBIEN 300 ER 1*10"/>
      </sharedItems>
    </cacheField>
    <cacheField name="Stock" numFmtId="0">
      <sharedItems containsString="0" containsBlank="1" containsNumber="1" containsInteger="1" minValue="-225" maxValue="720"/>
    </cacheField>
    <cacheField name="Stock Days" numFmtId="0">
      <sharedItems containsString="0" containsBlank="1" containsNumber="1" containsInteger="1" minValue="0" maxValue="30"/>
    </cacheField>
    <cacheField name="Sale Value" numFmtId="0">
      <sharedItems containsString="0" containsBlank="1" containsNumber="1" minValue="0" maxValue="0.1"/>
    </cacheField>
    <cacheField name="%age" numFmtId="0">
      <sharedItems containsString="0" containsBlank="1" containsNumber="1" minValue="0" maxValue="0.72"/>
    </cacheField>
    <cacheField name="Sale" numFmtId="0">
      <sharedItems containsString="0" containsBlank="1" containsNumber="1" containsInteger="1" minValue="1" maxValue="1920"/>
    </cacheField>
    <cacheField name="PO" numFmtId="0">
      <sharedItems containsString="0" containsBlank="1" containsNumber="1" containsInteger="1" minValue="0" maxValue="0"/>
    </cacheField>
    <cacheField name="No of Tran" numFmtId="0">
      <sharedItems containsString="0" containsBlank="1" containsNumber="1" containsInteger="1" minValue="1" maxValue="72"/>
    </cacheField>
    <cacheField name="Days Tran" numFmtId="0">
      <sharedItems containsString="0" containsBlank="1" containsNumber="1" containsInteger="1" minValue="1" maxValue="25"/>
    </cacheField>
    <cacheField name="Order" numFmtId="0">
      <sharedItems containsString="0" containsBlank="1"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ya chaudhary" refreshedDate="46128.040261689814" createdVersion="8" refreshedVersion="8" minRefreshableVersion="3" recordCount="1269" xr:uid="{9A38CCA1-DBF0-43E1-A1EB-0060D460E43C}">
  <cacheSource type="worksheet">
    <worksheetSource ref="A1:I1270" sheet="Sales_Data"/>
  </cacheSource>
  <cacheFields count="10">
    <cacheField name="Item Name" numFmtId="0">
      <sharedItems containsBlank="1" count="1266">
        <s v="SIMILAC 2 600RS 1*400GM"/>
        <s v="DEXOLAC 1 REFIL 1KG"/>
        <s v="SIMILAC-PLUS 3 POWDER 1*400GM"/>
        <s v="SIMILAC 4 600RS 1*400GM"/>
        <s v="PRE NAN POWDER 1*400GM"/>
        <s v="I-CAN PREGNANCY TEST KIT 1*1KIT"/>
        <s v="LACTOGEN PRO 4 1*400G"/>
        <s v="SIMILAC-1 RIFIL 600RS 1*400GM"/>
        <s v="LACTOGEN-PRO 1 REFILL 1*400GM"/>
        <s v="NAN GROW 2-6 POWDER 1*400GM"/>
        <s v="NAN EXCELLA PRO 3 1*400GM"/>
        <s v="LACTOGEN PRO 1KG 1KG"/>
        <s v="LACTOGEN PRO 1 RIF 1*400G"/>
        <s v="NAN PRO 3RIFILL 1*400G"/>
        <s v="LACTOGEN PRO 1 TIN 1*400G"/>
        <s v="DEXOLAC HI-KAL(TIN) 1*400GM"/>
        <s v="LACTOGEN PRO 1 TIN 1*200G"/>
        <s v="SIMILAC NEOSURE 1*400GM"/>
        <s v="LACTOGEN PRO 2 1KG"/>
        <s v="DEXOLAC 1 TIN [470] 1*400GM"/>
        <s v="LACTOGEN PRO 3RIFF 1*400G"/>
        <s v="NAN PRO 1 TIN 1*200G"/>
        <s v="NAN PRO 1RIFILL 1*400G"/>
        <s v="SIMILAC-PLUS 2 POWDER 1*200GM"/>
        <s v="SIMILAC 1 1KG"/>
        <s v="DEXOLAC 3 RIFILL 1*400GM"/>
        <s v="LACTOGEN PRO 2 RIFF 1*400G"/>
        <s v="SIMILAC-PLUS 2 POWDER(TIN) 1*400GM"/>
        <s v="DEKSEL NANO DROPS 1*15ML"/>
        <s v="DEXOLAC 4 RIFILL 1*400GM"/>
        <s v="CLAVAM BID SYRUP 1*30ML"/>
        <s v="LIV 52 SYRUP 1*200ML"/>
        <s v="BENADRYL SYRUP 1*150ML"/>
        <s v="ALEX SYRUP 1*100ML"/>
        <s v="RAPITUS PLUS SYRUP 1*100ML"/>
        <s v="SWICH-100 SYRUP 1*30ML"/>
        <s v="AGLOZYME-C-SYRUP 1*200ML"/>
        <s v="NORFAGYL PLUS SYRUP 1*60ML"/>
        <s v="DEXORANGE SYRUP 1*200ML"/>
        <s v="TIXYLIX SYRUP 1*60ML"/>
        <s v="MAPRATONE SYRUP 1*200ML"/>
        <s v="DV 400 SYRUP 1*30ML"/>
        <s v="DIALEX-DC SYRUP 1*60ML"/>
        <s v="DEFCORT SYRUP 1*30ML"/>
        <s v="INDIKOF LS SYRUP 1*60ML"/>
        <s v="STOMAFIT SYRUP 1*100ML"/>
        <s v="DURAZYME SYRUP 1*200ML"/>
        <s v="MEGA-CV DRY SYRUP 1*30ML"/>
        <s v="A TO Z NS SYRUP 1*100ML"/>
        <s v="CREMAFFIN PLUS SYRUP 1*225ML"/>
        <s v="CYSTONE SYRUP 1*200ML"/>
        <s v="AMLYCURE-DS-SYRUP 1*200ML"/>
        <s v="MACBERY-XT SYRUP 1*100ML"/>
        <s v="RALOP SYRUP 1*30ML"/>
        <s v="PIRITON-CS SYRUP 1*100ML"/>
        <s v="A TO Z NS SYRUP 1*200ML"/>
        <s v="CHERRYTONE SYRUP 1*200ML"/>
        <s v="ONDEM SYRUP(1) 1*30ML"/>
        <s v="COFSTOP A SYRUP 1*100ML"/>
        <s v="ADVENT 228.5MG DRY SYRUP 1*60ML"/>
        <s v="LACTIHEP-SYRUP 1*200ML"/>
        <s v="ASTHAKIND-DX SYRUP 1*100ML"/>
        <s v="GELUSIL MPS SYRUP 1*200ML"/>
        <s v="SAFI SYRUP 1*100ML"/>
        <s v="ASCORIL LS SYRUP 1*100ML"/>
        <s v="ADLIV SYRUP 1*200ML"/>
        <s v="APTIVATE SYRUP 1*175ML"/>
        <s v="B-COLEN NS SYRUP 1*200ML"/>
        <s v="MONTINA-L SYRUP(1) 1*30ML"/>
        <s v="RANTAC SYRUP 1*100ML"/>
        <s v="ASTYMIN SYRUP 1*200ML"/>
        <s v="ASTHAKIND LS JR SYRUP 1*60ML"/>
        <s v="SHELCAL SYRUP 1*200ML"/>
        <s v="NEERI SYRUP 1*200ML"/>
        <s v="AGLOZYME SYRUP 1*200ML"/>
        <s v="OROFER XT PLUS SYRUP 1*200ML"/>
        <s v="SHILAJIT GOLD CAP 1*10CAP"/>
        <s v="MAMYPOKO PANT EX AB [XXL-14] 1*XXL-14"/>
        <s v="SOFY XXL 6PS"/>
        <s v="ARM SLING (DYNA)MEDIUM 1*1PCS"/>
        <s v="CELLUSOOTHE-GEL 1*10ML"/>
        <s v="CERELAC WHEAT APPLE RIFF 350G"/>
        <s v="ENDURA MASS VANILA 1*500GM"/>
        <s v="REAL FRUIT PINE APPLE 1*1LIT"/>
        <s v="APDROPS EYE DROP 1*3ML"/>
        <s v="ZYTEE LOTION 1*10ML"/>
        <s v="JOHNSON'S BABY POWDER 1*200GM"/>
        <s v="HONEY 250GM 1*250GM"/>
        <s v="OSIL CREAM 1*30GM"/>
        <s v="CANDITRAL SB 130 CAP 1*10CAP"/>
        <s v="SORBILINE SYRUP (L) 1*200ML"/>
        <s v="ZINCUP SYRUP 1*100ML"/>
        <s v="ACOTIBIEN 300 ER 1*10"/>
        <s v="MAHAFLOX EYE DROP 1*5ML"/>
        <s v="VITOMIN-D3 DROPS 1*1GM"/>
        <s v="FORACORT FORTE ROTACAPS(1) 1*30CAP"/>
        <s v="HAND SANITIZER 100ML 100ML"/>
        <s v="BECOSULES CAP 1*20CAP"/>
        <s v="VOLINI SPRAY 1*100GM"/>
        <s v="GRIPE WATER 200ML 1*200ML"/>
        <s v="ASCORIL LS DROPS 1*15ML"/>
        <s v="PROTINEX ORIGINAL(JAR) 1*400GM"/>
        <s v="CLOP G CREAM 30GM 1*30GM"/>
        <s v="ASTHAKIND SYP 1*100ML"/>
        <s v="VOLINI SPRAY 1*15GM"/>
        <s v="CHEERIO GEL 1*75GM"/>
        <s v="BUDAMATE 200 TRANSCAP 1*30CAP"/>
        <s v="MOXICIP KT EYE DROP 1*5ML"/>
        <s v="DOXY-1 L-DR FORTE CAP 1*10CAP"/>
        <s v="COTTON 100GM"/>
        <s v="RINGCUTER OINTMENT 1*14GM"/>
        <s v="COMPLAN (MEMORY CHARGERS)RIFI 1*400GM"/>
        <s v="AD-VITAMIN BABY OIL 200ML"/>
        <s v="ENSURE DIABETES CARE CHOC 1*200GM"/>
        <s v="DOLOPAR M SUSPENSION 1*60ML"/>
        <s v="VITCOFOL INJ 1*10ML"/>
        <s v="AEROCORT ROTACAPS 60CAPS"/>
        <s v="COSVATE CREAM 1*30GM"/>
        <s v="GLUCOSE C 200"/>
        <s v="A-TO-Z-GOLD CAP 1*15CAP"/>
        <s v="COMBIHALE G CAP 1*10"/>
        <s v="AD VITAMIN BABY OIL 1*500ML"/>
        <s v="RANIDOM-O SYRUP 1*200ML"/>
        <s v="CRIZ M SYRUP 1*60ML"/>
        <s v="DABUR HONITUS SYP 200ML"/>
        <s v="VOLINI SPRAY 1*60GM"/>
        <s v="MANFORCE CONDOM COCKTAIL STRAW 1*3PCS"/>
        <s v="SENSODYNE GEL 40GM"/>
        <s v="EVITOL CAP 1*15CAP"/>
        <s v="SENSODENT K/FAST RELIEF 1*125G"/>
        <s v="NEO-MERCAZOLE 5MG 1*130"/>
        <s v="LULIBET LOTION 1*10ML"/>
        <s v="MOOV OINT 1*20GM"/>
        <s v="ROZALET 10 CAP 1*10CAP"/>
        <s v="MAMY POKO M22 22PT"/>
        <s v="BETONIN SYP 210ML 1*210ML"/>
        <s v="ALLEGRA NASAL SPRAY 1*120M"/>
        <s v="JOHNSON'S BABY SHAMPOO 1*100ML"/>
        <s v="BORO PLUS CREAM 1*40ML"/>
        <s v="FACEMOIST CREAM 1*60GM"/>
        <s v="SUMO-L DS SYP 1*60ML"/>
        <s v="AZITHRAL XL 200MG SYRUP 1*30ML"/>
        <s v="MACBRITE D3 1*8 CAPS 1*8"/>
        <s v="AEROTROP F INHAL 1*180MD"/>
        <s v="SEROFLO 250 ROTACAPS 1*30"/>
        <s v="SEROFLO-250MG INHALLER 1*120MD"/>
        <s v="HIMALAYA BABY WIPES 1*24WIPES"/>
        <s v="MOOV SPRAY 1*15GM"/>
        <s v="TACROZ FORTE OINT 1*10GM"/>
        <s v="MONOCEF-O DROPS 1*10ML"/>
        <s v="EPILEX SYRUP(1) 1*200ML"/>
        <s v="MAMYPOKO PANTS (S60) 1*60PCS"/>
        <s v="HORLICKS POUCH 1*500GM"/>
        <s v="CYRA D CAP 1*10CAP"/>
        <s v="FORACORT 400 INHALER 1*120MD"/>
        <s v="MAMYPOKO PANTS (S10) 1*10PCS"/>
        <s v="DROTIN INJ 1*2ML"/>
        <s v="MAHAFLOX LP E/D 1*1PH"/>
        <s v="LULIFIN CREAM 1*10GM"/>
        <s v="CLOBETA GM OINT 1*20GM"/>
        <s v="SEPTRAN PEAD SUSP 1*50ML"/>
        <s v="ALBRIM T EYE DROPS 1*5ML"/>
        <s v="CLAVAM DROPS 1*10ML"/>
        <s v="WALKER ALUMINIUM 1*1PCC"/>
        <s v="FREE ME PAD 6PAD"/>
        <s v="JOHNSON'S BABY SHAMPOO 1*50ML"/>
        <s v="HHSALIC*6 OINT 1*10G"/>
        <s v="OTRIVIN FAST RELIEF 1*10ML"/>
        <s v="IODEX ULTRAGEL 1*30GM"/>
        <s v="BACLOF LIQUID(1) 1*100ML"/>
        <s v="NUBION MAX CAP 1*10TAB"/>
        <s v="MADHUKASHARI 1*200ML"/>
        <s v="SENSODYNE TUBE 20GM 20GM"/>
        <s v="SKINSHINE SOAP 1*75GM"/>
        <s v="BIOCOF MINT SYP 1*100ML"/>
        <s v="ROLES-D (20MG+30MG)CAP(1) 1*10CAP"/>
        <s v="MACPROT KESAR POWDER 1*200GM"/>
        <s v="HEMPUSHPA SYP 1*454ML"/>
        <s v="CHEERIO TOOTH PAST 1*75GM"/>
        <s v="COLIMEX SUSP 1*30ML"/>
        <s v="ALPHAGAN Z DROP 1*5ML"/>
        <s v="ENDOPLAT AV 20/75MG CAP 1*10CAP"/>
        <s v="SHRI TULSI DROPS 1*20ML"/>
        <s v="ASTHAKIND LS DROPS 15ML"/>
        <s v="COLICAID DROPS 1*15ML"/>
        <s v="KOJIGLO GOLD CREAM 1*20GM"/>
        <s v="PANTOCID-IT CAP 1*10CAP"/>
        <s v="HORLICKS JUNIOR[225] 500GM"/>
        <s v="CAREBET-G-CREAM 1*15GM"/>
        <s v="LULIFORD CREAM 1*10GM"/>
        <s v="CLOPITORVA 10MG CAP(1) 1*10CAP"/>
        <s v="RABIROS-D CAP 1*10CAP"/>
        <s v="MAMYPOKO PANTS ST XL6 6"/>
        <s v="DETTOL 1 LTR 1LTR"/>
        <s v="CERUKLIN EAR DROP 1*10ML"/>
        <s v="PUDIN HARA DROPS 1*35ML"/>
        <s v="A TO Z WOMAN CAP 1*15CAP"/>
        <s v="GRD POWDER 1*200GM"/>
        <s v="SPORIDEX PAED DROP 1*10ML"/>
        <s v="OTRIVIN ADVANCE NASAL SPRY 1*10GM"/>
        <s v="COTTON 1*15GM"/>
        <s v="LACTIHEP-SYRUP 1*450ML"/>
        <s v="WALAMYCIN SYRUP 1*30ML"/>
        <s v="GEN D3 60K 1*8CAP"/>
        <s v="CETIRIZ SYP 60ML 60ML"/>
        <s v="HORLICKS LITE 450G [294] 500GM"/>
        <s v="VOLINI SPRAY 1*40GM"/>
        <s v="PANCHRISTA 450ML 1*450ML"/>
        <s v="ALBAYES PLUS SYP 10ML"/>
        <s v="MUSCODAC GEL 1*30GM"/>
        <s v="INSUGEN R 40IU/ML INJ(1) 1*10ML"/>
        <s v="ZENTEL SUSP 1*10ML"/>
        <s v="OROFER S 200MG INJ 1*10ML"/>
        <s v="WALYTE-L ORANGE DRINK 1*200ML"/>
        <s v="NOVOFINE 31G NEEDLE 1*1"/>
        <s v="DISPOVAN PEN NEEDLE 1*10"/>
        <s v="PANTAKIND-DSR CAP 1*10CAP"/>
        <s v="COAID SYRUP 1*60ML"/>
        <s v="SENSODYNE COMPLETE PROTECTION 1*70GM"/>
        <s v="TRETIVA-10MG CAP 1*10CAP"/>
        <s v="LOBUN FORTE CAP 1*10CP"/>
        <s v="LULIBET CREAM 1*15GM"/>
        <s v="MUCOLITE SYRUP 1*100ML"/>
        <s v="ZITHIUM XL 100 SUSPENSION 1*30ML"/>
        <s v="CHERI-CAP 1*15TAB"/>
        <s v="COMPLAN (MEMORY CHARGERS)JAR 1*400GM"/>
        <s v="METOLAR XR 25MG CAP(1) 1*15CAP"/>
        <s v="FURAMIST AZ NASAL SPRAY 1*70MD"/>
        <s v="STORVA-GOLD 10MG CAP 1*10CAP"/>
        <s v="DISPOVAN SYRINGE 5ML 1*5ML"/>
        <s v="JAMUN NEEM KARELA RAS 1LTR 1*1000LTR"/>
        <s v="EVION 400MG CAP 1*20CAP"/>
        <s v="COSCOPIN (PD) SYP 60ML"/>
        <s v="ARISTOZYME DROP 1*15ML"/>
        <s v="VOLITRA + SPRAY 1*55GM"/>
        <s v="DIGEPLEX 200ML 1*200ML"/>
        <s v="JUSGO GEL 1*30GM"/>
        <s v="SENSODYNE FRESH GEL 1*75GM"/>
        <s v="BRO-ZEDEX EXP SYP 1*100ML"/>
        <s v="BETACAP-TR-40MG CAP(1) 1*10CAP"/>
        <s v="ROZUCOR ASP 10 1*10CAP"/>
        <s v="BIO-D3 PLUS CAP 1*15CAP"/>
        <s v="NEOTOMIC ENEMA 1*20ML"/>
        <s v="NEUROBION FORTE INJ 1*3ML"/>
        <s v="EMTY-SYP 1*200ML"/>
        <s v="MONTAIR-LC-KID-SYP 1*60ML"/>
        <s v="ZANDU BALM 1*25ML"/>
        <s v="MORISON GLASS FEEDING 125ML"/>
        <s v="KRACK  CREAM 1*25GM"/>
        <s v="TAXIM O DROP 1*10ML"/>
        <s v="OSTOCALCIUM  SYP 200ML 200ML"/>
        <s v="APDROPS LP EYE DROPS 1*5ML"/>
        <s v="KNEE CAP SMALL (S) 1*1PHYL"/>
        <s v="THERMOKIND-F-GEL 1*100GM"/>
        <s v="VOLICURE TRIO 2/03 1*15"/>
        <s v="SAT ISABGOL (DABUR) 1*50GM"/>
        <s v="BRINZOTIM EYE DROPS 1*5ML"/>
        <s v="PANTOCID-DSR CAP 1*15CAP"/>
        <s v="ALEX JUNIOR SYP 1*60ML"/>
        <s v="ZENOXA-SYP 1*100ML"/>
        <s v="ACILOC ONLY LIQUID 1*100ML"/>
        <s v="TOVAXO EYE DROP 1*2.5ML"/>
        <s v="MAMY POKO M64 64PT"/>
        <s v="GUTOK-NF CAP 1*10CAP"/>
        <s v="BIOCOF MINT 60ML 1*60ML"/>
        <s v="POTRATE SF SYRUP 1*200ML"/>
        <s v="BETADINE GARGLE SOLUTION 1*50ML"/>
        <s v="MAMYPOKO PANTS(NB11) 1*11PCS"/>
        <s v="ZITHIUM XL 200 SYP 30ML"/>
        <s v="TEAR DROPS 1*10ML"/>
        <s v="ALLGEL-O-SYP 1*210ML"/>
        <s v="CANDID TOTAL PLUS CREAM 1*20GM"/>
        <s v="GLUCO ONE(BG-03) 1*25PCS"/>
        <s v="PET SAFA GRANULES 1*100GM"/>
        <s v="MAMY POKO  WIPES [85] 1*24"/>
        <s v="FAST RELIEF 1*15G"/>
        <s v="DABUR HONEY MADHU 1*50GM"/>
        <s v="RAPEED L CAP 1*10CAP"/>
        <s v="ASHOKARISHTA 680ML 1*680ML"/>
        <s v="CERELAC WHEAT/RICE /FRUIT 1*300G"/>
        <s v="D RISE 60K CAP 1*4CAP"/>
        <s v="LOTEFLOX-E/D 1*5ML"/>
        <s v="DABUR LAL TAIL 1*50ML"/>
        <s v="SPASMO-PROXYVON PLUS CAP 1*8CAP"/>
        <s v="AMUL TIN 500GM"/>
        <s v="ROSUMAC 10MG 1*15"/>
        <s v="CYPON SYRUP 1*200ML"/>
        <s v="AD VITAMIN BABY OIL 1*100ML"/>
        <s v="DILONA GEL 1*30GM"/>
        <s v="OMNACORTIL FORTE SUSP 1*60ML"/>
        <s v="FORMONIDE 400MG INHALAR(1) 1*120MD"/>
        <s v="INSUGEN-30/70 REFIL 1*3ML"/>
        <s v="HYDROGEN PEROXIDE SOLUTION 1*100ML"/>
        <s v="CIPLADINE POWDER 1*10GM"/>
        <s v="RYZODEG PENFILL 1*3ML"/>
        <s v="DIGENE GEL ORANGE 1*200ML"/>
        <s v="Z &amp; D-DS-10MG SUSP 1*15ML"/>
        <s v="PANTOMISH DSR CAP 1*10CAP"/>
        <s v="WOMEN'S HORLICK PLUS CARAMELJA 1*400GM"/>
        <s v="NITYAM CHURNA 1*50GM"/>
        <s v="CERELAC 12/M&amp;FRUITS 1*300G"/>
        <s v="NAVRATANA EXTRA THANDA OIL 1*100ML"/>
        <s v="STIMULIV SYP 100ML"/>
        <s v="CERELAC STA3 WHE.RI.MXD.VEG 300GM"/>
        <s v="CANDIFORCE-200CAP 1*7CAP"/>
        <s v="TASULIN-D CAP 1*15CAP"/>
        <s v="RZOLE DSR CAP 1*10CAP"/>
        <s v="TERBINAFORCE PLUS CREAM 1*15GM"/>
        <s v="HIMALAYA BABY POWDER 1*400GM"/>
        <s v="RANTOP SYP 1*100ML"/>
        <s v="PREGABA M 75MG CAP 1*15CAP"/>
        <s v="COLIZA DROP 1*30ML"/>
        <s v="JANAM GHUNTI 120ML 1*120ML"/>
        <s v="DUZELA M 30MG CAP(1) 1*10CAP"/>
        <s v="BABY RASH RELIEF 50GRM 50GRM"/>
        <s v="KZ PLUS SHOP 75GM"/>
        <s v="CETAPHIL OILY SKN CLEANSER 1*250ML"/>
        <s v="LISTERINE COOL MINT MOUTHWASH 1*250ML"/>
        <s v="PROGG DROPS 1*4ML"/>
        <s v="ASCORIL LS JUNIOR SYRUP 1*60ML"/>
        <s v="NASOCLEAR DROP 20ML 1*20ML"/>
        <s v="TITANIC K2 CAP 1*6CAP"/>
        <s v="TOP CREPE COTTAN BANDAGE 10CM 1*1PCC"/>
        <s v="CREPE BANDAGE &quot;6&quot; 1*1PCS"/>
        <s v="LAL TAIL 100ML 1*100ML"/>
        <s v="MEGABROM EYE DROP 1*5ML"/>
        <s v="POLYBION-LC SYRUP 1*100ML"/>
        <s v="BRONCODIL SYP 100ML 100ML"/>
        <s v="VENTRYL SYP 1*100ML"/>
        <s v="MILFLOX DROP 1*5ML"/>
        <s v="BUDAMATE-400 R/C 1*30CAP"/>
        <s v="NUROKIND PLUS CAP(1) 1*10CAP"/>
        <s v="MACGESIA PAIN RELIEF ROLL ON 1*50ML"/>
        <s v="DECOMIC PLUS EYE DROP 1*10ML"/>
        <s v="TRAXOL-500MG INJ 1*1VIAL"/>
        <s v="ITCH GUARD PLUS++ /// 1*5GM"/>
        <s v="CLOPITAB CV GOLD 1*10CAP"/>
        <s v="KUFTIVE 1*10"/>
        <s v="ENEMA 100ML"/>
        <m/>
        <s v="SALBAIR-I TRANSCAP 1POT"/>
        <s v="HIMALAYA BABY OIL 1*200ML"/>
        <s v="SITAGLO-DM TAB 1*15TAB"/>
        <s v="NORMAXIN TAB 1*20TAB"/>
        <s v="DREP EAR DROP 1*5ML"/>
        <s v="EMBETA XR 50MG TAB(1) 1*30TAB"/>
        <s v="MEDROL-8MG TAB(1) 1*14TAB"/>
        <s v="EUMOSONE M CREAM 1*15GM"/>
        <s v="TRIOPIL-2MG TAB(1) 1*10TAB"/>
        <s v="DR ORTHO OIL 1*60ML"/>
        <s v="SOFY ANTIBACTERIA[XL-70] 1*7"/>
        <s v="VOLITRA GEL + 1*50GM"/>
        <s v="FERICIP XT TAB 1*10TAB"/>
        <s v="ATORVA-10MG TAB 1*15TAB"/>
        <s v="TAXIM O FORTE SYP 1*30ML"/>
        <s v="SORBITRATE-5MG TAB(1) 1*50TAB"/>
        <s v="GLUCONORM VG-2 FORTE TAB 1*15TAB"/>
        <s v="OLCURE-TRIO 40MG TAB 1*15TAB"/>
        <s v="ESLO TEL 5MG TAB 1*15TAB"/>
        <s v="WOKRIDE CAP 1*15CAP"/>
        <s v="INDOCAP SR CAP 1*10CAP"/>
        <s v="SURFAZ-SN CREAM 1*10GM"/>
        <s v="TRYPTOMER-10MG TAB 1*30TAB"/>
        <s v="BEVON CAP 1*15CAP"/>
        <s v="THROMBOPHOB OINT 1*20GM"/>
        <s v="GLYCIPHAGE 500TAB(1) 1*20TAB"/>
        <s v="OMNIGEL SPRAY 1*20GM"/>
        <s v="NICOTEX 2MG MINT PLUS TAB 1*9TAB"/>
        <s v="TELMA 40MG TAB 1*30TAB"/>
        <s v="PROSTAGARD D 8 TAB 1*10TAB"/>
        <s v="NEXOVAS CH TAB 1*10TAB"/>
        <s v="VOAGE S TAB 1*15."/>
        <s v="T-BACT OINT 1*5GM"/>
        <s v="KRACK HAPPY FEET CREAM 1*15GM"/>
        <s v="NUPENTA TAB 1*15TAB"/>
        <s v="SENSODYNE FRESH GEL 1*40GM"/>
        <s v="FLUKA-150MG TAB 1*1TAB"/>
        <s v="MMS GOLD 1 POWDER 1*400GM"/>
        <s v="ACNESTAR-2.5% SOAP 1*75GM"/>
        <s v="BRAVIA 20TAB 1*10TAB"/>
        <s v="TELMA H TAB 1*15TAB"/>
        <s v="ENTEROGERMINA CAP 1*4CAP"/>
        <s v="ADIPAM PLUS TAB 1*10TAB"/>
        <s v="NYCIL(COOL)HERBAL POW 1*150GM"/>
        <s v="THYROX-12.5MG TAB 1*100TAB"/>
        <s v="TELMED ACT 40MG TAB(1) 1*10TAB"/>
        <s v="DILONA FORTE TAB 1*10TAB"/>
        <s v="TELMIKIND-40MG TAB 1*10TAB"/>
        <s v="MONTINA-FX TAB 1*10TAB"/>
        <s v="KIDODENT DENTAL GEL 1*75GM"/>
        <s v="MOOV CREAM 1*5GM"/>
        <s v="DECAMOX-M EYE DROP 1*5ML"/>
        <s v="CYRA-LS TAB 1*10TAB"/>
        <s v="AMLOSAFE 3D TAB(1) 1*7TAB"/>
        <s v="OLEANZ 10MG TAB 1*10TAB"/>
        <s v="KAYAM TAB 1*30TAB"/>
        <s v="GEMSOLINE CAP 1*15CAP"/>
        <s v="METPURE XL 50MG TAB(1) 1*10TAB"/>
        <s v="CORTEL M 25 TAB 1*15TAB"/>
        <s v="MAMYPOKO PANTS ALL N AB [L28] 28"/>
        <s v="MET XL 25MG TAB 1*20TAB"/>
        <s v="MOXIMAC TAB 1*10TAB"/>
        <s v="LIV-52 TAB 1*100TAB"/>
        <s v="CIPLAR LA 20MG TAB(1) 1*15TAB"/>
        <s v="CRIZ-M TAB 1*10TAB"/>
        <s v="PANCHKAL PARISHTA 450ML 1*450ML"/>
        <s v="RACIPER D 40MG TAB(1) 1*15TAB"/>
        <s v="MODALERT-100MG TAB(1) 1*10TAB"/>
        <s v="MEE MEE TOOTH BRUSH 1*1"/>
        <s v="JOHNSONS BABY OIL [150] 1*100ML"/>
        <s v="MEGAPEN 500 CAP 1*10CAP"/>
        <s v="SOLTUS-200MG TAB(1) 1*10TAB"/>
        <s v="TELVAS-3D TAB 1*10TAB"/>
        <s v="REVELOL-AM 50/5MG TAB 1*15TAB"/>
        <s v="JUSLINA-5MG TAB 1*10TAB"/>
        <s v="CERELAC RICE/PROTEIN [329] 1*300GM"/>
        <s v="OSTOSHINE TAB 1*10TAB"/>
        <s v="HEALTH UP 1*30"/>
        <s v="VESBAL-16MG TAB 1*10TAB"/>
        <s v="TOLKEM D TAB 1*10 TAB"/>
        <s v="VOZET 5MG TAB 1*10TAB"/>
        <s v="COBALMAX FORTE CAP 1*10CAP"/>
        <s v="VIZYLAC RICH CAP 1*10CAP"/>
        <s v="ISRYL M 1MG TAB 1*15TAB"/>
        <s v="BISOHEART 5MG TAB 1*10TAB"/>
        <s v="ENZOMAC TAB 1*10TAB"/>
        <s v="MOXISURGE D EYE DROP 1*5ML"/>
        <s v="HEMFER SYRUP 1*225ML"/>
        <s v="MONOCAN 200 TAB 1*8TAB"/>
        <s v="MONOCEF-O CV 200/125MG TAB 1*10TAB"/>
        <s v="JOHNSON'S BABY CREAM 1*30GM"/>
        <s v="APTAMIL PREMIUM 1 RF [750] 1*400GM"/>
        <s v="GLYCOMET 250MG TAB(1) 1*10TAB"/>
        <s v="MOXIKIND CV 625MG TAB 1*10TAB"/>
        <s v="TAXIM-O-200MG TAB 1*10TAB"/>
        <s v="NUROKIND-LC TAB 1*15TAB"/>
        <s v="MEGAZOLID 600TAB 1*10TAB"/>
        <s v="GLYCOMET TRIO 1MG TAB(1) 1*10TAB"/>
        <s v="CROCIN-240-SYP 1*100ML"/>
        <s v="LASMA-LC TAB(1) 1*10TAB"/>
        <s v="TELMED 20MG TAB(1) 1*10TAB"/>
        <s v="DILNIP-20MG TAB 1*15TAB"/>
        <s v="LIVAFIN CREAM 1*10GM"/>
        <s v="DETTOL  100ML 1*125ML"/>
        <s v="ARGIPREG SACHET 1*5GM"/>
        <s v="ANKLE BINDER MEDIUM 1*1"/>
        <s v="ALOEVERRA JUCE 1*1LTR"/>
        <s v="ARNICOR 100 TAB 1*15"/>
        <s v="RA-THERMOSEAL TOOTH PASTE 1*100GM"/>
        <s v="NICARDIA XL 30MG TAB(1) 1*15"/>
        <s v="VASOGRAIN TABLET 1*20"/>
        <s v="GEMCAL CAP 1*15CAP"/>
        <s v="ETILAAM-PRO-20MG TAB(1) 1*10TAB"/>
        <s v="PROSTAGARD D 4 CAP 1*10CAP"/>
        <s v="PENTANERV NT 100MG TAB 1*10TAB"/>
        <s v="INDERAL LA 40MG TAB 1*15TAB"/>
        <s v="NUROKIND GOLD CAPS 1*10CAP"/>
        <s v="LIV 52 DS TAB 1*60TAB"/>
        <s v="ZINCOVIT SYP 1*200ML"/>
        <s v="ROOHAFZA 750ML"/>
        <s v="CILIX TC 40 1*15"/>
        <s v="STOCK &lt;= 30 DAYS [3.85 Lakh - 26.73%]"/>
        <s v="SETFRAC PLUS TAB 1*15TAB"/>
        <s v="BUDETROL-400-ROTACAP 1*30CAP"/>
        <s v="NEUROKEM-MNT TAB 1*10TAB"/>
        <s v="ORASORE GEL 1*10GM"/>
        <s v="MEDISALIC OINT 1*20GM"/>
        <s v="ETOSHINE 90MG TAB 1*15TAB"/>
        <s v="NORVENT LS SYRUP 1*100ML"/>
        <s v="HHLEVO M TAB 1*10TAB"/>
        <s v="OLSERTAIN H 40MG TAB(1) 1*15TAB"/>
        <s v="MOISTUREX CREAM 1*100GM"/>
        <s v="DONEP M TAB 1*15TAB"/>
        <s v="NEXPRO 40MG TAB 1*15TAB"/>
        <s v="Item Name"/>
        <s v="GLUFLOZIN 10MG TAB 1*15TAB"/>
        <s v="PENTIDS-400 TAB 1*10TAB"/>
        <s v="ZORYL M 2MG FORTE TAB 1*15TAB"/>
        <s v="THYROX-88MG TAB(1) 1*100TAB"/>
        <s v="ANOVATE CREAM 1*20GM"/>
        <s v="MAMYPOKO WIPES 1*100WIPES"/>
        <s v="CLOP S CREAM 1*20GM"/>
        <s v="METROGYL DG GEL FORTE 1*20GM"/>
        <s v="DERIPHYLLIN TAB 1*30TAB"/>
        <s v="WARF 5MG TAB 1*30TAB"/>
        <s v="METRON I.V 1*100ML"/>
        <s v="MAMYPOKO PANTS ALL N AB M[16] 16"/>
        <s v="VALPARIN-CHRONO-500MG TAB(1) 1*10TAB"/>
        <s v="KUKA SYP 1*100ML"/>
        <s v="RANRAFT SYP 1*150ML"/>
        <s v="EMSITA TRIO TAB 1*10"/>
        <s v="CHERICOF-JUNIOR-SYP 1*60ML"/>
        <s v="DAPAVEL GM 10/2/500 TAB 1*10"/>
        <s v="INDERAL 10MG TAB 1*15TAB"/>
        <s v="CROCIN 650 FAST RELIEF TAB 1*15TAB"/>
        <s v="OLSAR A 20MG TAB 1*10TAB"/>
        <s v="MICROCID SR CAP 1*10TAB"/>
        <s v="TRIGLIMIPREX-2MG TAB 1*10TAB"/>
        <s v="KETOL Z SOAP 1*75GM"/>
        <s v="NEBILONG AM TAB 1*15TAB"/>
        <s v="DYTOR 40MG TAB 1*10TAB"/>
        <s v="TERBINAFORCE 500MG TAB 1*7TAB"/>
        <s v="DAROLAC SACHET 1*1GM"/>
        <s v="PENIDURE-LA 12 INJ 1*1VIAL"/>
        <s v="MIRNITE 7.5MG TAB(1) 1*10TAB"/>
        <s v="HIMALAYA BABY WASH 1*100ML"/>
        <s v="DUOLIN ROTACAPS 1*60TAB"/>
        <s v="NASIVION CLASSIC ADULT 1*15ML"/>
        <s v="AMLONG MT 25MG TAB 1*15TAB"/>
        <s v="DARD HARN-OIL 1*100ML"/>
        <s v="ESPIN-2.5-TAB 1*10TAB"/>
        <s v="KETOCIP SOAP 75GM"/>
        <s v="TELPLUS TAB(1) 1*15TAB"/>
        <s v="HEXIDINE MOUTHWASH 1*160ML"/>
        <s v="TRH 1000MG VIAL 1*5ML"/>
        <s v="ELTROXIN-125MCG TAB 1*60TAB"/>
        <s v="TELVAS-3D 80MG TAB(1) 1*10TAB"/>
        <s v="OLMESAR A TAB 1*15"/>
        <s v="CARDACE 5MG TAB(1) 1*15TAB"/>
        <s v="ETIZGO S 10 1*10"/>
        <s v="IMEGLYN 500MG TAB 1*10TAB"/>
        <s v="SENSODYNE RAPID RELIEF 1*40GM"/>
        <s v="NEPAFLAM EYE DROP 1*5ML"/>
        <s v="PILEX-TAB 1*60TAB"/>
        <s v="DAPANORM-TRIO TAB 1*10TAB"/>
        <s v="RESWAS SYP 100ML"/>
        <s v="DETTOL HAND WASH 1*900ML"/>
        <s v="JOHNSON'S BABY SOAP 1*25GM"/>
        <s v="FOLITRAX 2.5MG TAB(1) 1*10TAB"/>
        <s v="ZENOXA-300MG TAB(1) 1*10TAB"/>
        <s v="CALCIGRAND FORTE CAP 1*10CAP"/>
        <s v="CANDID MOUTH PAINT 1*25ML"/>
        <s v="L CIN OZ SYRUP 1*30ML"/>
        <s v="APTAMIL GOLD 1 RF 400GM [975] 1*450GM"/>
        <s v="VANTEJ TOOTHPASTE 1*100GM"/>
        <s v="PRAZOPRESS XL 5MG TAB 1*30TAB"/>
        <s v="ONDERO TAB(1) 1*10TAB"/>
        <s v="DROTIKIND 80 TAB 1*10TAB"/>
        <s v="ASTHALIN INHALER 1*200MD"/>
        <s v="ZOLFRESH 10MG TAB 1*15TAB"/>
        <s v="AKURIT-3MG TAB 1*10TAB"/>
        <s v="SN-15MG TAB 1*10TAB"/>
        <s v="GLUCOPLUS C 1*100ML"/>
        <s v="SYNDOPA-PLUS TAB 1*15TAB"/>
        <s v="LINID TAB 1*10TAB"/>
        <s v="ETIZOLA 0.5MG TAB 1*10TAB"/>
        <s v="VIZYLAC DRY SYRUP 1*60ML"/>
        <s v="MAMYPOKO PANTS EXTRA ABNB34 1*34"/>
        <s v="SARPIN OIL 1*110ML"/>
        <s v=" V WASH 100ML 1*100ML"/>
        <s v="ALBAYES 10ML"/>
        <s v="DABUR GLUCOSE D POWDER 1*500GM"/>
        <s v="COTTON 1*50GM"/>
        <s v="COFSTOP-CDX SYRUP 1*100ML"/>
        <s v="CABGOLIN 0.5 TAB 1*4TAB"/>
        <s v="VALPARIN-200MG TAB 1*15TAB"/>
        <s v="CB-12 INJ 2*2.5ML"/>
        <s v="DURANZO TAB 1*10TAB"/>
        <s v="CALCIMAX-500 TAB 1*30TAB"/>
        <s v="VIZYLAC GG DROPS 1*3.5ML"/>
        <s v="ENZOMAC OINT 1*5GM"/>
        <s v="GABANEURON 100MG TAB 1*15TAB"/>
        <s v="CARDIVAS 3.125MG TAB(1) 1*10TAB"/>
        <s v="LIV 52 SYRUP 1*100ML"/>
        <s v="FOLVITE TAB 1*45TAB"/>
        <s v="KERAGLO EVA TAB 1*10TAB"/>
        <s v="OZOVAS-F TAB 1*10TAB"/>
        <s v="AMLODAC-T TAB 1*15TAB"/>
        <s v="AUTRIN CAP 1*30CAP"/>
        <s v="PROLOMET XL 25MG TAB 1*15TAB"/>
        <s v="LUBRINAC EYE DROP 1*10ML"/>
        <s v="GABAPIN NT 200MG TAB 1*15TAB"/>
        <s v="LIZOLID 600MG CAP 1*10CAP"/>
        <s v="GLUCO ONE(BG-03) 1*50PCS"/>
        <s v="PANDERM ++ CREAM 1*15GM"/>
        <s v="PANTOP-DSR CAP 1*15TAB"/>
        <s v="DAPAGOLD 10MG TAB 1*15TAB"/>
        <s v="UPRISE-D3 60K SYP 1*5ML"/>
        <s v="ALLEGRA-120MG TAB 1*10TAB"/>
        <s v="NUFORCE 200MG TAB 1*1TAB"/>
        <s v="BIO-D3 MAX CAP 1*15CAP"/>
        <s v="SHILAJIT TAB 15TABS"/>
        <s v="TSART MCL-50MG TAB 1*10TAB"/>
        <s v="MILFLODEX E/D 1*10ML"/>
        <s v="CERELAC 5GRAIN/FRUITS /18/ 1*300G"/>
        <s v="PAIN X MR TAB 1*10"/>
        <s v="UDAPA-TRIO TAB 1*10TAB"/>
        <s v="TACROZ FORTE OINT 1*20GM"/>
        <s v="DOLO-250-SYP 1*60ML"/>
        <s v="REVITAL H CAP 1*10CAP"/>
        <s v="HIMALAYA BABY GIFT PACK 1*1GIFT.PACK"/>
        <s v="SILDOO D8 CAPS 1*10CAPS"/>
        <s v="WYSOLONE 5MG TAB(1) 1*15TAB"/>
        <s v="LEFNO 10MG TAB(1) 1*10TAB"/>
        <s v="DAPA GOLD V 10MG 1*10TAB"/>
        <s v="HIMALAYA BABY CREAM 1*100ML"/>
        <s v="MAMY POKO XXL 14 14PTT"/>
        <s v="XONE-1GM-INJ 1*1VIAL"/>
        <s v="NADOXIN CREAM 1*10GM"/>
        <s v="XILIA MP 1MG TAB(1) 1*10TAB"/>
        <s v="TSART TRIO 12.5MG TAB(1) 1*10TAB"/>
        <s v="N.S.ING 1*100ML"/>
        <s v="MONOCEF O CV 100 DRY SYRUP 1*30ML"/>
        <s v="EMPAHOPE S 25 TAB 1*10"/>
        <s v="SITARA DM 1000MG TAB 1*10TAB"/>
        <s v="TELVAS-CT LS TAB 1*10TAB"/>
        <s v="HEPA MERZ TAB 1*10TAB"/>
        <s v="URSOMISH-300MG TAB 1*10TAB"/>
        <s v="MAMYPOKO AB WIPES-LE (20) 1*20WIPES"/>
        <s v="EVIMECTIN A TAB 1*1"/>
        <s v="COREX-DX SYRUP 1*100ML"/>
        <s v="GABAMAX NT CAP 1*10CAP"/>
        <s v="DAPEFY 10MG TAB 1*14TAB"/>
        <s v="MACSITA-M 50/500MG TAB 1*10TAB"/>
        <s v="FRUSELAC TAB 1*10TAB"/>
        <s v="FLUCORT N SKIN CREAM 1*20GM"/>
        <s v="BUDAMATE-G CAP 1*10CAP"/>
        <s v="GLYCOMET-500MG SR TAB 1*20TAB"/>
        <s v="HAND SANITIZER 100ML 1*100ML 1*100ML"/>
        <s v="EUMIR 15MG TAB 1*15TAB"/>
        <s v="RICONIA LP TAB 1*15TAB"/>
        <s v="ESPIN-5-TAB 1*10TAB"/>
        <s v="TELLZY 20MG TAB(1) 1*15TAB"/>
        <s v="THYROX 75MG  120TABS 1*120TABS"/>
        <s v="RIVAFLO 10MG TAB 1*10TAB"/>
        <s v="MEFTAL SPAS TAB 1*10TAB"/>
        <s v="DETTOL HAND SANITIZER 1*25ML"/>
        <s v="BENIZEP CAP 1*10TAB"/>
        <s v="VERIFICA-M 50/500MG TAB 1*15TAB"/>
        <s v="TULSI DROPS 1*30ML"/>
        <s v="CIPLAR 10MG TAB(1) 1*15TAB"/>
        <s v="LANOXIN-0.25MG TAB(1) 1*10TAB"/>
        <s v="PAMPERS PANTS M 1*26PANTS"/>
        <s v="VILFURO 200MG CAP 1*15CAP"/>
        <s v="DERMADEW ACNE FACE WASH 1*100ML"/>
        <s v="STATOR ASP 75MG CAP 1*15CAP"/>
        <s v="NEOPEPTINE SYP 1*100ML"/>
        <s v="NEFROSAVE FORTE TAB 1*15TAB"/>
        <s v="TRETIN-0.05% CREAM 1*30GM"/>
        <s v="TELISTA CL TAB 1*10"/>
        <s v="SCALPE PLUS ANTI DANDRUFF 1*75ML"/>
        <s v="SUGAR FREE GOLD TAB 100TAB"/>
        <s v="CANDITRAL 200MG TAB 1*10TAB"/>
        <s v="LN BETA 2.5MG TAB(1) 1*10TAB"/>
        <s v="MARCOGESIC OIL 60ML"/>
        <s v="RABEMAC-DSR CAP(1) 1*15CAP"/>
        <s v="GLIMISAVE MV 3.3 TAB 1*10TAB"/>
        <s v="NAPROSYN 250 TAB 1*15TAB"/>
        <s v="BECOZINC CAP 1*30CAP"/>
        <s v="AMLODAC 5MG TAB(1) 1*30TAB"/>
        <s v="DAPANORM M 5MG TAB 1*10TAB"/>
        <s v="NASIVION CHILD 10ML"/>
        <s v="REVELOL AM 25/2.5MG TAB 1*15TAB"/>
        <s v="KIDTRO EYE DROPS 1*5ML"/>
        <s v="FEBUMAC 40 TAB 1*10TAB"/>
        <s v="DRONIS-30MG TAB 1*21TAB"/>
        <s v="LETROZ 2.5MG TAB 1*5TAB"/>
        <s v="THYRONORM-112MG TAB 1*120TAB"/>
        <s v="BILYPSA TAB 1*10TAB"/>
        <s v="ECOSPRIN AV 75/40MG CAP 1*10CAP"/>
        <s v="DOM-DT-10MG TAB 1*10TAB"/>
        <s v="ASCABIOL 120ML LOTION 1*120ML"/>
        <s v="DYDROHOPE TAB 1*10TAB"/>
        <s v="DYDROPREG TAB 1*10TAB"/>
        <s v="QUIKHALE SF 250 CAP(1) 1*30CAP"/>
        <s v="QUIKHALE T R/C 1*30CAP"/>
        <s v="MOXICIP D E/D 1*5ML"/>
        <s v="MORISON  BOTTLE 125ML"/>
        <s v="SOFTOVAC POWDER 1*250GM"/>
        <s v="CNBC TOOTH &amp; GUM GEL 1*50GM"/>
        <s v="BETONY-Z SYP 1*200ML"/>
        <s v="GLIMIPREX MF 1/500 TAB(1) 1*15TAB"/>
        <s v="LAMITOR OD 100MG TAB 1*10TAB"/>
        <s v="SACULYSIN-50MG TAB 1*14TAB"/>
        <s v="BOURN VITA RIFILL 1KG 1*1KG"/>
        <s v="R PPI L TAB 1*15TAB"/>
        <s v="ERDOMAC 300MG CAP 1*6CAP"/>
        <s v="SILODERM CREAM 20GM"/>
        <s v="ITCH GUARD + CREAM 1*12GM"/>
        <s v="NIOCLEAN GEL 1*20GM"/>
        <s v="THERMOMETER 1*1PCS"/>
        <s v="CARVISTAR 6.25 TAB 1*15TAB"/>
        <s v="SENSODENT-K PLUS 100G 100GM"/>
        <s v="DISPOVAN SYRINGE 10ML 1*10ML"/>
        <s v="HALOVATE CREAM 1*30GM"/>
        <s v="BROCLEAR TAB 1*10TAB"/>
        <s v="BLADMIR-S 25 COMBIKIT 1*14TAB"/>
        <s v="TRIOLSAR 40MG HS TAB 1*10TAB"/>
        <s v="R-CINEX-E TAB 1*6TAB"/>
        <s v="CORTEL LNB 25MG TAB 1*10TAB"/>
        <s v="MOXCLAV DS 457MG SUS 1*30ML"/>
        <s v="TURBOVAS 10MG TAB 1*10TAB"/>
        <s v="REFRESH-TEARS EYE DROP 1*10ML"/>
        <s v="VELOZ-IT-CAP 1*10CAP"/>
        <s v="NEBULIZER MASK (AD) 1*1PCS"/>
        <s v="ECOSPRIN 75MG TAB 1*14TAB"/>
        <s v="JOHNSON'S BABY CREAM 1*50GM"/>
        <s v="HONEY 100GM 100GM"/>
        <s v="ACTIBILE-300MG TAB 1*10TAB"/>
        <s v="GLIMY-M 2MG TAB 1*15TAB"/>
        <s v="HONITUS TULSI SYP 100ML"/>
        <s v="OZOTEL H TAB 1*30TAB"/>
        <s v="TELCURE BETA 25 TAB 1*15TAB"/>
        <s v="MAHACAL D3 SOLUTION 1*4"/>
        <s v="GLIPY MET 500MG TAB 1*15TAB"/>
        <s v="ATORFEN-10MG TAB(1) 1*10TAB"/>
        <s v="LOMOFEN + TAB 1*20TAB"/>
        <s v="CARCA-3.125MG TAB 1*15TAB"/>
        <s v="GLUCOSE C 1*500GM"/>
        <s v="THERMOMETER DIGI FLEXI(DR.MORP 1*1PCS"/>
        <s v="TETMOSOL-SOAP 1*100GM"/>
        <s v="ITCH GUARD PLUS+++/// 1*12GM"/>
        <s v="KAYAM CHURNA 1*50GM"/>
        <s v="ALDIGESIC-SP FORTE TAB 1*10TAB"/>
        <s v="FLAGYL 400MG TAB 1*20TAB"/>
        <s v="AMLOSAFE TM 40MG TAB 1*10TAB"/>
        <s v="GEMER P 2MG TAB(1) 1*10TAB"/>
        <s v="FLUDAC 20MG CAP(1) 1*15CAP"/>
        <s v="CHERI XT TAB 1*15TAB"/>
        <s v="XYMEX DROP 1*15ML"/>
        <s v="LUBISTAR 1% E/D 1*10ML"/>
        <s v="PROVANOL-SR-40MG TAB(1) 1*10TAB"/>
        <s v="CARCA CR 10 TAB 1*15TAB"/>
        <s v="ROZA GOLD 10MG CAP 1*10CAP"/>
        <s v="ITCHAWAY CREAM 25GM"/>
        <s v="CEFLOX-DEE EYE/EAR DROPS 1*10ML"/>
        <s v="SLEPNEX-0.25MG TAB 1*10TAB"/>
        <s v="LEVEPSY 500MG TAB(1) 1*15TAB"/>
        <s v="AKURIT-4MG TAB 1*10TAB"/>
        <s v="ETOSHINE 60MG TAB 1*10TAB"/>
        <s v="DOMADOL CAP 1*10CAP"/>
        <s v="GRANDPRIDE-MV 1MG TAB 1*10TAB"/>
        <s v="HICKS AKUTEM THERMOMETRE 1*1PCS"/>
        <s v="HYDENT K 202.23 1*100GM"/>
        <s v="LEVIGRESS-500MG TAB 1*10TAB"/>
        <s v="TELMIKIND BETA 50MG TAB(1) 1*10TAB"/>
        <s v="ISOMIL MILK TIN 1*400GM"/>
        <s v="MAMY POKO PANT EXTRA AB M8 5KG"/>
        <s v="ROSAVE F 20MG TAB 1*10TAB"/>
        <s v="HIMALAYA BABY POWDER 1*200GM"/>
        <s v="ACNESTAR GEL 15GM"/>
        <s v="OZOMET-G 1MG TAB(1) 1*15TAB"/>
        <s v="ORS(GALPHA)21.8GM 1*21.8GM"/>
        <s v="THYROX 150MG TAB(1) 1*100TAB"/>
        <s v="LEVOMAC 500MG TAB 1*10TAB"/>
        <s v="REVELOL-XL-50MG TAB 1*15TAB"/>
        <s v="REVELOL-AM 25/2.5MG TAB(1) 1*10TAB"/>
        <s v="APIXATOR 2.5MG TAB 1*10TAB"/>
        <s v="ISTAMET 50MG/500MG TAB(1) 1*15TAB"/>
        <s v="ETHIGLOW FACE WASH 1*200GM"/>
        <s v="ROSAVE EZ TAB 1*10"/>
        <s v="MACBRITE D3 400IU DROPS 1*15ML"/>
        <s v="INDERAL LA 20MG TAB 1*15TAB"/>
        <s v="TELMIKIND-H TAB(1) 1*10TAB"/>
        <s v="DOLONEX DT 20MG TAB 1*15TAB"/>
        <s v="PERINORM TAB 1*10TAB"/>
        <s v="ATEN-D-TAB(1) 1*10TAB"/>
        <s v="AMLOSAFE MT 25MG TAB 1*10TAB"/>
        <s v="BILAMBIC M 10 TAB 1*10"/>
        <s v="ACCUSURE B.P.MONITOR 1*1PCC"/>
        <s v="TRENAXA-500MG TAB 1*10TAB"/>
        <s v="STARPRESS-XL-25MG TAB 1*15TAB"/>
        <s v="BABY RASH RELIEF 20GRM 20GM"/>
        <s v="SOFTDROPS EYE DROP 1*10ML"/>
        <s v="GLISEN PM 1 TAB(1) 1*15TAB"/>
        <s v="SOMPRAZ L CAP 1*10TAB"/>
        <s v="IMEGLYN 1000MG TAB 1*10TAB"/>
        <s v="TSART H TAB(1) 1*10TAB"/>
        <s v="AMLOPRES-10MG TAB(1) 1*10TAB"/>
        <s v="SILODAL 8MG CAP 1*10CAP"/>
        <s v="EFNOCAR-T 40/40MG TAB 1*10TAB"/>
        <s v="HIMALAYA BABY OIL 1*100ML"/>
        <s v="NEBI 5MG TAB 1*10TAB"/>
        <s v="ENSURE PLUS (VANILA) 400G"/>
        <s v="HIMALAYA BABY SHAMPOO 1*200ML"/>
        <s v="AMCARD 5MG TAB 1*7"/>
        <s v="ASOMEX 2.5MG TAB 1*15TAB"/>
        <s v="GLUCOMOL 0.5% EYE DROP 1*5ML"/>
        <s v="CRINA NCR 15MG TAB 1*5TAB"/>
        <s v="PERFECXA BP 1*1"/>
        <s v="NEWCITA PLUS TAB 1*10TAB"/>
        <s v="OLISTU OIL 1*100ML"/>
        <s v="WIKORYL TAB 1*10TAB"/>
        <s v="ISOMIL POWDER 400GM"/>
        <s v="GLYCO 6% CREAM 1*30GM"/>
        <s v="ETHIGLOW FACE WASH 1*70GM"/>
        <s v="GLYCOMET-TRIO-FORTE-2 1*10TAB"/>
        <s v="JOHNSON S BABY SOAP 1*100GM"/>
        <s v="ETOVA ER 400 TAB 1*10TAB"/>
        <s v="DROTIN DS SYP 1*100ML"/>
        <s v="AUVELIA TAB 1*10"/>
        <s v="EMBETA XR-25MG TAB(1) 1*30TAB"/>
        <s v="TEAR DROPS GEL 10ML"/>
        <s v="MACBERY DC SYP 60ML"/>
        <s v="MONOCEF O 100MG DT TAB 1*10TAB"/>
        <s v="ATCHOL-CV-TAB 1*10TAB"/>
        <s v="ACITROM 3MG TAB(1) 1*30TAB"/>
        <s v="MEDERMA ADV PLUS S GEL 1*5GM"/>
        <s v="DETTOL 500ML 500ML"/>
        <s v="EVERTEEN PADS 1*18PADS"/>
        <s v="DOXOVENT TAB 1*10TAB"/>
        <s v="ENO LEMON FLAVOUR 1*5GM"/>
        <s v="THYRONORM-75MG TAB 1*120TAB"/>
        <s v="DOTHIP 75MG TAB 1*10TAB"/>
        <s v="MANKINDS PLACIDA TAB 1*10"/>
        <s v="AMLOVAS XM-5/50 TAB(1) 1*10TAB"/>
        <s v="FESTIVE D EYE/EAR DROP 1*10ML"/>
        <s v="CANDIBIOTIC PLUS EAR DROP 1*5ML"/>
        <s v="GLUFORMIN XL 500MG TAB(1) 1*15TAB"/>
        <s v="DIVAA 250MG TAB(1) 1*15TAB"/>
        <s v="KETOFORD OINT 1*15GM"/>
        <s v="VITNEURIN CZS TAB 1*15TAB"/>
        <s v="VIGADEXA E/D 1*5ML"/>
        <s v="RAMODAP-M TAB 1*10TAB"/>
        <s v="CILACAR 10MG TAB 1*15TAB"/>
        <s v="LIBRIUM 25MG TAB 1*15TAB"/>
        <s v="SENSODYNE 2+1 BRUSH 1*1PCS"/>
        <s v="BILASURE 40 MG TAB 1*10TAB"/>
        <s v="DAROLAC-CAP 1*10CAP"/>
        <s v="TAXIM 100 TAB 1*10"/>
        <s v="ALLEGRA M TAB 1*10TAB"/>
        <s v="CETANIL 10 TAB(1) 1*15TAB"/>
        <s v="HIMALAYA BABY DERMA CREAM 50ML"/>
        <s v="NEOSPORIN H OINT 1*5GM"/>
        <s v="GLIPY-DM TAB 1*15TAB"/>
        <s v="SITAMAX GM FORTE 2 TAB 1*10"/>
        <s v="ABDOMINAL BELT XL 1*1"/>
        <s v="TELISTA-MCL 25MG TAB 1*10TAB"/>
        <s v="LINOKEM-600MG TAB 1*10TAB"/>
        <s v="GLYCOMET GP 0.5MG TAB(1) 1*10TAB"/>
        <s v="RIFAGUT-400MG TAB 1*10TAB"/>
        <s v="NOVELON TAB 1*21TAB"/>
        <s v="BUDETROL-G ROTACAP 1*30CAP"/>
        <s v="BIO D3 XT TAB 1*15"/>
        <s v="ANTI-THYROX-5MG TAB 1*100TAB"/>
        <s v="ZECAL-FEM-TAB 1*10TAB"/>
        <s v="NEUROKEM D 75/20MG TAB 1*10TAB"/>
        <s v="ADULT DIAPERS(L10) 1*10PCS"/>
        <s v="DETTOL HAND WASH 900ML"/>
        <s v="BETNESOL TAB(1) 1*20TAB"/>
        <s v="STOCK &lt;= 15 DAYS [1.95 Lakh - 13.53%]"/>
        <s v="VALEMBIC 80MG AM TAB 1*10TAB"/>
        <s v="SOMPRAZ 40MG TAB 1*15TAB"/>
        <s v="GEMINOR-M-3-FORTE-TAB 1*15TAB"/>
        <s v="VEET CREM 25GM 25GM"/>
        <s v="FESTIVE DEE EYE/EAR DROPS 1*10ML"/>
        <s v="FINGER COT 1*3PCS"/>
        <s v="TRYPTOMER 25MG TAB 1*30TAB"/>
        <s v="OCID-20-TAB 1*20CAP"/>
        <s v="BIGOMET-SR-1000MG TAB(1) 1*10TAB"/>
        <s v="METROGYL 400MG TAB 1*20TAB"/>
        <s v="ESLO TEL 2.5MG TAB 1*15TAB"/>
        <s v="OBIMET GX 2MG TAB 1*15TAB"/>
        <s v="L-CIN-750MG TAB 1*10TAB"/>
        <s v="HICKS OVAL THERMOMETER 1*1PCS"/>
        <s v="GABAMAX NT 50TAB 1*10TAB"/>
        <s v="COLOSPA 135MG TAB 1*10TAB"/>
        <s v="SARTEL-AM 40MG TAB(1) 1*15TAB"/>
        <s v="EIREF CAP 1*10CAP"/>
        <s v="HETRAZAN 100MG TAB 1*30"/>
        <s v="MOOV OINT 1*10GM"/>
        <s v="NIVEA SOFT MOISTURISER  CREAM 1*100ML"/>
        <s v="D3 MUST 60K TAB 1*8TAB"/>
        <s v="NAPRA D 500MG TAB 1*10TAB"/>
        <s v="GLISEN MF 2MG TAB(1) 1*15TAB"/>
        <s v="NEEMWAY SOAP 1*75GM"/>
        <s v="ZYDIP-C LOTION 1*50ML"/>
        <s v="DROTIN-SYP 1*100ML"/>
        <s v="ACENAC-SP TAB 1*10TAB"/>
        <s v="GLUCORYL M 2 TAB 1*15TAB"/>
        <s v="ACENAC-P-TAB 1*15TAB"/>
        <s v="LOPEZ MD 1MG TAB 1*10TAB"/>
        <s v="RAPITUS JUNIOR 100SYP"/>
        <s v="RIFAXIGRESS-400 TAB 1*10TAB"/>
        <s v="GLYCOMET TRIO 2MG TAB(1) 1*10TAB"/>
        <s v="LOSAR 25MG TAB 1*15TAB"/>
        <s v="MAMY POKO NB84 84PTT"/>
        <s v="DABUR GLUCOPLUS-C POWDER 1*1KG"/>
        <s v="OZOTEL TAB 1*30TAB"/>
        <s v="CETAPHIL GENTLE SKIN CLEANSER 1*125ML"/>
        <s v="TELMIDUCE 40MG TAB 1*10TAB"/>
        <s v="I-KUL EYE DROP 1*10ML"/>
        <s v="ISTAMET XR 500MG TAB 1*10TAB"/>
        <s v="THYROX 25 MG TAB 1*120TAB"/>
        <s v="CONCOR COR 2.5MG TAB 1*10TAB"/>
        <s v="NE-C TAB 1*10TAB"/>
        <s v="QSITA M-50/1000MG TAB 1*10TAB"/>
        <s v="BRINZOX EYE DROPS 1*5ML"/>
        <s v="SHELCAL-250MG TAB 1*30TAB"/>
        <s v="DEPLATT 75 TAB 1*15TAB"/>
        <s v="DIAPRIDE-M 0.5MG TAB 1*15TAB"/>
        <s v="SETFRAC CAP 1*10CAP"/>
        <s v="REXIPRA 15MG TAB 1*10TAB"/>
        <s v="VIBITE M 1000MG TAB 1*15TAB"/>
        <s v="FOLITRAX 10MG TAB(1) 1*10TAB"/>
        <s v="HOSIT D3 TAB 1*10"/>
        <s v="TELMED AM TAB(1) 1*10TAB"/>
        <s v="ATEN-AM-TAB(1) 1*14TAB"/>
        <s v="CALCITAS D3 1*4"/>
        <s v="SWICH DROPS 1*10ML"/>
        <s v="REVITAL H TAB 1*30CAP"/>
        <s v="GLYCOMET-1GM TAB 1*15TAB"/>
        <s v="ZORYL-1MG TAB(1) 1*15TAB"/>
        <s v="CARDEXA-25MG TAB 1*10TAB"/>
        <s v="SELOKEN XL 50MG TAB(1) 1*30TAB"/>
        <s v="CERELAC 2 WHEATAPPLE CHEERY 350GM"/>
        <s v="N-FLOX TZ TAB 1*10TAB"/>
        <s v="PEDIASURE 7+ VANILA 1*400GM"/>
        <s v="ROSAVE A 75MG CAP 1*10CAP"/>
        <s v="DAPANORM-TRIO FORTE TAB 1*10TAB"/>
        <s v="TELVAS 40MG TAB 1*15TAB"/>
        <s v="MYMI MAX CAP 1*10TAB"/>
        <s v="DAPAMAC 10MG TAB 1*10TAB"/>
        <s v="ORS RE-HYDRATION DRINK 1*200ML"/>
        <s v="VILDOMISH-M 50/1000MG TAB 1*15TAB"/>
        <s v="UNICONTIN-E-600MG TAB(1) 1*10TAB"/>
        <s v="ATORLIP 10MG TAB(1) 1*15TAB"/>
        <s v="AMBRODIL PLUS RF SYP 100ML 1*100ML"/>
        <s v="MET XL 50MG TAB 1*20TAB"/>
        <s v="CLEARGEL AP GEL 1*15GM"/>
        <s v="SACUVAL 50 TAB 1*10"/>
        <s v="MONIT GTN-2.6MG TAB(1) 1*30TAB"/>
        <s v="MOXICIP EYE DROPS 5ML 1*5ML"/>
        <s v="JALRA 50 TAB 1*15"/>
        <s v="SITAXA M 50/500MG TAB 1*15TAB"/>
        <s v="JANUMET-50/500MG TAB(1) 1*15TAB"/>
        <s v="DYTOR-10MG TAB 1*15TAB"/>
        <s v="CETANIL-M 50MG TAB 1*10TAB"/>
        <s v="SPINFREE TAB 1*15TAB"/>
        <s v="NAVRATNA COOL TALC POWDER 1*100GM"/>
        <s v="CALPOL PD DROPS 1*15ML"/>
        <s v="AMLOPRES AT 25 TAB(1) 1*15TAB"/>
        <s v="AMBRODIL LS SYP 1*100ML"/>
        <s v="TELVAS H 40 TABS 1*10TAB"/>
        <s v="REXCOF DX SYR 60ML"/>
        <s v="TRIOLMESAR 40MG TAB(1) 1*10TAB"/>
        <s v="VERTIN-16-TAB 1*15TAB"/>
        <s v="SOMPRAZ-IT CAP 1*10CAP"/>
        <s v="PETRIL BETA 20MG 1*15TAB"/>
        <s v="OPHTHA CARE EYE DROP 1*10ML"/>
        <s v="GLUCONORM SR 500MG TAB 1*15TAB"/>
        <s v="DEXONA TAB 1*30TAB"/>
        <s v="TENTEX-FORTE TAB 1*10TAB"/>
        <s v="ASCABIOL EMULSION 1*100ML"/>
        <s v="APTAMIL-GOLD 2 REFIL 1*400GM"/>
        <s v="TRIVOSE 2/02 TAB 1*15"/>
        <s v="LUMIA 60K CAP 1*8CAP"/>
        <s v="GLUCONORM PG 2MG TAB 1*15TAB"/>
        <s v="SITAHENZ DM 1000MG TAB 1*10TAB"/>
        <s v="DAPACOSE 10 TAB 1*10TAB"/>
        <s v="AMLOSAFE-5MG TAB(1) 1*15TAB"/>
        <s v="DELTONE-60MG CAP 1*10CAP"/>
        <s v="O2-SYP 1*60ML"/>
        <s v="MORISON STEEL FEEDIG 200ML"/>
        <s v="CIPLAR 40MG TAB(1) 1*15TAB"/>
        <s v="ELBOW CRUTCH ADJ 1*1PCC"/>
        <s v="HIMALAYA BABY POWDER 1*50GM."/>
        <s v="SITOPLADI CHURNA 1*30GM"/>
        <s v="HONEY 50GM 50GM"/>
        <s v="SITAGLO-M 50/500MG 1*15TAB"/>
        <s v="OLYMPRIX-20MG TAB 1*15TAB"/>
        <s v="SOFTOVAC POWDER 1*100GM"/>
        <s v="HITAP ER 50MG TAB 1*15TAB"/>
        <s v="OCUREST AH EYE DROP 1*10ML"/>
        <s v="CRINA-NCR 10MG TAB 1*10TAB"/>
        <s v="AMTAS M 25MG TAB 1*15TAB"/>
        <s v="TAXIM O DRY SYP 1*30ML"/>
        <s v="CHYAWANPRASH P 1KG"/>
        <s v="PEPTARD-D CAP 1*10TAB"/>
        <s v="GLYREE M 2MG TAB(1) 1*10TAB"/>
        <s v="SUGAR FREE GOLD POWDER 200SPOONS"/>
        <s v="CALCIMAX TOTAL TAB 1*15TAB"/>
        <s v="OLMESAR-H-40MG TAB(1) 1*15TAB"/>
        <s v="AQUAZIDE-25MG TAB(1) 1*10TAB"/>
        <s v="MICRODOX LBX CAP 1*10CAP"/>
        <s v="GLUCONORM P 15MG TAB 1*10TAB"/>
        <s v="KIMET XL 25MG TAB 1*10TAB"/>
        <s v="DYTOR PLUS 5MG TAB(1) 1*15TAB"/>
        <s v="DISPERZYME TAB 1*10TAB"/>
        <s v="GLYCOMET-850MG TAB 1*10TAB"/>
        <s v="NASOCLEAR NASAL SPRAY 1*20ML"/>
        <s v="FORACORT 200 SYNCHROBREATHE 1*120"/>
        <s v="PROSTAGARD 8 CAP 1*10CAP"/>
        <s v="PAN-40-TAB 1*15TAB"/>
        <s v="VOGLI-GM 2MG TAB(1) 1*10TAB"/>
        <s v="TELMIKIND-20MG TAB 1*10TAB"/>
        <s v="GLYCIPHAGE SR 500MG TAB 1*10TAB"/>
        <s v="RECLIMET XR TAB(1) 1*14TAB"/>
        <s v="ROSEDAY A 20MG TAB 1*10TAB"/>
        <s v="ASCORIL D PLUS SYP 1*100ML"/>
        <s v="STRESNIL-0.5MG TAB(1) 1*10TAB"/>
        <s v="V WASH 20ML 1*20ML"/>
        <s v="RIBOCIN-LB TAB 1*10TAB"/>
        <s v="REDOTIL-CAP 1*15CAP"/>
        <s v="TELMIKIND-AMH TAB(1) 1*10TAB"/>
        <s v="AKT-4 TAB 1*1TAB"/>
        <s v="L HIST MONT TAB 1*15TAB"/>
        <s v="EUREPA V 1/0.3MG TAB 1*10TAB"/>
        <s v="DISPOVAN SYRINGE 2ML 1*2ML"/>
        <s v="HIMALAYA NEEM FACE WASH 1*300ML"/>
        <s v="NEUROKEM D 50/20MG TAB 1*10TAB"/>
        <s v="LACTIHEP-PLUS-SYP 1*250ML"/>
        <s v="HCQS-200MG TAB 1*15TAB"/>
        <s v="CETANIL TRIO 12.5 TAB(1) 1*10TAB"/>
        <s v="TENLIMAC TAB 1*10TAB"/>
        <s v="TRIPHALA CHURNA  120GMS 1*120GMS"/>
        <s v="XAFINACT 50MG TAB 1*10TAB"/>
        <s v="GLUCONORM-G 4MG FORTE TAB 1*15TAB"/>
        <s v="TORGET-PLUS-10MG TAB 1*10TAB"/>
        <s v="FEBUGET 40MG TAB 1*15TAB"/>
        <s v="GLUVILDA-M+ 500MG TAB 1*15TAB"/>
        <s v="CALAPTIN-40MG TAB 1*30TAB"/>
        <s v="SPEED HEIGHT CAP 1*20CAP"/>
        <s v="OROFER XT TAB 1*10TAB"/>
        <s v="PRUVICT 2MG TAB 1*10TAB"/>
        <s v="CONFIDO TAB 1*60TAB"/>
        <s v="MIRAKEM 50 TAB 1*10"/>
        <s v="D-VENIZ-50 TAB 1*10TAB"/>
        <s v="ZORYL-M 3MG TAB(1) 1*10TAB"/>
        <s v="FAST RELIEF 1*25GM"/>
        <s v="ACCU-CHEK ACTIVE 10STRIPS 1*10STRP"/>
        <s v="CEFOLAC 0Z TAB 1*10TAB"/>
        <s v="ZINCOVIT-TAB 1*15TAB"/>
        <s v="NITYAM TAB 1*10TAB"/>
        <s v="MONTINA-L TAB 1*10TAB"/>
        <s v="RANOZEX TAB 1*10TAB"/>
        <s v="WANISH CREAM 1*25GM"/>
        <s v="RABALKEM LS TAB 1*10TAB"/>
        <s v="CILAMET XL 10/50 MG TAB 1*10TAB"/>
        <s v="BACTRIM-DS-TAB 1*10TAB"/>
        <s v="RAMITORVA CAP(1) 1*10CAP"/>
        <s v="HATRIC-2-SYP 1*60ML"/>
        <s v="ROZAVEL-10MG TAB(1) 1*10TAB"/>
        <s v="MAMYPOKO PANTS (M30) 1*30PCS"/>
        <s v="POLYCID SYP 1*70ML"/>
        <s v="TORVATE CHRONO 500MG 1*10TAB"/>
        <s v="GABANEURON NT 300 TAB 1*15TAB"/>
        <s v="LYNX INJ 1*2ML"/>
        <s v="BRAHMI TAB 1*60TAB"/>
        <s v="HIFENAC SP TAB 1*10TAB"/>
        <s v="EFNOCAR-T 20/40MG TAB 1*10TAB"/>
        <s v="DILNIP-TRIO-TAB 1*10TAB"/>
        <s v="TURBOVAS-20MG TAB 1*15TAB"/>
        <s v="NEUROKEM PLUS CAP(1) 1*10CAP"/>
        <s v="GEMER-2MG TAB 1*15TAB"/>
        <s v="ROPARK XL 2MG TAB 1*10TAB"/>
        <s v="CARDACE 10MG TAB(1) 1*10TAB"/>
        <s v="REMYLIN D TAB 1*10TAB"/>
        <s v="PRED FORTE EYE DROP 1*10ML"/>
        <s v="SAT ISABGOL 500GM 500GM"/>
        <s v="JOHNSONS BABY OIL 75 1*50M"/>
        <s v="MOMATE F CREAM 1*15GM"/>
        <s v="HONITUS GINGER 100PS"/>
        <s v="SINAREST VAPOCAPS 1*10CAP"/>
        <s v="DYDROGEST-ER 20MG TAB 1*10TAB"/>
        <s v="RIFAGUT 550MG TAB 1*10TAB"/>
        <s v="NEXOVAS O 40 TAB 1*10"/>
        <s v="RANOGARD-500MG TAB 1*10TAB"/>
        <s v="ZERODOL TAB 1*10TAB"/>
        <s v="TAH 40MG TAB 1*15TAB"/>
        <s v="CALPOL 650MG TAB 1*15TAB"/>
        <s v="EMTY-PEG-SYP 1*200ML"/>
        <s v="APDROPS KT EYE DROP 1*5ML"/>
        <s v="OBIMET GX 1MG TAB 1*15TAB"/>
        <s v="LIBRAX TAB 1*20TAB"/>
        <s v="TUMMY-SOFT-SYP 1*50ML"/>
        <s v="RABEKIND DSR CAP(1) 1*10CAP"/>
        <s v="BUDETROL FORTE INHALATION 1*120MD"/>
        <s v="R CINEX  TAB 1*10"/>
        <s v="TELMIKIND-TRIO 12.5 TAB 1*10TAB"/>
        <s v="GLIZID M TAB(1) 1*15TAB"/>
        <s v="GEPRIDE M 2MG TAB 1*10TAB"/>
        <s v="GEMINOR M 2MG TAB 1*15TAB"/>
        <s v="BRILINTA-90MG TAB 1*14TAB"/>
        <s v="GP-2MG TAB(1) 1*10TAB"/>
        <s v="MEDISALIC SOAP 1*100GM"/>
        <s v="GLADOR M 2MG TAB 1*15TAB"/>
        <s v="ASOMEX D TAB 1*15TAB"/>
        <s v="LIVOLUCK(RF) FIBRE 180GM"/>
        <s v="ONDEM 4MG TAB 1*10TAB"/>
        <s v="DIZONE TAB 1*10TAB"/>
        <s v="VOAGE GM 2 TAB 1*10"/>
        <s v="PANTOCID-L CAP 1*10CAP"/>
        <s v="OSIL CAP 1*10CAP"/>
        <s v="LULIBET CREAM 1*30GM"/>
        <s v="DEROBIN OINT 1*30GM"/>
        <s v="MACZORB TAB 1*10TAB"/>
        <s v="TELMA 20MG TAB 1*30TAB"/>
        <s v="BANDY TAB 1*1TAB"/>
        <s v="BREAZE L TAB(1) 1*10TAB"/>
        <s v="TELVAS AM TAB 1*15TAB"/>
        <s v="TRINEXOVAS 40MG TAB 1*15TAB"/>
        <s v="ACOGUT TAB 1*15TAB"/>
        <s v="MONTINA L SYP 1*60ML"/>
        <s v="CALCIQUICK D3 1*4"/>
        <s v="OZOMET-PG 2MG TAB 1*15TAB"/>
        <s v="LIPAGLYN 4MG TAB 1*10TAB"/>
        <s v="TELISTA-AM TAB(1) 1*15TAB"/>
        <s v="JUSTOZA S/10/100 1*15"/>
        <s v="KT5DERM CREAM 1*15GM"/>
        <s v="BED PEN (PLASTIC) 1*1PSC"/>
        <s v="ABIWORM SYP 10ML"/>
        <s v="MONTAIR LC TAB 1*15TAB"/>
        <s v="MACTOR 10MG TAB(1) 1*10TAB"/>
        <s v="TOFE 5MG TAB 1*10TAB"/>
        <s v="MIRTAZ 7.5MG TAB 1*10TAB"/>
        <s v="ROSEDAY F 20MG TAB(1) 1*10TAB"/>
        <s v="SOFY ANTIBACTERIA OVER NIGHT 1*15PADS"/>
        <s v="SIMILIA PAIN KILLER OIL 1*100ML"/>
        <s v="HUMINSULIN REGULAR 40IU 1*1"/>
        <s v="MYOPROL XL 25MG TAB(1) 1*10TAB"/>
        <s v="VILDOMISH-M 50/500MG TAB 1*15TAB"/>
        <s v="BUDECORT 100 INHALER(1) 1*200MD"/>
        <s v="ALNITRO-2.6MG TAB 1*30TAB"/>
        <s v="MUCAINE GEL/ORANGE/ 200ML"/>
        <s v="TRIOPIL-1MG TAB(1) 1*10TAB"/>
        <s v="DAPANORM M 10MG TAB 1*10TAB"/>
        <s v="MAHAFLOX-D EYE DROP 1*5ML"/>
        <s v="MONET LC SYR 1*30ML"/>
        <s v="SITAHENZ-100MG TAB 1*10TAB"/>
        <s v="CLOBA 5MG TAB(1) 1*15TAB"/>
        <s v="THEO ASTHALIN FORTE TAB 1*20TAB"/>
        <s v="CEHAM P TAB(1) 1*10TAB"/>
        <s v="OPIPROL 50MG TAB(1) 1*10TAB"/>
        <s v="AZEFLO NASAL SPRAY 1*70MD"/>
        <s v="NEXITO-PLUS-TAB 1*10TAB"/>
        <s v="NATRISE 15MG TAB 1*4TAB"/>
        <s v="MIRAGO 50MG TAB 1*10TAB"/>
        <s v="OMNIGEL OINT 1*50GM"/>
        <s v="POLYBION LC 300ML 1*300ML"/>
        <s v="FLUTICORT F 250 INHAL(1) 1*120MD"/>
        <s v="DAJIO M 1000MG TAB 1*10TAB"/>
        <s v="OXETOL 300MG TAB(1) 1*10TAB"/>
        <s v="CANDID-POWDER 1*100GM"/>
        <s v="CAVIT 500  TAB 1*15TAB"/>
        <s v="BABY WIPES FLOW PACK 72 1*72PCS"/>
        <s v="METHYCOBAL 500MG TAB 1*15TAB"/>
        <s v="BILASURE 20MG TAB 1*10TAB"/>
        <s v="TRIGLYNASE-2MG TAB 1*10TAB"/>
        <s v="PROPYSALIC-NF OINT 1*30GM"/>
        <s v="ATOCOR 20MG TAB 1*14TAB"/>
        <s v="CORTEL 3D TAB 1*10TAB"/>
        <s v="PIVASTA-2MG TAB(1) 1*10TAB"/>
        <s v="KENACORT 4MG TAB 1*15TAB"/>
        <s v="OBIMET-GX-2-FORTE-TAB 1*10TAB"/>
        <s v="MAMYPOKO PANTS XXL 1*8PANTS"/>
        <s v="HIMALAYA BABY CREAM 1*50ML"/>
        <s v="KIT KAT-20 1*1PCS"/>
        <s v="RACIRAFT SYP 1*200ML"/>
        <s v="WIKORYL-AF DROP 1*15ML"/>
        <s v="VORXAR TAB 1*10TAB"/>
        <s v="SHELCAL 500(BOTTLE) (40TAB)"/>
        <s v="UDILIV 150MG TAB 1*15TAB"/>
        <s v="MOTHER'S PLUS HORLICKS 1*500GM"/>
        <s v="RUTALIN-BR TAB 1*10TAB"/>
        <s v="FARO XT TAB 1*10TAB"/>
        <s v="CARDACE 2.5MG TAB(1) 1*15TAB"/>
        <s v="LINVAS 4MG TAB 1*10TAB"/>
        <s v="LEVERA-750MG TAB(1) 1*10TAB"/>
        <s v="COTARYL CREAM 1*50GM"/>
        <s v="P-100 DROPS 1*15ML"/>
        <s v="MACSITA-M XR 50/500MG TAB 1*10TAB"/>
        <s v="KETOZEN SOAP 1*75GM"/>
        <s v="LACTEVA GRANULES 1*200GM"/>
        <s v="METROGYL 200MG TAB 1*15TAB"/>
        <s v="GLIMICURE M-1MG TAB 1*15TAB"/>
        <s v="PARI-CR-12.5-TAB 1*15TAB"/>
        <s v="MONOTRATE SR 30MG TAB 1*10TAB"/>
        <s v="DOLOKIND PLUS TAB 1*10TAB"/>
        <s v="QSITA-DM 500MG TAB 1*15TAB"/>
        <s v="CANDID B LOTION 10ML"/>
        <s v="CREVAST 20MG TAB 1*15TAB"/>
        <s v="ORTHOGAT OIL 200ML"/>
        <s v="TOPP 40 TAB 1*10TAB"/>
        <s v="SANITIZR 100ML 100ML"/>
        <s v="UPRISE-D3 DROPS 1*15ML"/>
        <s v="BON K2 TAB 1*10TAB"/>
        <s v="ELTROXIN-100MCG-TAB 1*120TAB"/>
        <s v="ENSURE DIABETIC VAN 375GM REF 375GM"/>
        <s v="ZOCON-400MG TAB 1*1TAB"/>
        <s v="VERTIN-24-TAB 1*15TAB"/>
        <s v="GRANDPRIDE MV 2MG TAB 1*10TAB"/>
        <s v="STICK L TYPE 1*1PCC"/>
        <s v="TORVIGRESS 100MG TAB(1) 1*10TAB"/>
        <s v="GLIPY-D TAB 1*15TAB"/>
        <s v="DERIPHYLLIN RETARD 150 TAB(1) 1*30TAB"/>
        <s v="HIMALAYA BABY SOAP(REFRESHING) 1*75GM"/>
        <s v="KLM KLIN FACE WASH 1*100GM"/>
        <s v="JOHNSON'S BABY OIL 1*100ML"/>
        <s v="WIFI MT TAB(1) 1*10TAB"/>
        <s v="CROCIN-TAB 1*20TAB"/>
        <s v="MIGRABETA TR 40MG TAB 1*15TAB"/>
        <s v="TELVAS H-80/12.5MG TAB(1) 1*10TAB"/>
        <s v="TRIKA 0.25MG TABS 1*15"/>
        <s v="NERVITE XT TAB 1*10TAB"/>
        <s v="TORSID-10MG TAB(1) 1*10TAB"/>
        <s v="DILZEM CD 90MG TAB(1) 1*10TAB"/>
        <s v="JUNIOR LANZOL 15MG TAB 1*15TAB"/>
        <s v="TELMA AMH 40MG 1*15TAB"/>
        <s v="COBADEX CZS TAB 1*15TAB"/>
        <s v="ENZAR FORTE TAB 1*15TAB"/>
        <s v="ZENTEL TAB 1*1TAB"/>
        <s v="ISTAMET D-XR 500MG TAB 1*7TAB"/>
        <s v="BENFO-PLUS-TAB(1) 1*10TAB"/>
        <s v="STAMLO-5MG TAB 1*30TAB"/>
        <s v="CEFTUM 500MG TAB 1*4TAB"/>
        <s v="GLISEN MF FORTE 1 1*15TAB"/>
        <s v="PROLOMET-XL 50MG TAB 1*10TAB"/>
        <s v="BILASURE M 40 TAB 1*10"/>
        <s v="REJUNEX CD3 TAB 1*10TAB"/>
        <s v="RICONIA LP TAB 1*30TAB"/>
        <s v="BANOCIDE FORTE TAB 1*30TAB"/>
        <s v="VELFU TAB 1*10TAB"/>
        <s v="CLAVIX 75MG TAB(1) 1*15TAB"/>
        <s v="AMLOSAFE-AT-TAB(1) 1*15TAB"/>
        <s v="SWICH CV 325MG TAB 1*10TAB"/>
        <s v="NORTIPAN M TAB(1) 1*10TAB"/>
        <s v="OMNACORTIL 20MG TAB(1) 1*10TAB"/>
        <s v="VILDAGARD M 50/500MG TAB 1*15TAB"/>
        <s v="CILACAR M 10/25 TAB 1*10TAB"/>
        <s v="TRAJENTA DUO 2.5/500MG TAB 1*10TAB"/>
        <s v="PIOZ-15MG TAB 1*10TAB"/>
        <s v="HEPAKIND 300MG TAB 1*10TAB"/>
        <s v="ZITA-DM 500MG TAB 1*15TAB"/>
        <s v="OZOMET-PG 1MG TAB 1*15TAB"/>
        <s v="VILDAMAC 50MG TAB 1*15TAB"/>
        <s v="WARF 1MG TAB 1*30TAB"/>
        <s v="MET XL TRIO 50MG TAB 1*10TAB"/>
        <s v="ANAFORTAN TAB 1*15TAB"/>
        <s v="ABVIDA-D 100/10MG TAB 1*10TAB"/>
        <s v="LIZOFORCE 600MG TAB 1*4TAB"/>
        <s v="EUREPA V 0.5/0.2MG TAB 1*10TAB"/>
        <s v="ABEVIA-N TAB 1*10TAB"/>
        <s v="TELMA BETA-25MG TAB 1*10TAB"/>
        <s v="ASOMEX 5MG TAB 1*15TAB"/>
        <s v="HB 29 X TAB 1*10TAB"/>
        <s v="JBTOR 10MG TAB 1*10TAB"/>
        <s v="GLIMY MV 2MG TAB 1*10TAB"/>
        <s v="PREGABID NT TAB 1*15TAB"/>
        <s v="MEDROL 4MG TAB(1) 1*10TAB"/>
        <s v="KOFLET H TAB 1*6TAB"/>
        <s v="GANATON 50MG TAB 1*10TAB"/>
        <s v="AUGMENTIN 625MG TAB 1*10TAB"/>
        <s v="BREVIPIL 50MG TAB 1*10TAB"/>
        <s v="GEPRIDE M 2MG FORTE TAB 1*10TAB"/>
        <s v="VOGLISTAR MD 0.3TAB 1*15TAB"/>
        <s v="DART-TAB 1*15TAB"/>
        <s v="FARORIGHT-200MG TAB 1*10TAB"/>
        <s v="GLIMISAVE MV 3.3 F TAB 1*15TAB"/>
        <s v="REVITAL-H(WOMAN) 1*10TAB"/>
        <s v="NULONG 5MG TAB(1) 1*10TAB"/>
        <s v="OLSAR 40MG TAB 1*10TAB"/>
        <s v="METOCARD XL 25MG TAB 1*10TAB"/>
        <s v="DAFLON 500MG TAB 1*10TAB"/>
        <s v="ZENOXA-600MG TAB(1) 1*10TAB"/>
        <s v="GLIMESTAR 2MG TAB(1) 1*10TAB"/>
        <s v="ATEN-50MG TAB(1) 1*14TAB"/>
        <s v="TELPRES LN 40 TAB 1*10TAB"/>
        <s v="REKOOL-20MG TAB 1*15TAB"/>
        <s v="GLYCOMET-GP 2MG TAB(1) 1*15TAB"/>
        <s v="OLSAR CH 40/12.5MG TAB 1*10TAB"/>
        <s v="BISOHEART-2.5-TAB 1*10TAB"/>
        <s v="DEPRAN-10MG TAB 1*15TAB"/>
        <s v="DYTOR E 10MG TAB 1*10TAB"/>
        <s v="MINIPRESS XL 2.5MG TAB(1) 1*30TAB"/>
        <s v="GLUCONORM SR 1GM TAB 1*15TAB"/>
      </sharedItems>
    </cacheField>
    <cacheField name="Stock" numFmtId="0">
      <sharedItems containsString="0" containsBlank="1" containsNumber="1" containsInteger="1" minValue="-225" maxValue="720"/>
    </cacheField>
    <cacheField name="Stock Days" numFmtId="0">
      <sharedItems containsString="0" containsBlank="1" containsNumber="1" containsInteger="1" minValue="0" maxValue="30"/>
    </cacheField>
    <cacheField name="Sale" numFmtId="0">
      <sharedItems containsString="0" containsBlank="1" containsNumber="1" containsInteger="1" minValue="1" maxValue="1920"/>
    </cacheField>
    <cacheField name="No of Tran" numFmtId="0">
      <sharedItems containsString="0" containsBlank="1" containsNumber="1" containsInteger="1" minValue="1" maxValue="72"/>
    </cacheField>
    <cacheField name="Days Tran" numFmtId="0">
      <sharedItems containsString="0" containsBlank="1" containsNumber="1" containsInteger="1" minValue="1" maxValue="25"/>
    </cacheField>
    <cacheField name="Date" numFmtId="14">
      <sharedItems containsSemiMixedTypes="0" containsNonDate="0" containsDate="1" containsString="0" minDate="2026-03-01T00:00:00" maxDate="2026-03-08T00:00:00" count="7">
        <d v="2026-03-02T00:00:00"/>
        <d v="2026-03-01T00:00:00"/>
        <d v="2026-03-07T00:00:00"/>
        <d v="2026-03-03T00:00:00"/>
        <d v="2026-03-06T00:00:00"/>
        <d v="2026-03-05T00:00:00"/>
        <d v="2026-03-04T00:00:00"/>
      </sharedItems>
    </cacheField>
    <cacheField name="Day" numFmtId="14">
      <sharedItems count="7">
        <s v="Thursday"/>
        <s v="Saturday"/>
        <s v="Wednesday"/>
        <s v="Monday"/>
        <s v="Friday"/>
        <s v="Tuesday"/>
        <s v="Sunday"/>
      </sharedItems>
    </cacheField>
    <cacheField name="MRP" numFmtId="0">
      <sharedItems containsSemiMixedTypes="0" containsString="0" containsNumber="1" containsInteger="1" minValue="60" maxValue="799"/>
    </cacheField>
    <cacheField name="Revenue" numFmtId="0">
      <sharedItems containsSemiMixedTypes="0" containsString="0" containsNumber="1" containsInteger="1" minValue="0" maxValue="170880"/>
    </cacheField>
  </cacheFields>
  <extLst>
    <ext xmlns:x14="http://schemas.microsoft.com/office/spreadsheetml/2009/9/main" uri="{725AE2AE-9491-48be-B2B4-4EB974FC3084}">
      <x14:pivotCacheDefinition pivotCacheId="23235687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chaudhary" refreshedDate="46130.862922337961" backgroundQuery="1" createdVersion="8" refreshedVersion="8" minRefreshableVersion="3" recordCount="0" supportSubquery="1" supportAdvancedDrill="1" xr:uid="{630A414C-5A61-4251-AE0F-FE0A6E9B2965}">
  <cacheSource type="external" connectionId="2"/>
  <cacheFields count="2">
    <cacheField name="[Measures].[Sum of Sale]" caption="Sum of Sale" numFmtId="0" hierarchy="18" level="32767"/>
    <cacheField name="[Table1].[Inventory Status].[Inventory Status]" caption="Inventory Status" numFmtId="0" hierarchy="12" level="1">
      <sharedItems containsSemiMixedTypes="0" containsNonDate="0" containsString="0"/>
    </cacheField>
  </cacheFields>
  <cacheHierarchies count="21">
    <cacheHierarchy uniqueName="[Range].[40282]" caption="40282" attribute="1" defaultMemberUniqueName="[Range].[40282].[All]" allUniqueName="[Range].[40282].[All]" dimensionUniqueName="[Range]" displayFolder="" count="0" memberValueDatatype="20" unbalanced="0"/>
    <cacheHierarchy uniqueName="[Table1].[Item Name]" caption="Item Name" attribute="1" defaultMemberUniqueName="[Table1].[Item Name].[All]" allUniqueName="[Table1].[Item Name].[All]" dimensionUniqueName="[Table1]" displayFolder="" count="0" memberValueDatatype="130" unbalanced="0"/>
    <cacheHierarchy uniqueName="[Table1].[Stock]" caption="Stock" attribute="1" defaultMemberUniqueName="[Table1].[Stock].[All]" allUniqueName="[Table1].[Stock].[All]" dimensionUniqueName="[Table1]" displayFolder="" count="0" memberValueDatatype="20" unbalanced="0"/>
    <cacheHierarchy uniqueName="[Table1].[Stock Days]" caption="Stock Days" attribute="1" defaultMemberUniqueName="[Table1].[Stock Days].[All]" allUniqueName="[Table1].[Stock Days].[All]" dimensionUniqueName="[Table1]" displayFolder="" count="0" memberValueDatatype="20" unbalanced="0"/>
    <cacheHierarchy uniqueName="[Table1].[Sale]" caption="Sale" attribute="1" defaultMemberUniqueName="[Table1].[Sale].[All]" allUniqueName="[Table1].[Sale].[All]" dimensionUniqueName="[Table1]" displayFolder="" count="0" memberValueDatatype="20" unbalanced="0"/>
    <cacheHierarchy uniqueName="[Table1].[No of Tran]" caption="No of Tran" attribute="1" defaultMemberUniqueName="[Table1].[No of Tran].[All]" allUniqueName="[Table1].[No of Tran].[All]" dimensionUniqueName="[Table1]" displayFolder="" count="0" memberValueDatatype="20" unbalanced="0"/>
    <cacheHierarchy uniqueName="[Table1].[Days Tran]" caption="Days Tran" attribute="1" defaultMemberUniqueName="[Table1].[Days Tran].[All]" allUniqueName="[Table1].[Days Tran].[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Column1]" caption="Column1" attribute="1" defaultMemberUniqueName="[Table1].[Column1].[All]" allUniqueName="[Table1].[Column1].[All]" dimensionUniqueName="[Table1]" displayFolder="" count="0" memberValueDatatype="130" unbalanced="0"/>
    <cacheHierarchy uniqueName="[Table1].[MRP]" caption="MRP" attribute="1" defaultMemberUniqueName="[Table1].[MRP].[All]" allUniqueName="[Table1].[MRP].[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Clean Stock]" caption="Clean Stock" attribute="1" defaultMemberUniqueName="[Table1].[Clean Stock].[All]" allUniqueName="[Table1].[Clean Stock].[All]" dimensionUniqueName="[Table1]" displayFolder="" count="0" memberValueDatatype="20" unbalanced="0"/>
    <cacheHierarchy uniqueName="[Table1].[Inventory Status]" caption="Inventory Status" attribute="1" defaultMemberUniqueName="[Table1].[Inventory Status].[All]" allUniqueName="[Table1].[Inventory Status].[All]" dimensionUniqueName="[Table1]" displayFolder="" count="2" memberValueDatatype="130" unbalanced="0">
      <fieldsUsage count="2">
        <fieldUsage x="-1"/>
        <fieldUsage x="1"/>
      </fieldsUsage>
    </cacheHierarchy>
    <cacheHierarchy uniqueName="[Measures].[Sales]" caption="Sales" measure="1" displayFolder="" measureGroup="Range" count="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tem Name]" caption="Count of Item Name" measure="1" displayFolder="" measureGroup="Table1" count="0" hidden="1">
      <extLst>
        <ext xmlns:x15="http://schemas.microsoft.com/office/spreadsheetml/2010/11/main" uri="{B97F6D7D-B522-45F9-BDA1-12C45D357490}">
          <x15:cacheHierarchy aggregatedColumn="1"/>
        </ext>
      </extLst>
    </cacheHierarchy>
    <cacheHierarchy uniqueName="[Measures].[Sum of Sale]" caption="Sum of Sale"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0"/>
        </ext>
      </extLst>
    </cacheHierarchy>
    <cacheHierarchy uniqueName="[Measures].[Sum of MRP]" caption="Sum of MRP"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chaudhary" refreshedDate="46130.862922569446" backgroundQuery="1" createdVersion="8" refreshedVersion="8" minRefreshableVersion="3" recordCount="0" supportSubquery="1" supportAdvancedDrill="1" xr:uid="{82A15CD0-FDBC-4735-89FC-F8566A8BBDDC}">
  <cacheSource type="external" connectionId="2"/>
  <cacheFields count="2">
    <cacheField name="[Measures].[Sum of Revenue]" caption="Sum of Revenue" numFmtId="0" hierarchy="19" level="32767"/>
    <cacheField name="[Table1].[Inventory Status].[Inventory Status]" caption="Inventory Status" numFmtId="0" hierarchy="12" level="1">
      <sharedItems containsSemiMixedTypes="0" containsNonDate="0" containsString="0"/>
    </cacheField>
  </cacheFields>
  <cacheHierarchies count="21">
    <cacheHierarchy uniqueName="[Range].[40282]" caption="40282" attribute="1" defaultMemberUniqueName="[Range].[40282].[All]" allUniqueName="[Range].[40282].[All]" dimensionUniqueName="[Range]" displayFolder="" count="0" memberValueDatatype="20" unbalanced="0"/>
    <cacheHierarchy uniqueName="[Table1].[Item Name]" caption="Item Name" attribute="1" defaultMemberUniqueName="[Table1].[Item Name].[All]" allUniqueName="[Table1].[Item Name].[All]" dimensionUniqueName="[Table1]" displayFolder="" count="0" memberValueDatatype="130" unbalanced="0"/>
    <cacheHierarchy uniqueName="[Table1].[Stock]" caption="Stock" attribute="1" defaultMemberUniqueName="[Table1].[Stock].[All]" allUniqueName="[Table1].[Stock].[All]" dimensionUniqueName="[Table1]" displayFolder="" count="0" memberValueDatatype="20" unbalanced="0"/>
    <cacheHierarchy uniqueName="[Table1].[Stock Days]" caption="Stock Days" attribute="1" defaultMemberUniqueName="[Table1].[Stock Days].[All]" allUniqueName="[Table1].[Stock Days].[All]" dimensionUniqueName="[Table1]" displayFolder="" count="0" memberValueDatatype="20" unbalanced="0"/>
    <cacheHierarchy uniqueName="[Table1].[Sale]" caption="Sale" attribute="1" defaultMemberUniqueName="[Table1].[Sale].[All]" allUniqueName="[Table1].[Sale].[All]" dimensionUniqueName="[Table1]" displayFolder="" count="0" memberValueDatatype="20" unbalanced="0"/>
    <cacheHierarchy uniqueName="[Table1].[No of Tran]" caption="No of Tran" attribute="1" defaultMemberUniqueName="[Table1].[No of Tran].[All]" allUniqueName="[Table1].[No of Tran].[All]" dimensionUniqueName="[Table1]" displayFolder="" count="0" memberValueDatatype="20" unbalanced="0"/>
    <cacheHierarchy uniqueName="[Table1].[Days Tran]" caption="Days Tran" attribute="1" defaultMemberUniqueName="[Table1].[Days Tran].[All]" allUniqueName="[Table1].[Days Tran].[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Column1]" caption="Column1" attribute="1" defaultMemberUniqueName="[Table1].[Column1].[All]" allUniqueName="[Table1].[Column1].[All]" dimensionUniqueName="[Table1]" displayFolder="" count="0" memberValueDatatype="130" unbalanced="0"/>
    <cacheHierarchy uniqueName="[Table1].[MRP]" caption="MRP" attribute="1" defaultMemberUniqueName="[Table1].[MRP].[All]" allUniqueName="[Table1].[MRP].[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Clean Stock]" caption="Clean Stock" attribute="1" defaultMemberUniqueName="[Table1].[Clean Stock].[All]" allUniqueName="[Table1].[Clean Stock].[All]" dimensionUniqueName="[Table1]" displayFolder="" count="0" memberValueDatatype="20" unbalanced="0"/>
    <cacheHierarchy uniqueName="[Table1].[Inventory Status]" caption="Inventory Status" attribute="1" defaultMemberUniqueName="[Table1].[Inventory Status].[All]" allUniqueName="[Table1].[Inventory Status].[All]" dimensionUniqueName="[Table1]" displayFolder="" count="2" memberValueDatatype="130" unbalanced="0">
      <fieldsUsage count="2">
        <fieldUsage x="-1"/>
        <fieldUsage x="1"/>
      </fieldsUsage>
    </cacheHierarchy>
    <cacheHierarchy uniqueName="[Measures].[Sales]" caption="Sales" measure="1" displayFolder="" measureGroup="Range" count="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tem Name]" caption="Count of Item Name" measure="1" displayFolder="" measureGroup="Table1" count="0" hidden="1">
      <extLst>
        <ext xmlns:x15="http://schemas.microsoft.com/office/spreadsheetml/2010/11/main" uri="{B97F6D7D-B522-45F9-BDA1-12C45D357490}">
          <x15:cacheHierarchy aggregatedColumn="1"/>
        </ext>
      </extLst>
    </cacheHierarchy>
    <cacheHierarchy uniqueName="[Measures].[Sum of Sale]" caption="Sum of Sale" measure="1" displayFolder="" measureGroup="Table1"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MRP]" caption="Sum of MRP"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chaudhary" refreshedDate="46130.862923379631" backgroundQuery="1" createdVersion="8" refreshedVersion="8" minRefreshableVersion="3" recordCount="0" supportSubquery="1" supportAdvancedDrill="1" xr:uid="{F01CF463-F701-4F9F-988E-9DE6F6286E43}">
  <cacheSource type="external" connectionId="2"/>
  <cacheFields count="2">
    <cacheField name="[Table1].[Inventory Status].[Inventory Status]" caption="Inventory Status" numFmtId="0" hierarchy="12" level="1">
      <sharedItems count="2">
        <s v="Low Stock"/>
        <s v="OK"/>
      </sharedItems>
    </cacheField>
    <cacheField name="[Measures].[Count of Item Name]" caption="Count of Item Name" numFmtId="0" hierarchy="17" level="32767"/>
  </cacheFields>
  <cacheHierarchies count="21">
    <cacheHierarchy uniqueName="[Range].[40282]" caption="40282" attribute="1" defaultMemberUniqueName="[Range].[40282].[All]" allUniqueName="[Range].[40282].[All]" dimensionUniqueName="[Range]" displayFolder="" count="2" memberValueDatatype="20" unbalanced="0"/>
    <cacheHierarchy uniqueName="[Table1].[Item Name]" caption="Item Name" attribute="1" defaultMemberUniqueName="[Table1].[Item Name].[All]" allUniqueName="[Table1].[Item Name].[All]" dimensionUniqueName="[Table1]" displayFolder="" count="2" memberValueDatatype="130" unbalanced="0"/>
    <cacheHierarchy uniqueName="[Table1].[Stock]" caption="Stock" attribute="1" defaultMemberUniqueName="[Table1].[Stock].[All]" allUniqueName="[Table1].[Stock].[All]" dimensionUniqueName="[Table1]" displayFolder="" count="2" memberValueDatatype="20" unbalanced="0"/>
    <cacheHierarchy uniqueName="[Table1].[Stock Days]" caption="Stock Days" attribute="1" defaultMemberUniqueName="[Table1].[Stock Days].[All]" allUniqueName="[Table1].[Stock Days].[All]" dimensionUniqueName="[Table1]" displayFolder="" count="2" memberValueDatatype="20" unbalanced="0"/>
    <cacheHierarchy uniqueName="[Table1].[Sale]" caption="Sale" attribute="1" defaultMemberUniqueName="[Table1].[Sale].[All]" allUniqueName="[Table1].[Sale].[All]" dimensionUniqueName="[Table1]" displayFolder="" count="2" memberValueDatatype="20" unbalanced="0"/>
    <cacheHierarchy uniqueName="[Table1].[No of Tran]" caption="No of Tran" attribute="1" defaultMemberUniqueName="[Table1].[No of Tran].[All]" allUniqueName="[Table1].[No of Tran].[All]" dimensionUniqueName="[Table1]" displayFolder="" count="2" memberValueDatatype="20" unbalanced="0"/>
    <cacheHierarchy uniqueName="[Table1].[Days Tran]" caption="Days Tran" attribute="1" defaultMemberUniqueName="[Table1].[Days Tran].[All]" allUniqueName="[Table1].[Days Tran].[All]" dimensionUniqueName="[Table1]" displayFolder="" count="2" memberValueDatatype="20" unbalanced="0"/>
    <cacheHierarchy uniqueName="[Table1].[Date]" caption="Date" attribute="1" time="1" defaultMemberUniqueName="[Table1].[Date].[All]" allUniqueName="[Table1].[Date].[All]" dimensionUniqueName="[Table1]" displayFolder="" count="2" memberValueDatatype="7" unbalanced="0"/>
    <cacheHierarchy uniqueName="[Table1].[Column1]" caption="Column1" attribute="1" defaultMemberUniqueName="[Table1].[Column1].[All]" allUniqueName="[Table1].[Column1].[All]" dimensionUniqueName="[Table1]" displayFolder="" count="2" memberValueDatatype="130" unbalanced="0"/>
    <cacheHierarchy uniqueName="[Table1].[MRP]" caption="MRP" attribute="1" defaultMemberUniqueName="[Table1].[MRP].[All]" allUniqueName="[Table1].[MRP].[All]" dimensionUniqueName="[Table1]" displayFolder="" count="2" memberValueDatatype="20" unbalanced="0"/>
    <cacheHierarchy uniqueName="[Table1].[Revenue]" caption="Revenue" attribute="1" defaultMemberUniqueName="[Table1].[Revenue].[All]" allUniqueName="[Table1].[Revenue].[All]" dimensionUniqueName="[Table1]" displayFolder="" count="2" memberValueDatatype="20" unbalanced="0"/>
    <cacheHierarchy uniqueName="[Table1].[Clean Stock]" caption="Clean Stock" attribute="1" defaultMemberUniqueName="[Table1].[Clean Stock].[All]" allUniqueName="[Table1].[Clean Stock].[All]" dimensionUniqueName="[Table1]" displayFolder="" count="2" memberValueDatatype="20" unbalanced="0"/>
    <cacheHierarchy uniqueName="[Table1].[Inventory Status]" caption="Inventory Status" attribute="1" defaultMemberUniqueName="[Table1].[Inventory Status].[All]" allUniqueName="[Table1].[Inventory Status].[All]" dimensionUniqueName="[Table1]" displayFolder="" count="2" memberValueDatatype="130" unbalanced="0">
      <fieldsUsage count="2">
        <fieldUsage x="-1"/>
        <fieldUsage x="0"/>
      </fieldsUsage>
    </cacheHierarchy>
    <cacheHierarchy uniqueName="[Measures].[Sales]" caption="Sales" measure="1" displayFolder="" measureGroup="Range" count="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tem Name]" caption="Count of Item Name"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Sale]" caption="Sum of Sale" measure="1" displayFolder="" measureGroup="Table1"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0"/>
        </ext>
      </extLst>
    </cacheHierarchy>
    <cacheHierarchy uniqueName="[Measures].[Sum of MRP]" caption="Sum of MRP"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chaudhary" refreshedDate="46130.857748726849" backgroundQuery="1" createdVersion="3" refreshedVersion="8" minRefreshableVersion="3" recordCount="0" supportSubquery="1" supportAdvancedDrill="1" xr:uid="{D88C1FA7-F485-43A0-9A35-753075B9611B}">
  <cacheSource type="external" connectionId="2">
    <extLst>
      <ext xmlns:x14="http://schemas.microsoft.com/office/spreadsheetml/2009/9/main" uri="{F057638F-6D5F-4e77-A914-E7F072B9BCA8}">
        <x14:sourceConnection name="ThisWorkbookDataModel"/>
      </ext>
    </extLst>
  </cacheSource>
  <cacheFields count="0"/>
  <cacheHierarchies count="21">
    <cacheHierarchy uniqueName="[Range].[40282]" caption="40282" attribute="1" defaultMemberUniqueName="[Range].[40282].[All]" allUniqueName="[Range].[40282].[All]" dimensionUniqueName="[Range]" displayFolder="" count="0" memberValueDatatype="20" unbalanced="0"/>
    <cacheHierarchy uniqueName="[Table1].[Item Name]" caption="Item Name" attribute="1" defaultMemberUniqueName="[Table1].[Item Name].[All]" allUniqueName="[Table1].[Item Name].[All]" dimensionUniqueName="[Table1]" displayFolder="" count="0" memberValueDatatype="130" unbalanced="0"/>
    <cacheHierarchy uniqueName="[Table1].[Stock]" caption="Stock" attribute="1" defaultMemberUniqueName="[Table1].[Stock].[All]" allUniqueName="[Table1].[Stock].[All]" dimensionUniqueName="[Table1]" displayFolder="" count="0" memberValueDatatype="20" unbalanced="0"/>
    <cacheHierarchy uniqueName="[Table1].[Stock Days]" caption="Stock Days" attribute="1" defaultMemberUniqueName="[Table1].[Stock Days].[All]" allUniqueName="[Table1].[Stock Days].[All]" dimensionUniqueName="[Table1]" displayFolder="" count="0" memberValueDatatype="20" unbalanced="0"/>
    <cacheHierarchy uniqueName="[Table1].[Sale]" caption="Sale" attribute="1" defaultMemberUniqueName="[Table1].[Sale].[All]" allUniqueName="[Table1].[Sale].[All]" dimensionUniqueName="[Table1]" displayFolder="" count="0" memberValueDatatype="20" unbalanced="0"/>
    <cacheHierarchy uniqueName="[Table1].[No of Tran]" caption="No of Tran" attribute="1" defaultMemberUniqueName="[Table1].[No of Tran].[All]" allUniqueName="[Table1].[No of Tran].[All]" dimensionUniqueName="[Table1]" displayFolder="" count="0" memberValueDatatype="20" unbalanced="0"/>
    <cacheHierarchy uniqueName="[Table1].[Days Tran]" caption="Days Tran" attribute="1" defaultMemberUniqueName="[Table1].[Days Tran].[All]" allUniqueName="[Table1].[Days Tran].[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Column1]" caption="Column1" attribute="1" defaultMemberUniqueName="[Table1].[Column1].[All]" allUniqueName="[Table1].[Column1].[All]" dimensionUniqueName="[Table1]" displayFolder="" count="0" memberValueDatatype="130" unbalanced="0"/>
    <cacheHierarchy uniqueName="[Table1].[MRP]" caption="MRP" attribute="1" defaultMemberUniqueName="[Table1].[MRP].[All]" allUniqueName="[Table1].[MRP].[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Clean Stock]" caption="Clean Stock" attribute="1" defaultMemberUniqueName="[Table1].[Clean Stock].[All]" allUniqueName="[Table1].[Clean Stock].[All]" dimensionUniqueName="[Table1]" displayFolder="" count="0" memberValueDatatype="20" unbalanced="0"/>
    <cacheHierarchy uniqueName="[Table1].[Inventory Status]" caption="Inventory Status" attribute="1" defaultMemberUniqueName="[Table1].[Inventory Status].[All]" allUniqueName="[Table1].[Inventory Status].[All]" dimensionUniqueName="[Table1]" displayFolder="" count="2" memberValueDatatype="130" unbalanced="0"/>
    <cacheHierarchy uniqueName="[Measures].[Sales]" caption="Sales" measure="1" displayFolder="" measureGroup="Range" count="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tem Name]" caption="Count of Item Name" measure="1" displayFolder="" measureGroup="Table1" count="0" hidden="1">
      <extLst>
        <ext xmlns:x15="http://schemas.microsoft.com/office/spreadsheetml/2010/11/main" uri="{B97F6D7D-B522-45F9-BDA1-12C45D357490}">
          <x15:cacheHierarchy aggregatedColumn="1"/>
        </ext>
      </extLst>
    </cacheHierarchy>
    <cacheHierarchy uniqueName="[Measures].[Sum of Sale]" caption="Sum of Sale" measure="1" displayFolder="" measureGroup="Table1"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0"/>
        </ext>
      </extLst>
    </cacheHierarchy>
    <cacheHierarchy uniqueName="[Measures].[Sum of MRP]" caption="Sum of MRP" measure="1" displayFolder="" measureGroup="Table1"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07471772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2">
  <r>
    <x v="0"/>
    <n v="3"/>
    <n v="4"/>
    <n v="0.08"/>
    <n v="0.55000000000000004"/>
    <n v="19"/>
    <n v="0"/>
    <n v="16"/>
    <n v="12"/>
    <n v="0"/>
  </r>
  <r>
    <x v="1"/>
    <n v="0"/>
    <n v="0"/>
    <n v="7.0000000000000007E-2"/>
    <n v="0.48"/>
    <n v="12"/>
    <n v="0"/>
    <n v="7"/>
    <n v="6"/>
    <n v="0"/>
  </r>
  <r>
    <x v="2"/>
    <n v="2"/>
    <n v="4"/>
    <n v="0.06"/>
    <n v="0.4"/>
    <n v="14"/>
    <n v="0"/>
    <n v="11"/>
    <n v="9"/>
    <n v="0"/>
  </r>
  <r>
    <x v="3"/>
    <n v="1"/>
    <n v="2"/>
    <n v="0.05"/>
    <n v="0.33"/>
    <n v="11"/>
    <n v="0"/>
    <n v="9"/>
    <n v="7"/>
    <n v="0"/>
  </r>
  <r>
    <x v="4"/>
    <n v="-3"/>
    <n v="0"/>
    <n v="0.05"/>
    <n v="0.35"/>
    <n v="7"/>
    <n v="0"/>
    <n v="5"/>
    <n v="5"/>
    <n v="0"/>
  </r>
  <r>
    <x v="5"/>
    <n v="-1"/>
    <n v="0"/>
    <n v="0.05"/>
    <n v="0.32"/>
    <n v="4"/>
    <n v="0"/>
    <n v="4"/>
    <n v="4"/>
    <n v="0"/>
  </r>
  <r>
    <x v="6"/>
    <n v="40"/>
    <n v="4"/>
    <n v="0.05"/>
    <n v="0.33"/>
    <n v="290"/>
    <n v="0"/>
    <n v="18"/>
    <n v="13"/>
    <n v="0"/>
  </r>
  <r>
    <x v="7"/>
    <n v="0"/>
    <n v="0"/>
    <n v="0.05"/>
    <n v="0.36"/>
    <n v="9"/>
    <n v="0"/>
    <n v="6"/>
    <n v="5"/>
    <n v="0"/>
  </r>
  <r>
    <x v="8"/>
    <n v="1"/>
    <n v="1"/>
    <n v="0.04"/>
    <n v="0.3"/>
    <n v="16"/>
    <n v="0"/>
    <n v="16"/>
    <n v="12"/>
    <n v="0"/>
  </r>
  <r>
    <x v="9"/>
    <n v="15"/>
    <n v="3"/>
    <n v="0.03"/>
    <n v="0.2"/>
    <n v="120"/>
    <n v="0"/>
    <n v="8"/>
    <n v="7"/>
    <n v="0"/>
  </r>
  <r>
    <x v="10"/>
    <n v="30"/>
    <n v="4"/>
    <n v="0.03"/>
    <n v="0.23"/>
    <n v="210"/>
    <n v="0"/>
    <n v="10"/>
    <n v="9"/>
    <n v="0"/>
  </r>
  <r>
    <x v="11"/>
    <n v="20"/>
    <n v="2"/>
    <n v="0.03"/>
    <n v="0.2"/>
    <n v="220"/>
    <n v="0"/>
    <n v="16"/>
    <n v="13"/>
    <n v="0"/>
  </r>
  <r>
    <x v="12"/>
    <n v="-14"/>
    <n v="0"/>
    <n v="0.03"/>
    <n v="0.22"/>
    <n v="105"/>
    <n v="0"/>
    <n v="4"/>
    <n v="3"/>
    <n v="0"/>
  </r>
  <r>
    <x v="13"/>
    <n v="0"/>
    <n v="0"/>
    <n v="0.02"/>
    <n v="0.15"/>
    <n v="50"/>
    <n v="0"/>
    <n v="3"/>
    <n v="3"/>
    <n v="0"/>
  </r>
  <r>
    <x v="14"/>
    <n v="0"/>
    <n v="0"/>
    <n v="0.02"/>
    <n v="0.12"/>
    <n v="60"/>
    <n v="0"/>
    <n v="3"/>
    <n v="3"/>
    <n v="0"/>
  </r>
  <r>
    <x v="15"/>
    <n v="-28"/>
    <n v="0"/>
    <n v="0.02"/>
    <n v="0.11"/>
    <n v="18"/>
    <n v="0"/>
    <n v="17"/>
    <n v="11"/>
    <n v="0"/>
  </r>
  <r>
    <x v="16"/>
    <n v="0"/>
    <n v="0"/>
    <n v="0.02"/>
    <n v="0.15"/>
    <n v="80"/>
    <n v="0"/>
    <n v="7"/>
    <n v="7"/>
    <n v="0"/>
  </r>
  <r>
    <x v="17"/>
    <n v="50"/>
    <n v="7"/>
    <n v="0.02"/>
    <n v="0.14000000000000001"/>
    <n v="190"/>
    <n v="0"/>
    <n v="12"/>
    <n v="9"/>
    <n v="0"/>
  </r>
  <r>
    <x v="18"/>
    <n v="-10"/>
    <n v="0"/>
    <n v="0.02"/>
    <n v="0.14000000000000001"/>
    <n v="20"/>
    <n v="0"/>
    <n v="2"/>
    <n v="2"/>
    <n v="0"/>
  </r>
  <r>
    <x v="19"/>
    <n v="-16"/>
    <n v="0"/>
    <n v="0.02"/>
    <n v="0.14000000000000001"/>
    <n v="20"/>
    <n v="0"/>
    <n v="19"/>
    <n v="14"/>
    <n v="0"/>
  </r>
  <r>
    <x v="20"/>
    <n v="-11"/>
    <n v="0"/>
    <n v="0.02"/>
    <n v="0.11"/>
    <n v="4"/>
    <n v="0"/>
    <n v="3"/>
    <n v="3"/>
    <n v="0"/>
  </r>
  <r>
    <x v="21"/>
    <n v="-5"/>
    <n v="0"/>
    <n v="0.02"/>
    <n v="0.14000000000000001"/>
    <n v="3"/>
    <n v="0"/>
    <n v="2"/>
    <n v="2"/>
    <n v="0"/>
  </r>
  <r>
    <x v="22"/>
    <n v="1"/>
    <n v="3"/>
    <n v="0.02"/>
    <n v="0.14000000000000001"/>
    <n v="8"/>
    <n v="0"/>
    <n v="7"/>
    <n v="7"/>
    <n v="0"/>
  </r>
  <r>
    <x v="23"/>
    <n v="-2"/>
    <n v="0"/>
    <n v="0.02"/>
    <n v="0.13"/>
    <n v="3"/>
    <n v="0"/>
    <n v="3"/>
    <n v="3"/>
    <n v="0"/>
  </r>
  <r>
    <x v="24"/>
    <n v="15"/>
    <n v="5"/>
    <n v="0.02"/>
    <n v="0.14000000000000001"/>
    <n v="90"/>
    <n v="0"/>
    <n v="5"/>
    <n v="5"/>
    <n v="0"/>
  </r>
  <r>
    <x v="25"/>
    <n v="10"/>
    <n v="5"/>
    <n v="0.02"/>
    <n v="0.13"/>
    <n v="60"/>
    <n v="0"/>
    <n v="3"/>
    <n v="3"/>
    <n v="0"/>
  </r>
  <r>
    <x v="26"/>
    <n v="1"/>
    <n v="2"/>
    <n v="0.02"/>
    <n v="0.12"/>
    <n v="13"/>
    <n v="0"/>
    <n v="13"/>
    <n v="10"/>
    <n v="0"/>
  </r>
  <r>
    <x v="27"/>
    <n v="-45"/>
    <n v="0"/>
    <n v="0.02"/>
    <n v="0.1"/>
    <n v="120"/>
    <n v="0"/>
    <n v="6"/>
    <n v="6"/>
    <n v="0"/>
  </r>
  <r>
    <x v="28"/>
    <n v="40"/>
    <n v="6"/>
    <n v="0.02"/>
    <n v="0.16"/>
    <n v="180"/>
    <n v="0"/>
    <n v="11"/>
    <n v="11"/>
    <n v="0"/>
  </r>
  <r>
    <x v="29"/>
    <n v="-45"/>
    <n v="0"/>
    <n v="0.02"/>
    <n v="0.13"/>
    <n v="90"/>
    <n v="0"/>
    <n v="6"/>
    <n v="5"/>
    <n v="0"/>
  </r>
  <r>
    <x v="30"/>
    <n v="0"/>
    <n v="0"/>
    <n v="0.02"/>
    <n v="0.17"/>
    <n v="9"/>
    <n v="0"/>
    <n v="9"/>
    <n v="9"/>
    <n v="0"/>
  </r>
  <r>
    <x v="31"/>
    <n v="0"/>
    <n v="0"/>
    <n v="0.02"/>
    <n v="0.13"/>
    <n v="2"/>
    <n v="0"/>
    <n v="2"/>
    <n v="2"/>
    <n v="0"/>
  </r>
  <r>
    <x v="32"/>
    <n v="1"/>
    <n v="1"/>
    <n v="0.02"/>
    <n v="0.14000000000000001"/>
    <n v="17"/>
    <n v="0"/>
    <n v="17"/>
    <n v="11"/>
    <n v="0"/>
  </r>
  <r>
    <x v="33"/>
    <n v="-12"/>
    <n v="0"/>
    <n v="0.02"/>
    <n v="0.12"/>
    <n v="4"/>
    <n v="0"/>
    <n v="4"/>
    <n v="4"/>
    <n v="0"/>
  </r>
  <r>
    <x v="34"/>
    <n v="0"/>
    <n v="0"/>
    <n v="0.02"/>
    <n v="0.12"/>
    <n v="2"/>
    <n v="0"/>
    <n v="2"/>
    <n v="2"/>
    <n v="0"/>
  </r>
  <r>
    <x v="35"/>
    <n v="0"/>
    <n v="0"/>
    <n v="0.02"/>
    <n v="0.12"/>
    <n v="4"/>
    <n v="0"/>
    <n v="4"/>
    <n v="4"/>
    <n v="0"/>
  </r>
  <r>
    <x v="36"/>
    <n v="50"/>
    <n v="5"/>
    <n v="0.02"/>
    <n v="0.14000000000000001"/>
    <n v="260"/>
    <n v="0"/>
    <n v="17"/>
    <n v="13"/>
    <n v="0"/>
  </r>
  <r>
    <x v="37"/>
    <n v="3"/>
    <n v="5"/>
    <n v="0.02"/>
    <n v="0.14000000000000001"/>
    <n v="16"/>
    <n v="0"/>
    <n v="13"/>
    <n v="11"/>
    <n v="0"/>
  </r>
  <r>
    <x v="38"/>
    <n v="0"/>
    <n v="0"/>
    <n v="0.02"/>
    <n v="0.12"/>
    <n v="105"/>
    <n v="0"/>
    <n v="3"/>
    <n v="3"/>
    <n v="0"/>
  </r>
  <r>
    <x v="39"/>
    <n v="-10"/>
    <n v="0"/>
    <n v="0.02"/>
    <n v="0.17"/>
    <n v="60"/>
    <n v="0"/>
    <n v="5"/>
    <n v="5"/>
    <n v="0"/>
  </r>
  <r>
    <x v="40"/>
    <n v="0"/>
    <n v="0"/>
    <n v="0.02"/>
    <n v="0.11"/>
    <n v="30"/>
    <n v="0"/>
    <n v="3"/>
    <n v="3"/>
    <n v="0"/>
  </r>
  <r>
    <x v="41"/>
    <n v="0"/>
    <n v="0"/>
    <n v="0.02"/>
    <n v="0.16"/>
    <n v="3"/>
    <n v="0"/>
    <n v="1"/>
    <n v="1"/>
    <n v="0"/>
  </r>
  <r>
    <x v="42"/>
    <n v="-10"/>
    <n v="0"/>
    <n v="0.02"/>
    <n v="0.16"/>
    <n v="110"/>
    <n v="0"/>
    <n v="10"/>
    <n v="10"/>
    <n v="0"/>
  </r>
  <r>
    <x v="43"/>
    <n v="-60"/>
    <n v="0"/>
    <n v="0.02"/>
    <n v="0.12"/>
    <n v="90"/>
    <n v="0"/>
    <n v="3"/>
    <n v="3"/>
    <n v="0"/>
  </r>
  <r>
    <x v="44"/>
    <n v="0"/>
    <n v="0"/>
    <n v="0.01"/>
    <n v="0.05"/>
    <n v="1"/>
    <n v="0"/>
    <n v="1"/>
    <n v="1"/>
    <n v="0"/>
  </r>
  <r>
    <x v="45"/>
    <n v="0"/>
    <n v="0"/>
    <n v="0.01"/>
    <n v="0.06"/>
    <n v="50"/>
    <n v="0"/>
    <n v="4"/>
    <n v="4"/>
    <n v="0"/>
  </r>
  <r>
    <x v="46"/>
    <n v="-15"/>
    <n v="0"/>
    <n v="0.01"/>
    <n v="0.04"/>
    <n v="60"/>
    <n v="0"/>
    <n v="3"/>
    <n v="3"/>
    <n v="0"/>
  </r>
  <r>
    <x v="47"/>
    <n v="1"/>
    <n v="6"/>
    <n v="0.01"/>
    <n v="0.04"/>
    <n v="5"/>
    <n v="0"/>
    <n v="7"/>
    <n v="6"/>
    <n v="0"/>
  </r>
  <r>
    <x v="48"/>
    <n v="0"/>
    <n v="0"/>
    <n v="0.01"/>
    <n v="0.05"/>
    <n v="1"/>
    <n v="0"/>
    <n v="1"/>
    <n v="1"/>
    <n v="0"/>
  </r>
  <r>
    <x v="49"/>
    <n v="0"/>
    <n v="0"/>
    <n v="0.01"/>
    <n v="0.08"/>
    <n v="4"/>
    <n v="0"/>
    <n v="4"/>
    <n v="4"/>
    <n v="0"/>
  </r>
  <r>
    <x v="50"/>
    <n v="0"/>
    <n v="0"/>
    <n v="0.01"/>
    <n v="0.09"/>
    <n v="50"/>
    <n v="0"/>
    <n v="5"/>
    <n v="5"/>
    <n v="0"/>
  </r>
  <r>
    <x v="51"/>
    <n v="0"/>
    <n v="0"/>
    <n v="0.01"/>
    <n v="0.05"/>
    <n v="4"/>
    <n v="0"/>
    <n v="4"/>
    <n v="3"/>
    <n v="0"/>
  </r>
  <r>
    <x v="52"/>
    <n v="-20"/>
    <n v="0"/>
    <n v="0.01"/>
    <n v="0.09"/>
    <n v="7"/>
    <n v="0"/>
    <n v="7"/>
    <n v="7"/>
    <n v="0"/>
  </r>
  <r>
    <x v="53"/>
    <n v="0"/>
    <n v="0"/>
    <n v="0.01"/>
    <n v="0.09"/>
    <n v="70"/>
    <n v="0"/>
    <n v="3"/>
    <n v="3"/>
    <n v="0"/>
  </r>
  <r>
    <x v="54"/>
    <n v="0"/>
    <n v="0"/>
    <n v="0.01"/>
    <n v="7.0000000000000007E-2"/>
    <n v="60"/>
    <n v="0"/>
    <n v="2"/>
    <n v="2"/>
    <n v="0"/>
  </r>
  <r>
    <x v="55"/>
    <n v="15"/>
    <n v="5"/>
    <n v="0.01"/>
    <n v="0.04"/>
    <n v="90"/>
    <n v="0"/>
    <n v="3"/>
    <n v="3"/>
    <n v="0"/>
  </r>
  <r>
    <x v="56"/>
    <n v="-5"/>
    <n v="0"/>
    <n v="0.01"/>
    <n v="0.05"/>
    <n v="1"/>
    <n v="0"/>
    <n v="1"/>
    <n v="1"/>
    <n v="0"/>
  </r>
  <r>
    <x v="57"/>
    <n v="1"/>
    <n v="5"/>
    <n v="0.01"/>
    <n v="0.04"/>
    <n v="6"/>
    <n v="0"/>
    <n v="6"/>
    <n v="5"/>
    <n v="0"/>
  </r>
  <r>
    <x v="58"/>
    <n v="-1"/>
    <n v="0"/>
    <n v="0.01"/>
    <n v="0.04"/>
    <n v="1"/>
    <n v="0"/>
    <n v="1"/>
    <n v="1"/>
    <n v="0"/>
  </r>
  <r>
    <x v="59"/>
    <n v="-1"/>
    <n v="0"/>
    <n v="0.01"/>
    <n v="0.05"/>
    <n v="1"/>
    <n v="0"/>
    <n v="1"/>
    <n v="1"/>
    <n v="0"/>
  </r>
  <r>
    <x v="60"/>
    <n v="-30"/>
    <n v="0"/>
    <n v="0.01"/>
    <n v="0.04"/>
    <n v="20"/>
    <n v="0"/>
    <n v="2"/>
    <n v="2"/>
    <n v="0"/>
  </r>
  <r>
    <x v="61"/>
    <n v="10"/>
    <n v="3"/>
    <n v="0.01"/>
    <n v="0.06"/>
    <n v="80"/>
    <n v="0"/>
    <n v="5"/>
    <n v="3"/>
    <n v="0"/>
  </r>
  <r>
    <x v="62"/>
    <n v="0"/>
    <n v="0"/>
    <n v="0.01"/>
    <n v="0.04"/>
    <n v="2"/>
    <n v="0"/>
    <n v="2"/>
    <n v="2"/>
    <n v="0"/>
  </r>
  <r>
    <x v="63"/>
    <n v="0"/>
    <n v="0"/>
    <n v="0.01"/>
    <n v="0.1"/>
    <n v="420"/>
    <n v="0"/>
    <n v="7"/>
    <n v="6"/>
    <n v="0"/>
  </r>
  <r>
    <x v="64"/>
    <n v="-8"/>
    <n v="0"/>
    <n v="0.01"/>
    <n v="0.06"/>
    <n v="5"/>
    <n v="0"/>
    <n v="5"/>
    <n v="5"/>
    <n v="0"/>
  </r>
  <r>
    <x v="65"/>
    <n v="0"/>
    <n v="0"/>
    <n v="0.01"/>
    <n v="0.05"/>
    <n v="5"/>
    <n v="0"/>
    <n v="3"/>
    <n v="3"/>
    <n v="0"/>
  </r>
  <r>
    <x v="66"/>
    <n v="-3"/>
    <n v="0"/>
    <n v="0.01"/>
    <n v="0.08"/>
    <n v="2"/>
    <n v="0"/>
    <n v="2"/>
    <n v="2"/>
    <n v="0"/>
  </r>
  <r>
    <x v="67"/>
    <n v="-2"/>
    <n v="0"/>
    <n v="0.01"/>
    <n v="0.04"/>
    <n v="1"/>
    <n v="0"/>
    <n v="1"/>
    <n v="1"/>
    <n v="0"/>
  </r>
  <r>
    <x v="68"/>
    <n v="0"/>
    <n v="0"/>
    <n v="0.01"/>
    <n v="0.1"/>
    <n v="1"/>
    <n v="0"/>
    <n v="1"/>
    <n v="1"/>
    <n v="0"/>
  </r>
  <r>
    <x v="69"/>
    <n v="0"/>
    <n v="0"/>
    <n v="0.01"/>
    <n v="0.06"/>
    <n v="5"/>
    <n v="0"/>
    <n v="5"/>
    <n v="3"/>
    <n v="0"/>
  </r>
  <r>
    <x v="70"/>
    <n v="-1"/>
    <n v="0"/>
    <n v="0.01"/>
    <n v="0.05"/>
    <n v="2"/>
    <n v="0"/>
    <n v="2"/>
    <n v="2"/>
    <n v="0"/>
  </r>
  <r>
    <x v="71"/>
    <n v="-20"/>
    <n v="0"/>
    <n v="0.01"/>
    <n v="7.0000000000000007E-2"/>
    <n v="30"/>
    <n v="0"/>
    <n v="2"/>
    <n v="2"/>
    <n v="0"/>
  </r>
  <r>
    <x v="72"/>
    <n v="0"/>
    <n v="0"/>
    <n v="0.01"/>
    <n v="0.04"/>
    <n v="10"/>
    <n v="0"/>
    <n v="1"/>
    <n v="1"/>
    <n v="0"/>
  </r>
  <r>
    <x v="73"/>
    <n v="0"/>
    <n v="0"/>
    <n v="0.01"/>
    <n v="0.03"/>
    <n v="4"/>
    <n v="0"/>
    <n v="1"/>
    <n v="1"/>
    <n v="0"/>
  </r>
  <r>
    <x v="74"/>
    <n v="0"/>
    <n v="0"/>
    <n v="0.01"/>
    <n v="0.05"/>
    <n v="20"/>
    <n v="0"/>
    <n v="1"/>
    <n v="1"/>
    <n v="0"/>
  </r>
  <r>
    <x v="75"/>
    <n v="7"/>
    <n v="4"/>
    <n v="0.01"/>
    <n v="0.06"/>
    <n v="49"/>
    <n v="0"/>
    <n v="4"/>
    <n v="4"/>
    <n v="0"/>
  </r>
  <r>
    <x v="76"/>
    <n v="-40"/>
    <n v="0"/>
    <n v="0.01"/>
    <n v="0.05"/>
    <n v="40"/>
    <n v="0"/>
    <n v="4"/>
    <n v="3"/>
    <n v="0"/>
  </r>
  <r>
    <x v="77"/>
    <n v="0"/>
    <n v="0"/>
    <n v="0.01"/>
    <n v="0.04"/>
    <n v="30"/>
    <n v="0"/>
    <n v="1"/>
    <n v="1"/>
    <n v="0"/>
  </r>
  <r>
    <x v="78"/>
    <n v="0"/>
    <n v="0"/>
    <n v="0.01"/>
    <n v="0.04"/>
    <n v="80"/>
    <n v="0"/>
    <n v="5"/>
    <n v="3"/>
    <n v="0"/>
  </r>
  <r>
    <x v="79"/>
    <n v="0"/>
    <n v="0"/>
    <n v="0.01"/>
    <n v="7.0000000000000007E-2"/>
    <n v="10"/>
    <n v="0"/>
    <n v="1"/>
    <n v="1"/>
    <n v="0"/>
  </r>
  <r>
    <x v="80"/>
    <n v="0"/>
    <n v="0"/>
    <n v="0.01"/>
    <n v="0.06"/>
    <n v="2"/>
    <n v="0"/>
    <n v="2"/>
    <n v="2"/>
    <n v="0"/>
  </r>
  <r>
    <x v="81"/>
    <n v="-116"/>
    <n v="0"/>
    <n v="0.01"/>
    <n v="7.0000000000000007E-2"/>
    <n v="61"/>
    <n v="0"/>
    <n v="10"/>
    <n v="9"/>
    <n v="0"/>
  </r>
  <r>
    <x v="82"/>
    <n v="0"/>
    <n v="0"/>
    <n v="0.01"/>
    <n v="0.04"/>
    <n v="2"/>
    <n v="0"/>
    <n v="2"/>
    <n v="2"/>
    <n v="0"/>
  </r>
  <r>
    <x v="83"/>
    <n v="-5"/>
    <n v="0"/>
    <n v="0.01"/>
    <n v="0.05"/>
    <n v="3"/>
    <n v="0"/>
    <n v="3"/>
    <n v="2"/>
    <n v="0"/>
  </r>
  <r>
    <x v="84"/>
    <n v="10"/>
    <n v="3"/>
    <n v="0.01"/>
    <n v="0.04"/>
    <n v="100"/>
    <n v="0"/>
    <n v="6"/>
    <n v="5"/>
    <n v="0"/>
  </r>
  <r>
    <x v="85"/>
    <n v="-30"/>
    <n v="0"/>
    <n v="0.01"/>
    <n v="0.06"/>
    <n v="90"/>
    <n v="0"/>
    <n v="4"/>
    <n v="3"/>
    <n v="0"/>
  </r>
  <r>
    <x v="86"/>
    <n v="0"/>
    <n v="0"/>
    <n v="0.01"/>
    <n v="0.05"/>
    <n v="20"/>
    <n v="0"/>
    <n v="1"/>
    <n v="1"/>
    <n v="0"/>
  </r>
  <r>
    <x v="87"/>
    <n v="10"/>
    <n v="4"/>
    <n v="0.01"/>
    <n v="0.05"/>
    <n v="70"/>
    <n v="0"/>
    <n v="2"/>
    <n v="2"/>
    <n v="0"/>
  </r>
  <r>
    <x v="88"/>
    <n v="0"/>
    <n v="0"/>
    <n v="0.01"/>
    <n v="0.06"/>
    <n v="1"/>
    <n v="0"/>
    <n v="1"/>
    <n v="1"/>
    <n v="0"/>
  </r>
  <r>
    <x v="89"/>
    <n v="-1"/>
    <n v="0"/>
    <n v="0.01"/>
    <n v="0.04"/>
    <n v="1"/>
    <n v="0"/>
    <n v="1"/>
    <n v="1"/>
    <n v="0"/>
  </r>
  <r>
    <x v="90"/>
    <n v="-2"/>
    <n v="0"/>
    <n v="0.01"/>
    <n v="7.0000000000000007E-2"/>
    <n v="2"/>
    <n v="0"/>
    <n v="2"/>
    <n v="2"/>
    <n v="0"/>
  </r>
  <r>
    <x v="91"/>
    <n v="-9"/>
    <n v="0"/>
    <n v="0.01"/>
    <n v="0.06"/>
    <n v="3"/>
    <n v="0"/>
    <n v="3"/>
    <n v="2"/>
    <n v="0"/>
  </r>
  <r>
    <x v="92"/>
    <n v="-8"/>
    <n v="0"/>
    <n v="0.01"/>
    <n v="0.05"/>
    <n v="5"/>
    <n v="0"/>
    <n v="5"/>
    <n v="5"/>
    <n v="0"/>
  </r>
  <r>
    <x v="93"/>
    <n v="0"/>
    <n v="0"/>
    <n v="0.01"/>
    <n v="0.06"/>
    <n v="3"/>
    <n v="0"/>
    <n v="3"/>
    <n v="3"/>
    <n v="0"/>
  </r>
  <r>
    <x v="94"/>
    <n v="0"/>
    <n v="0"/>
    <n v="0.01"/>
    <n v="0.04"/>
    <n v="3"/>
    <n v="0"/>
    <n v="3"/>
    <n v="3"/>
    <n v="0"/>
  </r>
  <r>
    <x v="95"/>
    <n v="-15"/>
    <n v="0"/>
    <n v="0.01"/>
    <n v="0.06"/>
    <n v="75"/>
    <n v="0"/>
    <n v="4"/>
    <n v="4"/>
    <n v="0"/>
  </r>
  <r>
    <x v="96"/>
    <n v="40"/>
    <n v="6"/>
    <n v="0.01"/>
    <n v="0.05"/>
    <n v="190"/>
    <n v="0"/>
    <n v="9"/>
    <n v="7"/>
    <n v="0"/>
  </r>
  <r>
    <x v="97"/>
    <n v="0"/>
    <n v="0"/>
    <n v="0.01"/>
    <n v="0.05"/>
    <n v="45"/>
    <n v="0"/>
    <n v="2"/>
    <n v="2"/>
    <n v="0"/>
  </r>
  <r>
    <x v="98"/>
    <n v="-3"/>
    <n v="0"/>
    <n v="0.01"/>
    <n v="0.04"/>
    <n v="1"/>
    <n v="0"/>
    <n v="1"/>
    <n v="1"/>
    <n v="0"/>
  </r>
  <r>
    <x v="99"/>
    <n v="-30"/>
    <n v="0"/>
    <n v="0.01"/>
    <n v="0.04"/>
    <n v="30"/>
    <n v="0"/>
    <n v="1"/>
    <n v="1"/>
    <n v="0"/>
  </r>
  <r>
    <x v="100"/>
    <n v="30"/>
    <n v="7"/>
    <n v="0.01"/>
    <n v="0.08"/>
    <n v="120"/>
    <n v="0"/>
    <n v="5"/>
    <n v="5"/>
    <n v="0"/>
  </r>
  <r>
    <x v="101"/>
    <n v="-70"/>
    <n v="0"/>
    <n v="0.01"/>
    <n v="0.09"/>
    <n v="170"/>
    <n v="0"/>
    <n v="11"/>
    <n v="9"/>
    <n v="0"/>
  </r>
  <r>
    <x v="102"/>
    <n v="0"/>
    <n v="0"/>
    <n v="0.01"/>
    <n v="0.05"/>
    <n v="8"/>
    <n v="0"/>
    <n v="1"/>
    <n v="1"/>
    <n v="0"/>
  </r>
  <r>
    <x v="103"/>
    <n v="1"/>
    <n v="6"/>
    <n v="0.01"/>
    <n v="0.04"/>
    <n v="5"/>
    <n v="0"/>
    <n v="5"/>
    <n v="5"/>
    <n v="0"/>
  </r>
  <r>
    <x v="104"/>
    <n v="13"/>
    <n v="6"/>
    <n v="0.01"/>
    <n v="7.0000000000000007E-2"/>
    <n v="60"/>
    <n v="0"/>
    <n v="6"/>
    <n v="6"/>
    <n v="0"/>
  </r>
  <r>
    <x v="105"/>
    <n v="0"/>
    <n v="0"/>
    <n v="0.01"/>
    <n v="7.0000000000000007E-2"/>
    <n v="40"/>
    <n v="0"/>
    <n v="4"/>
    <n v="4"/>
    <n v="0"/>
  </r>
  <r>
    <x v="106"/>
    <n v="10"/>
    <n v="3"/>
    <n v="0.01"/>
    <n v="0.06"/>
    <n v="90"/>
    <n v="0"/>
    <n v="2"/>
    <n v="2"/>
    <n v="0"/>
  </r>
  <r>
    <x v="107"/>
    <n v="-15"/>
    <n v="0"/>
    <n v="0.01"/>
    <n v="0.08"/>
    <n v="60"/>
    <n v="0"/>
    <n v="4"/>
    <n v="4"/>
    <n v="0"/>
  </r>
  <r>
    <x v="108"/>
    <n v="10"/>
    <n v="5"/>
    <n v="0.01"/>
    <n v="0.06"/>
    <n v="60"/>
    <n v="0"/>
    <n v="3"/>
    <n v="2"/>
    <n v="0"/>
  </r>
  <r>
    <x v="109"/>
    <n v="0"/>
    <n v="0"/>
    <n v="0.01"/>
    <n v="0.06"/>
    <n v="6"/>
    <n v="0"/>
    <n v="6"/>
    <n v="5"/>
    <n v="0"/>
  </r>
  <r>
    <x v="110"/>
    <n v="0"/>
    <n v="0"/>
    <n v="0.01"/>
    <n v="0.06"/>
    <n v="45"/>
    <n v="0"/>
    <n v="1"/>
    <n v="1"/>
    <n v="0"/>
  </r>
  <r>
    <x v="111"/>
    <n v="10"/>
    <n v="3"/>
    <n v="0.01"/>
    <n v="7.0000000000000007E-2"/>
    <n v="80"/>
    <n v="0"/>
    <n v="6"/>
    <n v="5"/>
    <n v="0"/>
  </r>
  <r>
    <x v="112"/>
    <n v="0"/>
    <n v="0"/>
    <n v="0.01"/>
    <n v="0.05"/>
    <n v="110"/>
    <n v="0"/>
    <n v="4"/>
    <n v="3"/>
    <n v="0"/>
  </r>
  <r>
    <x v="113"/>
    <n v="-34"/>
    <n v="0"/>
    <n v="0.01"/>
    <n v="0.08"/>
    <n v="39"/>
    <n v="0"/>
    <n v="7"/>
    <n v="7"/>
    <n v="0"/>
  </r>
  <r>
    <x v="114"/>
    <n v="1"/>
    <n v="7"/>
    <n v="0.01"/>
    <n v="0.05"/>
    <n v="4"/>
    <n v="0"/>
    <n v="4"/>
    <n v="4"/>
    <n v="0"/>
  </r>
  <r>
    <x v="115"/>
    <n v="1"/>
    <n v="7"/>
    <n v="0.01"/>
    <n v="0.06"/>
    <n v="4"/>
    <n v="0"/>
    <n v="4"/>
    <n v="3"/>
    <n v="0"/>
  </r>
  <r>
    <x v="116"/>
    <n v="0"/>
    <n v="0"/>
    <n v="0.01"/>
    <n v="0.05"/>
    <n v="6"/>
    <n v="0"/>
    <n v="6"/>
    <n v="5"/>
    <n v="0"/>
  </r>
  <r>
    <x v="117"/>
    <n v="10"/>
    <n v="6"/>
    <n v="0.01"/>
    <n v="0.06"/>
    <n v="50"/>
    <n v="0"/>
    <n v="3"/>
    <n v="3"/>
    <n v="0"/>
  </r>
  <r>
    <x v="118"/>
    <n v="-4"/>
    <n v="0"/>
    <n v="0.01"/>
    <n v="0.05"/>
    <n v="2"/>
    <n v="0"/>
    <n v="2"/>
    <n v="2"/>
    <n v="0"/>
  </r>
  <r>
    <x v="119"/>
    <n v="-1"/>
    <n v="0"/>
    <n v="0.01"/>
    <n v="0.09"/>
    <n v="1"/>
    <n v="0"/>
    <n v="1"/>
    <n v="1"/>
    <n v="0"/>
  </r>
  <r>
    <x v="120"/>
    <n v="50"/>
    <n v="3"/>
    <n v="0.01"/>
    <n v="0.04"/>
    <n v="429"/>
    <n v="0"/>
    <n v="13"/>
    <n v="8"/>
    <n v="0"/>
  </r>
  <r>
    <x v="121"/>
    <n v="10"/>
    <n v="7"/>
    <n v="0.01"/>
    <n v="0.06"/>
    <n v="40"/>
    <n v="0"/>
    <n v="3"/>
    <n v="2"/>
    <n v="0"/>
  </r>
  <r>
    <x v="122"/>
    <n v="0"/>
    <n v="0"/>
    <n v="0.01"/>
    <n v="0.04"/>
    <n v="20"/>
    <n v="0"/>
    <n v="1"/>
    <n v="1"/>
    <n v="0"/>
  </r>
  <r>
    <x v="123"/>
    <n v="10"/>
    <n v="4"/>
    <n v="0.01"/>
    <n v="7.0000000000000007E-2"/>
    <n v="70"/>
    <n v="0"/>
    <n v="4"/>
    <n v="4"/>
    <n v="0"/>
  </r>
  <r>
    <x v="124"/>
    <n v="15"/>
    <n v="7"/>
    <n v="0.01"/>
    <n v="0.05"/>
    <n v="60"/>
    <n v="0"/>
    <n v="3"/>
    <n v="3"/>
    <n v="0"/>
  </r>
  <r>
    <x v="125"/>
    <n v="0"/>
    <n v="0"/>
    <n v="0.01"/>
    <n v="0.04"/>
    <n v="2"/>
    <n v="0"/>
    <n v="2"/>
    <n v="2"/>
    <n v="0"/>
  </r>
  <r>
    <x v="126"/>
    <n v="0"/>
    <n v="0"/>
    <n v="0.01"/>
    <n v="0.04"/>
    <n v="45"/>
    <n v="0"/>
    <n v="2"/>
    <n v="1"/>
    <n v="0"/>
  </r>
  <r>
    <x v="127"/>
    <n v="-1"/>
    <n v="0"/>
    <n v="0.01"/>
    <n v="0.04"/>
    <n v="4"/>
    <n v="0"/>
    <n v="4"/>
    <n v="4"/>
    <n v="0"/>
  </r>
  <r>
    <x v="128"/>
    <n v="-2"/>
    <n v="0"/>
    <n v="0.01"/>
    <n v="0.04"/>
    <n v="2"/>
    <n v="0"/>
    <n v="2"/>
    <n v="2"/>
    <n v="0"/>
  </r>
  <r>
    <x v="129"/>
    <n v="0"/>
    <n v="0"/>
    <n v="0.01"/>
    <n v="0.1"/>
    <n v="7"/>
    <n v="0"/>
    <n v="7"/>
    <n v="6"/>
    <n v="0"/>
  </r>
  <r>
    <x v="130"/>
    <n v="-13"/>
    <n v="0"/>
    <n v="0.01"/>
    <n v="7.0000000000000007E-2"/>
    <n v="4"/>
    <n v="0"/>
    <n v="4"/>
    <n v="4"/>
    <n v="0"/>
  </r>
  <r>
    <x v="131"/>
    <n v="0"/>
    <n v="0"/>
    <n v="0.01"/>
    <n v="0.04"/>
    <n v="2"/>
    <n v="0"/>
    <n v="2"/>
    <n v="2"/>
    <n v="0"/>
  </r>
  <r>
    <x v="132"/>
    <n v="-1"/>
    <n v="0"/>
    <n v="0.01"/>
    <n v="0.04"/>
    <n v="2"/>
    <n v="0"/>
    <n v="2"/>
    <n v="2"/>
    <n v="0"/>
  </r>
  <r>
    <x v="133"/>
    <n v="-1"/>
    <n v="0"/>
    <n v="0.01"/>
    <n v="0.05"/>
    <n v="7"/>
    <n v="0"/>
    <n v="7"/>
    <n v="5"/>
    <n v="0"/>
  </r>
  <r>
    <x v="134"/>
    <n v="0"/>
    <n v="0"/>
    <n v="0.01"/>
    <n v="0.05"/>
    <n v="3"/>
    <n v="0"/>
    <n v="3"/>
    <n v="3"/>
    <n v="0"/>
  </r>
  <r>
    <x v="135"/>
    <n v="15"/>
    <n v="7"/>
    <n v="0.01"/>
    <n v="0.06"/>
    <n v="60"/>
    <n v="0"/>
    <n v="3"/>
    <n v="3"/>
    <n v="0"/>
  </r>
  <r>
    <x v="136"/>
    <n v="0"/>
    <n v="0"/>
    <n v="0.01"/>
    <n v="0.04"/>
    <n v="1"/>
    <n v="0"/>
    <n v="1"/>
    <n v="1"/>
    <n v="0"/>
  </r>
  <r>
    <x v="137"/>
    <n v="10"/>
    <n v="7"/>
    <n v="0.01"/>
    <n v="0.05"/>
    <n v="40"/>
    <n v="0"/>
    <n v="2"/>
    <n v="2"/>
    <n v="0"/>
  </r>
  <r>
    <x v="138"/>
    <n v="-60"/>
    <n v="0"/>
    <n v="0.01"/>
    <n v="0.06"/>
    <n v="60"/>
    <n v="0"/>
    <n v="4"/>
    <n v="4"/>
    <n v="0"/>
  </r>
  <r>
    <x v="139"/>
    <n v="0"/>
    <n v="0"/>
    <n v="0.01"/>
    <n v="0.04"/>
    <n v="2"/>
    <n v="0"/>
    <n v="1"/>
    <n v="1"/>
    <n v="0"/>
  </r>
  <r>
    <x v="140"/>
    <n v="-90"/>
    <n v="0"/>
    <n v="0.01"/>
    <n v="0.05"/>
    <n v="40"/>
    <n v="0"/>
    <n v="2"/>
    <n v="2"/>
    <n v="0"/>
  </r>
  <r>
    <x v="141"/>
    <n v="-3"/>
    <n v="0"/>
    <n v="0.01"/>
    <n v="0.06"/>
    <n v="3"/>
    <n v="0"/>
    <n v="3"/>
    <n v="3"/>
    <n v="0"/>
  </r>
  <r>
    <x v="142"/>
    <n v="-3"/>
    <n v="0"/>
    <n v="0.01"/>
    <n v="0.05"/>
    <n v="1"/>
    <n v="0"/>
    <n v="1"/>
    <n v="1"/>
    <n v="0"/>
  </r>
  <r>
    <x v="143"/>
    <n v="0"/>
    <n v="0"/>
    <n v="0.01"/>
    <n v="0.04"/>
    <n v="5"/>
    <n v="0"/>
    <n v="5"/>
    <n v="4"/>
    <n v="0"/>
  </r>
  <r>
    <x v="144"/>
    <n v="-210"/>
    <n v="0"/>
    <n v="0.01"/>
    <n v="0.04"/>
    <n v="20"/>
    <n v="0"/>
    <n v="2"/>
    <n v="2"/>
    <n v="0"/>
  </r>
  <r>
    <x v="145"/>
    <n v="-10"/>
    <n v="0"/>
    <n v="0.01"/>
    <n v="0.08"/>
    <n v="2"/>
    <n v="0"/>
    <n v="2"/>
    <n v="2"/>
    <n v="0"/>
  </r>
  <r>
    <x v="146"/>
    <n v="-3"/>
    <n v="0"/>
    <n v="0.01"/>
    <n v="0.04"/>
    <n v="3"/>
    <n v="0"/>
    <n v="3"/>
    <n v="3"/>
    <n v="0"/>
  </r>
  <r>
    <x v="147"/>
    <n v="-1"/>
    <n v="0"/>
    <n v="0.01"/>
    <n v="0.05"/>
    <n v="2"/>
    <n v="0"/>
    <n v="2"/>
    <n v="2"/>
    <n v="0"/>
  </r>
  <r>
    <x v="148"/>
    <n v="-225"/>
    <n v="0"/>
    <n v="0.01"/>
    <n v="0.05"/>
    <n v="43"/>
    <n v="0"/>
    <n v="7"/>
    <n v="7"/>
    <n v="0"/>
  </r>
  <r>
    <x v="149"/>
    <n v="0"/>
    <n v="0"/>
    <n v="0.01"/>
    <n v="0.06"/>
    <n v="40"/>
    <n v="0"/>
    <n v="2"/>
    <n v="2"/>
    <n v="0"/>
  </r>
  <r>
    <x v="150"/>
    <n v="0"/>
    <n v="0"/>
    <n v="0.01"/>
    <n v="0.04"/>
    <n v="75"/>
    <n v="0"/>
    <n v="5"/>
    <n v="3"/>
    <n v="0"/>
  </r>
  <r>
    <x v="151"/>
    <n v="-2"/>
    <n v="0"/>
    <n v="0.01"/>
    <n v="0.04"/>
    <n v="3"/>
    <n v="0"/>
    <n v="3"/>
    <n v="3"/>
    <n v="0"/>
  </r>
  <r>
    <x v="152"/>
    <n v="23"/>
    <n v="6"/>
    <n v="0.01"/>
    <n v="0.09"/>
    <n v="110"/>
    <n v="0"/>
    <n v="22"/>
    <n v="15"/>
    <n v="0"/>
  </r>
  <r>
    <x v="153"/>
    <n v="0"/>
    <n v="0"/>
    <n v="0.01"/>
    <n v="7.0000000000000007E-2"/>
    <n v="5"/>
    <n v="0"/>
    <n v="5"/>
    <n v="5"/>
    <n v="0"/>
  </r>
  <r>
    <x v="154"/>
    <n v="1"/>
    <n v="6"/>
    <n v="0.01"/>
    <n v="0.09"/>
    <n v="5"/>
    <n v="0"/>
    <n v="1"/>
    <n v="1"/>
    <n v="0"/>
  </r>
  <r>
    <x v="155"/>
    <n v="-20"/>
    <n v="0"/>
    <n v="0.01"/>
    <n v="0.03"/>
    <n v="40"/>
    <n v="0"/>
    <n v="3"/>
    <n v="3"/>
    <n v="0"/>
  </r>
  <r>
    <x v="156"/>
    <n v="0"/>
    <n v="0"/>
    <n v="0.01"/>
    <n v="0.06"/>
    <n v="75"/>
    <n v="0"/>
    <n v="4"/>
    <n v="4"/>
    <n v="0"/>
  </r>
  <r>
    <x v="157"/>
    <n v="7"/>
    <n v="7"/>
    <n v="0.01"/>
    <n v="7.0000000000000007E-2"/>
    <n v="30"/>
    <n v="0"/>
    <n v="3"/>
    <n v="3"/>
    <n v="0"/>
  </r>
  <r>
    <x v="158"/>
    <n v="1"/>
    <n v="6"/>
    <n v="0.01"/>
    <n v="0.03"/>
    <n v="5"/>
    <n v="0"/>
    <n v="5"/>
    <n v="5"/>
    <n v="0"/>
  </r>
  <r>
    <x v="159"/>
    <n v="0"/>
    <n v="0"/>
    <n v="0.01"/>
    <n v="0.04"/>
    <n v="30"/>
    <n v="0"/>
    <n v="1"/>
    <n v="1"/>
    <n v="0"/>
  </r>
  <r>
    <x v="160"/>
    <n v="20"/>
    <n v="7"/>
    <n v="0.01"/>
    <n v="0.09"/>
    <n v="80"/>
    <n v="0"/>
    <n v="3"/>
    <n v="3"/>
    <n v="0"/>
  </r>
  <r>
    <x v="161"/>
    <n v="-5"/>
    <n v="0"/>
    <n v="0.01"/>
    <n v="0.05"/>
    <n v="25"/>
    <n v="0"/>
    <n v="2"/>
    <n v="2"/>
    <n v="0"/>
  </r>
  <r>
    <x v="162"/>
    <n v="10"/>
    <n v="4"/>
    <n v="0.01"/>
    <n v="0.08"/>
    <n v="70"/>
    <n v="0"/>
    <n v="5"/>
    <n v="4"/>
    <n v="0"/>
  </r>
  <r>
    <x v="163"/>
    <n v="-165"/>
    <n v="0"/>
    <n v="0.01"/>
    <n v="7.0000000000000007E-2"/>
    <n v="60"/>
    <n v="0"/>
    <n v="4"/>
    <n v="4"/>
    <n v="0"/>
  </r>
  <r>
    <x v="164"/>
    <n v="0"/>
    <n v="0"/>
    <n v="0.01"/>
    <n v="0.04"/>
    <n v="2"/>
    <n v="0"/>
    <n v="2"/>
    <n v="2"/>
    <n v="0"/>
  </r>
  <r>
    <x v="165"/>
    <n v="0"/>
    <n v="0"/>
    <n v="0.01"/>
    <n v="7.0000000000000007E-2"/>
    <n v="80"/>
    <n v="0"/>
    <n v="7"/>
    <n v="7"/>
    <n v="0"/>
  </r>
  <r>
    <x v="166"/>
    <n v="0"/>
    <n v="0"/>
    <n v="0.01"/>
    <n v="0.04"/>
    <n v="1"/>
    <n v="0"/>
    <n v="1"/>
    <n v="1"/>
    <n v="0"/>
  </r>
  <r>
    <x v="167"/>
    <n v="-1"/>
    <n v="0"/>
    <n v="0.01"/>
    <n v="0.08"/>
    <n v="2"/>
    <n v="0"/>
    <n v="2"/>
    <n v="2"/>
    <n v="0"/>
  </r>
  <r>
    <x v="168"/>
    <n v="-8"/>
    <n v="0"/>
    <n v="0.01"/>
    <n v="0.06"/>
    <n v="11"/>
    <n v="0"/>
    <n v="11"/>
    <n v="10"/>
    <n v="0"/>
  </r>
  <r>
    <x v="169"/>
    <n v="10"/>
    <n v="3"/>
    <n v="0.01"/>
    <n v="0.05"/>
    <n v="90"/>
    <n v="0"/>
    <n v="7"/>
    <n v="7"/>
    <n v="0"/>
  </r>
  <r>
    <x v="170"/>
    <n v="-2"/>
    <n v="0"/>
    <n v="0.01"/>
    <n v="0.04"/>
    <n v="1"/>
    <n v="0"/>
    <n v="1"/>
    <n v="1"/>
    <n v="0"/>
  </r>
  <r>
    <x v="171"/>
    <n v="0"/>
    <n v="0"/>
    <n v="0.01"/>
    <n v="0.05"/>
    <n v="45"/>
    <n v="0"/>
    <n v="3"/>
    <n v="3"/>
    <n v="0"/>
  </r>
  <r>
    <x v="172"/>
    <n v="20"/>
    <n v="7"/>
    <n v="0.01"/>
    <n v="0.05"/>
    <n v="80"/>
    <n v="0"/>
    <n v="4"/>
    <n v="4"/>
    <n v="0"/>
  </r>
  <r>
    <x v="173"/>
    <n v="0"/>
    <n v="0"/>
    <n v="0.01"/>
    <n v="0.05"/>
    <n v="1"/>
    <n v="0"/>
    <n v="1"/>
    <n v="1"/>
    <n v="0"/>
  </r>
  <r>
    <x v="174"/>
    <n v="0"/>
    <n v="0"/>
    <n v="0"/>
    <n v="0.01"/>
    <n v="2"/>
    <n v="0"/>
    <n v="2"/>
    <n v="2"/>
    <n v="0"/>
  </r>
  <r>
    <x v="175"/>
    <n v="30"/>
    <n v="6"/>
    <n v="0"/>
    <n v="0.01"/>
    <n v="150"/>
    <n v="0"/>
    <n v="5"/>
    <n v="5"/>
    <n v="0"/>
  </r>
  <r>
    <x v="176"/>
    <n v="1"/>
    <n v="7"/>
    <n v="0"/>
    <n v="0.01"/>
    <n v="4"/>
    <n v="0"/>
    <n v="3"/>
    <n v="3"/>
    <n v="0"/>
  </r>
  <r>
    <x v="177"/>
    <n v="0"/>
    <n v="0"/>
    <n v="0"/>
    <n v="0.01"/>
    <n v="10"/>
    <n v="0"/>
    <n v="1"/>
    <n v="1"/>
    <n v="0"/>
  </r>
  <r>
    <x v="178"/>
    <n v="-1"/>
    <n v="0"/>
    <n v="0"/>
    <n v="0.01"/>
    <n v="1"/>
    <n v="0"/>
    <n v="1"/>
    <n v="1"/>
    <n v="0"/>
  </r>
  <r>
    <x v="179"/>
    <n v="-4"/>
    <n v="0"/>
    <n v="0"/>
    <n v="0.02"/>
    <n v="2"/>
    <n v="0"/>
    <n v="2"/>
    <n v="2"/>
    <n v="0"/>
  </r>
  <r>
    <x v="180"/>
    <n v="-5"/>
    <n v="0"/>
    <n v="0"/>
    <n v="0"/>
    <n v="1"/>
    <n v="0"/>
    <n v="1"/>
    <n v="1"/>
    <n v="0"/>
  </r>
  <r>
    <x v="181"/>
    <n v="-1"/>
    <n v="0"/>
    <n v="0"/>
    <n v="0"/>
    <n v="2"/>
    <n v="0"/>
    <n v="2"/>
    <n v="2"/>
    <n v="0"/>
  </r>
  <r>
    <x v="182"/>
    <n v="-10"/>
    <n v="0"/>
    <n v="0"/>
    <n v="0.02"/>
    <n v="1"/>
    <n v="0"/>
    <n v="1"/>
    <n v="1"/>
    <n v="0"/>
  </r>
  <r>
    <x v="183"/>
    <n v="-6"/>
    <n v="0"/>
    <n v="0"/>
    <n v="0"/>
    <n v="2"/>
    <n v="0"/>
    <n v="2"/>
    <n v="2"/>
    <n v="0"/>
  </r>
  <r>
    <x v="184"/>
    <n v="-5"/>
    <n v="0"/>
    <n v="0"/>
    <n v="0.02"/>
    <n v="4"/>
    <n v="0"/>
    <n v="3"/>
    <n v="3"/>
    <n v="0"/>
  </r>
  <r>
    <x v="185"/>
    <n v="-3"/>
    <n v="0"/>
    <n v="0"/>
    <n v="0"/>
    <n v="2"/>
    <n v="0"/>
    <n v="2"/>
    <n v="2"/>
    <n v="0"/>
  </r>
  <r>
    <x v="186"/>
    <n v="0"/>
    <n v="0"/>
    <n v="0"/>
    <n v="0.01"/>
    <n v="1"/>
    <n v="0"/>
    <n v="1"/>
    <n v="1"/>
    <n v="0"/>
  </r>
  <r>
    <x v="187"/>
    <n v="-40"/>
    <n v="0"/>
    <n v="0"/>
    <n v="0.02"/>
    <n v="40"/>
    <n v="0"/>
    <n v="2"/>
    <n v="2"/>
    <n v="0"/>
  </r>
  <r>
    <x v="188"/>
    <n v="0"/>
    <n v="0"/>
    <n v="0"/>
    <n v="0.01"/>
    <n v="2"/>
    <n v="0"/>
    <n v="2"/>
    <n v="2"/>
    <n v="0"/>
  </r>
  <r>
    <x v="189"/>
    <n v="0"/>
    <n v="0"/>
    <n v="0"/>
    <n v="0.03"/>
    <n v="20"/>
    <n v="0"/>
    <n v="1"/>
    <n v="1"/>
    <n v="0"/>
  </r>
  <r>
    <x v="190"/>
    <n v="0"/>
    <n v="0"/>
    <n v="0"/>
    <n v="0.01"/>
    <n v="20"/>
    <n v="0"/>
    <n v="1"/>
    <n v="1"/>
    <n v="0"/>
  </r>
  <r>
    <x v="191"/>
    <n v="0"/>
    <n v="0"/>
    <n v="0"/>
    <n v="0.03"/>
    <n v="100"/>
    <n v="0"/>
    <n v="5"/>
    <n v="4"/>
    <n v="0"/>
  </r>
  <r>
    <x v="192"/>
    <n v="0"/>
    <n v="0"/>
    <n v="0"/>
    <n v="0.03"/>
    <n v="220"/>
    <n v="0"/>
    <n v="9"/>
    <n v="6"/>
    <n v="0"/>
  </r>
  <r>
    <x v="193"/>
    <n v="70"/>
    <n v="2"/>
    <n v="0"/>
    <n v="0.02"/>
    <n v="854"/>
    <n v="0"/>
    <n v="26"/>
    <n v="18"/>
    <n v="0"/>
  </r>
  <r>
    <x v="194"/>
    <n v="-56"/>
    <n v="0"/>
    <n v="0"/>
    <n v="0.02"/>
    <n v="30"/>
    <n v="0"/>
    <n v="2"/>
    <n v="2"/>
    <n v="0"/>
  </r>
  <r>
    <x v="195"/>
    <n v="-3"/>
    <n v="0"/>
    <n v="0"/>
    <n v="0"/>
    <n v="1"/>
    <n v="0"/>
    <n v="1"/>
    <n v="1"/>
    <n v="0"/>
  </r>
  <r>
    <x v="196"/>
    <n v="0"/>
    <n v="0"/>
    <n v="0"/>
    <n v="0.02"/>
    <n v="15"/>
    <n v="0"/>
    <n v="1"/>
    <n v="1"/>
    <n v="0"/>
  </r>
  <r>
    <x v="197"/>
    <n v="-10"/>
    <n v="0"/>
    <n v="0"/>
    <n v="0.01"/>
    <n v="2"/>
    <n v="0"/>
    <n v="2"/>
    <n v="2"/>
    <n v="0"/>
  </r>
  <r>
    <x v="198"/>
    <n v="0"/>
    <n v="0"/>
    <n v="0"/>
    <n v="0.01"/>
    <n v="1"/>
    <n v="0"/>
    <n v="1"/>
    <n v="1"/>
    <n v="0"/>
  </r>
  <r>
    <x v="199"/>
    <n v="-11"/>
    <n v="0"/>
    <n v="0"/>
    <n v="0.01"/>
    <n v="2"/>
    <n v="0"/>
    <n v="2"/>
    <n v="2"/>
    <n v="0"/>
  </r>
  <r>
    <x v="200"/>
    <n v="-2"/>
    <n v="0"/>
    <n v="0"/>
    <n v="0.01"/>
    <n v="2"/>
    <n v="0"/>
    <n v="2"/>
    <n v="2"/>
    <n v="0"/>
  </r>
  <r>
    <x v="201"/>
    <n v="-1"/>
    <n v="0"/>
    <n v="0"/>
    <n v="0.01"/>
    <n v="1"/>
    <n v="0"/>
    <n v="1"/>
    <n v="1"/>
    <n v="0"/>
  </r>
  <r>
    <x v="202"/>
    <n v="-14"/>
    <n v="0"/>
    <n v="0"/>
    <n v="0.01"/>
    <n v="1"/>
    <n v="0"/>
    <n v="1"/>
    <n v="1"/>
    <n v="0"/>
  </r>
  <r>
    <x v="203"/>
    <n v="-11"/>
    <n v="0"/>
    <n v="0"/>
    <n v="0.02"/>
    <n v="1"/>
    <n v="0"/>
    <n v="1"/>
    <n v="1"/>
    <n v="0"/>
  </r>
  <r>
    <x v="204"/>
    <n v="-5"/>
    <n v="0"/>
    <n v="0"/>
    <n v="0.02"/>
    <n v="1"/>
    <n v="0"/>
    <n v="1"/>
    <n v="1"/>
    <n v="0"/>
  </r>
  <r>
    <x v="205"/>
    <n v="-14"/>
    <n v="0"/>
    <n v="0"/>
    <n v="0.01"/>
    <n v="1"/>
    <n v="0"/>
    <n v="1"/>
    <n v="1"/>
    <n v="0"/>
  </r>
  <r>
    <x v="206"/>
    <n v="-6"/>
    <n v="0"/>
    <n v="0"/>
    <n v="0.02"/>
    <n v="1"/>
    <n v="0"/>
    <n v="1"/>
    <n v="1"/>
    <n v="0"/>
  </r>
  <r>
    <x v="207"/>
    <n v="-6"/>
    <n v="0"/>
    <n v="0"/>
    <n v="0.02"/>
    <n v="1"/>
    <n v="0"/>
    <n v="1"/>
    <n v="1"/>
    <n v="0"/>
  </r>
  <r>
    <x v="208"/>
    <n v="-1"/>
    <n v="0"/>
    <n v="0"/>
    <n v="0.01"/>
    <n v="1"/>
    <n v="0"/>
    <n v="1"/>
    <n v="1"/>
    <n v="0"/>
  </r>
  <r>
    <x v="209"/>
    <n v="-8"/>
    <n v="0"/>
    <n v="0"/>
    <n v="0.02"/>
    <n v="3"/>
    <n v="0"/>
    <n v="3"/>
    <n v="3"/>
    <n v="0"/>
  </r>
  <r>
    <x v="210"/>
    <n v="0"/>
    <n v="0"/>
    <n v="0"/>
    <n v="0"/>
    <n v="15"/>
    <n v="0"/>
    <n v="1"/>
    <n v="1"/>
    <n v="0"/>
  </r>
  <r>
    <x v="211"/>
    <n v="-15"/>
    <n v="0"/>
    <n v="0"/>
    <n v="0.01"/>
    <n v="15"/>
    <n v="0"/>
    <n v="1"/>
    <n v="1"/>
    <n v="0"/>
  </r>
  <r>
    <x v="212"/>
    <n v="-10"/>
    <n v="0"/>
    <n v="0"/>
    <n v="0.01"/>
    <n v="10"/>
    <n v="0"/>
    <n v="1"/>
    <n v="1"/>
    <n v="0"/>
  </r>
  <r>
    <x v="213"/>
    <n v="0"/>
    <n v="0"/>
    <n v="0"/>
    <n v="0.03"/>
    <n v="30"/>
    <n v="0"/>
    <n v="2"/>
    <n v="2"/>
    <n v="0"/>
  </r>
  <r>
    <x v="214"/>
    <n v="0"/>
    <n v="0"/>
    <n v="0"/>
    <n v="0.01"/>
    <n v="1"/>
    <n v="0"/>
    <n v="1"/>
    <n v="1"/>
    <n v="0"/>
  </r>
  <r>
    <x v="215"/>
    <n v="0"/>
    <n v="0"/>
    <n v="0"/>
    <n v="0.01"/>
    <n v="1"/>
    <n v="0"/>
    <n v="1"/>
    <n v="1"/>
    <n v="0"/>
  </r>
  <r>
    <x v="216"/>
    <n v="-4"/>
    <n v="0"/>
    <n v="0"/>
    <n v="0.03"/>
    <n v="2"/>
    <n v="0"/>
    <n v="2"/>
    <n v="2"/>
    <n v="0"/>
  </r>
  <r>
    <x v="217"/>
    <n v="0"/>
    <n v="0"/>
    <n v="0"/>
    <n v="0.02"/>
    <n v="2"/>
    <n v="0"/>
    <n v="2"/>
    <n v="2"/>
    <n v="0"/>
  </r>
  <r>
    <x v="218"/>
    <n v="-3"/>
    <n v="0"/>
    <n v="0"/>
    <n v="0.02"/>
    <n v="1"/>
    <n v="0"/>
    <n v="1"/>
    <n v="1"/>
    <n v="0"/>
  </r>
  <r>
    <x v="219"/>
    <n v="-10"/>
    <n v="0"/>
    <n v="0"/>
    <n v="0.01"/>
    <n v="3"/>
    <n v="0"/>
    <n v="3"/>
    <n v="3"/>
    <n v="0"/>
  </r>
  <r>
    <x v="220"/>
    <n v="-2"/>
    <n v="0"/>
    <n v="0"/>
    <n v="0.03"/>
    <n v="2"/>
    <n v="0"/>
    <n v="2"/>
    <n v="2"/>
    <n v="0"/>
  </r>
  <r>
    <x v="221"/>
    <n v="-1"/>
    <n v="0"/>
    <n v="0"/>
    <n v="0"/>
    <n v="1"/>
    <n v="0"/>
    <n v="1"/>
    <n v="1"/>
    <n v="0"/>
  </r>
  <r>
    <x v="222"/>
    <n v="0"/>
    <n v="0"/>
    <n v="0"/>
    <n v="0.01"/>
    <n v="2"/>
    <n v="0"/>
    <n v="2"/>
    <n v="2"/>
    <n v="0"/>
  </r>
  <r>
    <x v="223"/>
    <n v="-1"/>
    <n v="0"/>
    <n v="0"/>
    <n v="0.03"/>
    <n v="2"/>
    <n v="0"/>
    <n v="4"/>
    <n v="4"/>
    <n v="0"/>
  </r>
  <r>
    <x v="224"/>
    <n v="0"/>
    <n v="0"/>
    <n v="0"/>
    <n v="0.01"/>
    <n v="1"/>
    <n v="0"/>
    <n v="1"/>
    <n v="1"/>
    <n v="0"/>
  </r>
  <r>
    <x v="225"/>
    <n v="0"/>
    <n v="0"/>
    <n v="0"/>
    <n v="0"/>
    <n v="20"/>
    <n v="0"/>
    <n v="1"/>
    <n v="1"/>
    <n v="0"/>
  </r>
  <r>
    <x v="226"/>
    <n v="-112"/>
    <n v="0"/>
    <n v="0"/>
    <n v="0.01"/>
    <n v="140"/>
    <n v="0"/>
    <n v="3"/>
    <n v="3"/>
    <n v="0"/>
  </r>
  <r>
    <x v="227"/>
    <n v="-6"/>
    <n v="0"/>
    <n v="0"/>
    <n v="0.01"/>
    <n v="1"/>
    <n v="0"/>
    <n v="1"/>
    <n v="1"/>
    <n v="0"/>
  </r>
  <r>
    <x v="228"/>
    <n v="0"/>
    <n v="0"/>
    <n v="0"/>
    <n v="0.01"/>
    <n v="2"/>
    <n v="0"/>
    <n v="2"/>
    <n v="2"/>
    <n v="0"/>
  </r>
  <r>
    <x v="229"/>
    <n v="-17"/>
    <n v="0"/>
    <n v="0"/>
    <n v="0.03"/>
    <n v="3"/>
    <n v="0"/>
    <n v="3"/>
    <n v="3"/>
    <n v="0"/>
  </r>
  <r>
    <x v="230"/>
    <n v="-5"/>
    <n v="0"/>
    <n v="0"/>
    <n v="0.02"/>
    <n v="2"/>
    <n v="0"/>
    <n v="2"/>
    <n v="2"/>
    <n v="0"/>
  </r>
  <r>
    <x v="231"/>
    <n v="-2"/>
    <n v="0"/>
    <n v="0"/>
    <n v="0.02"/>
    <n v="1"/>
    <n v="0"/>
    <n v="1"/>
    <n v="1"/>
    <n v="0"/>
  </r>
  <r>
    <x v="232"/>
    <n v="0"/>
    <n v="0"/>
    <n v="0"/>
    <n v="0.02"/>
    <n v="1"/>
    <n v="0"/>
    <n v="1"/>
    <n v="1"/>
    <n v="0"/>
  </r>
  <r>
    <x v="233"/>
    <n v="0"/>
    <n v="0"/>
    <n v="0"/>
    <n v="0.02"/>
    <n v="2"/>
    <n v="0"/>
    <n v="2"/>
    <n v="2"/>
    <n v="0"/>
  </r>
  <r>
    <x v="234"/>
    <n v="-6"/>
    <n v="0"/>
    <n v="0"/>
    <n v="0.03"/>
    <n v="2"/>
    <n v="0"/>
    <n v="2"/>
    <n v="2"/>
    <n v="0"/>
  </r>
  <r>
    <x v="235"/>
    <n v="-10"/>
    <n v="0"/>
    <n v="0"/>
    <n v="0.01"/>
    <n v="10"/>
    <n v="0"/>
    <n v="1"/>
    <n v="1"/>
    <n v="0"/>
  </r>
  <r>
    <x v="236"/>
    <n v="-1"/>
    <n v="0"/>
    <n v="0"/>
    <n v="0"/>
    <n v="1"/>
    <n v="0"/>
    <n v="1"/>
    <n v="1"/>
    <n v="0"/>
  </r>
  <r>
    <x v="237"/>
    <n v="-30"/>
    <n v="0"/>
    <n v="0"/>
    <n v="0.03"/>
    <n v="20"/>
    <n v="0"/>
    <n v="2"/>
    <n v="2"/>
    <n v="0"/>
  </r>
  <r>
    <x v="238"/>
    <n v="0"/>
    <n v="0"/>
    <n v="0"/>
    <n v="0.01"/>
    <n v="15"/>
    <n v="0"/>
    <n v="1"/>
    <n v="1"/>
    <n v="0"/>
  </r>
  <r>
    <x v="239"/>
    <n v="-10"/>
    <n v="0"/>
    <n v="0"/>
    <n v="0.03"/>
    <n v="20"/>
    <n v="0"/>
    <n v="2"/>
    <n v="2"/>
    <n v="0"/>
  </r>
  <r>
    <x v="240"/>
    <n v="0"/>
    <n v="0"/>
    <n v="0"/>
    <n v="0.01"/>
    <n v="1"/>
    <n v="0"/>
    <n v="1"/>
    <n v="1"/>
    <n v="0"/>
  </r>
  <r>
    <x v="241"/>
    <n v="0"/>
    <n v="0"/>
    <n v="0"/>
    <n v="0.02"/>
    <n v="2"/>
    <n v="0"/>
    <n v="2"/>
    <n v="2"/>
    <n v="0"/>
  </r>
  <r>
    <x v="242"/>
    <n v="0"/>
    <n v="0"/>
    <n v="0"/>
    <n v="0.01"/>
    <n v="15"/>
    <n v="0"/>
    <n v="1"/>
    <n v="1"/>
    <n v="0"/>
  </r>
  <r>
    <x v="243"/>
    <n v="-1"/>
    <n v="0"/>
    <n v="0"/>
    <n v="0"/>
    <n v="1"/>
    <n v="0"/>
    <n v="1"/>
    <n v="1"/>
    <n v="0"/>
  </r>
  <r>
    <x v="244"/>
    <n v="-2"/>
    <n v="0"/>
    <n v="0"/>
    <n v="0.01"/>
    <n v="1"/>
    <n v="0"/>
    <n v="1"/>
    <n v="1"/>
    <n v="0"/>
  </r>
  <r>
    <x v="245"/>
    <n v="-6"/>
    <n v="0"/>
    <n v="0"/>
    <n v="0"/>
    <n v="4"/>
    <n v="0"/>
    <n v="2"/>
    <n v="2"/>
    <n v="0"/>
  </r>
  <r>
    <x v="246"/>
    <n v="-10"/>
    <n v="0"/>
    <n v="0"/>
    <n v="0.02"/>
    <n v="20"/>
    <n v="0"/>
    <n v="1"/>
    <n v="1"/>
    <n v="0"/>
  </r>
  <r>
    <x v="247"/>
    <n v="-8"/>
    <n v="0"/>
    <n v="0"/>
    <n v="0.02"/>
    <n v="3"/>
    <n v="0"/>
    <n v="3"/>
    <n v="3"/>
    <n v="0"/>
  </r>
  <r>
    <x v="248"/>
    <n v="0"/>
    <n v="0"/>
    <n v="0"/>
    <n v="0.02"/>
    <n v="30"/>
    <n v="0"/>
    <n v="2"/>
    <n v="2"/>
    <n v="0"/>
  </r>
  <r>
    <x v="249"/>
    <n v="-2"/>
    <n v="0"/>
    <n v="0"/>
    <n v="0.03"/>
    <n v="1"/>
    <n v="0"/>
    <n v="1"/>
    <n v="1"/>
    <n v="0"/>
  </r>
  <r>
    <x v="250"/>
    <n v="0"/>
    <n v="0"/>
    <n v="0"/>
    <n v="0.01"/>
    <n v="15"/>
    <n v="0"/>
    <n v="1"/>
    <n v="1"/>
    <n v="0"/>
  </r>
  <r>
    <x v="251"/>
    <n v="0"/>
    <n v="0"/>
    <n v="0"/>
    <n v="0"/>
    <n v="3"/>
    <n v="0"/>
    <n v="3"/>
    <n v="2"/>
    <n v="0"/>
  </r>
  <r>
    <x v="252"/>
    <n v="-1"/>
    <n v="0"/>
    <n v="0"/>
    <n v="0"/>
    <n v="1"/>
    <n v="0"/>
    <n v="1"/>
    <n v="1"/>
    <n v="0"/>
  </r>
  <r>
    <x v="253"/>
    <n v="-2"/>
    <n v="0"/>
    <n v="0"/>
    <n v="0"/>
    <n v="1"/>
    <n v="0"/>
    <n v="1"/>
    <n v="1"/>
    <n v="0"/>
  </r>
  <r>
    <x v="254"/>
    <n v="0"/>
    <n v="0"/>
    <n v="0"/>
    <n v="0.01"/>
    <n v="2"/>
    <n v="0"/>
    <n v="2"/>
    <n v="2"/>
    <n v="0"/>
  </r>
  <r>
    <x v="255"/>
    <n v="-7"/>
    <n v="0"/>
    <n v="0"/>
    <n v="0.02"/>
    <n v="1"/>
    <n v="0"/>
    <n v="1"/>
    <n v="1"/>
    <n v="0"/>
  </r>
  <r>
    <x v="256"/>
    <n v="-4"/>
    <n v="0"/>
    <n v="0"/>
    <n v="0"/>
    <n v="1"/>
    <n v="0"/>
    <n v="1"/>
    <n v="1"/>
    <n v="0"/>
  </r>
  <r>
    <x v="257"/>
    <n v="-3"/>
    <n v="0"/>
    <n v="0"/>
    <n v="0.01"/>
    <n v="1"/>
    <n v="0"/>
    <n v="1"/>
    <n v="1"/>
    <n v="0"/>
  </r>
  <r>
    <x v="258"/>
    <n v="-2"/>
    <n v="0"/>
    <n v="0"/>
    <n v="0.01"/>
    <n v="2"/>
    <n v="0"/>
    <n v="2"/>
    <n v="2"/>
    <n v="0"/>
  </r>
  <r>
    <x v="259"/>
    <n v="-1"/>
    <n v="0"/>
    <n v="0"/>
    <n v="0.02"/>
    <n v="1"/>
    <n v="0"/>
    <n v="1"/>
    <n v="1"/>
    <n v="0"/>
  </r>
  <r>
    <x v="260"/>
    <n v="-3"/>
    <n v="0"/>
    <n v="0"/>
    <n v="0.01"/>
    <n v="1"/>
    <n v="0"/>
    <n v="1"/>
    <n v="1"/>
    <n v="0"/>
  </r>
  <r>
    <x v="261"/>
    <n v="1"/>
    <n v="7"/>
    <n v="0"/>
    <n v="0.03"/>
    <n v="4"/>
    <n v="0"/>
    <n v="4"/>
    <n v="4"/>
    <n v="0"/>
  </r>
  <r>
    <x v="262"/>
    <n v="0"/>
    <n v="0"/>
    <n v="0"/>
    <n v="0.02"/>
    <n v="2"/>
    <n v="0"/>
    <n v="2"/>
    <n v="2"/>
    <n v="0"/>
  </r>
  <r>
    <x v="263"/>
    <n v="-1"/>
    <n v="0"/>
    <n v="0"/>
    <n v="0.01"/>
    <n v="1"/>
    <n v="0"/>
    <n v="1"/>
    <n v="1"/>
    <n v="0"/>
  </r>
  <r>
    <x v="264"/>
    <n v="0"/>
    <n v="0"/>
    <n v="0"/>
    <n v="0.01"/>
    <n v="1"/>
    <n v="0"/>
    <n v="1"/>
    <n v="1"/>
    <n v="0"/>
  </r>
  <r>
    <x v="265"/>
    <n v="-13"/>
    <n v="0"/>
    <n v="0"/>
    <n v="0.02"/>
    <n v="2"/>
    <n v="0"/>
    <n v="2"/>
    <n v="2"/>
    <n v="0"/>
  </r>
  <r>
    <x v="266"/>
    <n v="0"/>
    <n v="0"/>
    <n v="0"/>
    <n v="0.01"/>
    <n v="1"/>
    <n v="0"/>
    <n v="1"/>
    <n v="1"/>
    <n v="0"/>
  </r>
  <r>
    <x v="267"/>
    <n v="-1"/>
    <n v="0"/>
    <n v="0"/>
    <n v="0.01"/>
    <n v="1"/>
    <n v="0"/>
    <n v="1"/>
    <n v="1"/>
    <n v="0"/>
  </r>
  <r>
    <x v="268"/>
    <n v="-2"/>
    <n v="0"/>
    <n v="0"/>
    <n v="0.02"/>
    <n v="1"/>
    <n v="0"/>
    <n v="1"/>
    <n v="1"/>
    <n v="0"/>
  </r>
  <r>
    <x v="269"/>
    <n v="-9"/>
    <n v="0"/>
    <n v="0"/>
    <n v="0.01"/>
    <n v="2"/>
    <n v="0"/>
    <n v="2"/>
    <n v="2"/>
    <n v="0"/>
  </r>
  <r>
    <x v="270"/>
    <n v="-30"/>
    <n v="0"/>
    <n v="0"/>
    <n v="0.01"/>
    <n v="60"/>
    <n v="0"/>
    <n v="2"/>
    <n v="2"/>
    <n v="0"/>
  </r>
  <r>
    <x v="271"/>
    <n v="-120"/>
    <n v="0"/>
    <n v="0"/>
    <n v="0.03"/>
    <n v="120"/>
    <n v="0"/>
    <n v="3"/>
    <n v="3"/>
    <n v="0"/>
  </r>
  <r>
    <x v="272"/>
    <n v="0"/>
    <n v="0"/>
    <n v="0"/>
    <n v="0.01"/>
    <n v="1"/>
    <n v="0"/>
    <n v="1"/>
    <n v="1"/>
    <n v="0"/>
  </r>
  <r>
    <x v="273"/>
    <n v="0"/>
    <n v="0"/>
    <n v="0"/>
    <n v="0.03"/>
    <n v="1"/>
    <n v="0"/>
    <n v="1"/>
    <n v="1"/>
    <n v="0"/>
  </r>
  <r>
    <x v="274"/>
    <n v="-2"/>
    <n v="0"/>
    <n v="0"/>
    <n v="0.01"/>
    <n v="4"/>
    <n v="0"/>
    <n v="2"/>
    <n v="2"/>
    <n v="0"/>
  </r>
  <r>
    <x v="275"/>
    <n v="-10"/>
    <n v="0"/>
    <n v="0"/>
    <n v="0"/>
    <n v="4"/>
    <n v="0"/>
    <n v="1"/>
    <n v="1"/>
    <n v="0"/>
  </r>
  <r>
    <x v="276"/>
    <n v="-2"/>
    <n v="0"/>
    <n v="0"/>
    <n v="0.03"/>
    <n v="1"/>
    <n v="0"/>
    <n v="1"/>
    <n v="1"/>
    <n v="0"/>
  </r>
  <r>
    <x v="277"/>
    <n v="-1"/>
    <n v="0"/>
    <n v="0"/>
    <n v="0.03"/>
    <n v="2"/>
    <n v="0"/>
    <n v="2"/>
    <n v="2"/>
    <n v="0"/>
  </r>
  <r>
    <x v="278"/>
    <n v="-2"/>
    <n v="0"/>
    <n v="0"/>
    <n v="0.02"/>
    <n v="1"/>
    <n v="0"/>
    <n v="1"/>
    <n v="1"/>
    <n v="0"/>
  </r>
  <r>
    <x v="279"/>
    <n v="-1"/>
    <n v="0"/>
    <n v="0"/>
    <n v="0.02"/>
    <n v="1"/>
    <n v="0"/>
    <n v="1"/>
    <n v="1"/>
    <n v="0"/>
  </r>
  <r>
    <x v="280"/>
    <n v="0"/>
    <n v="0"/>
    <n v="0"/>
    <n v="0.01"/>
    <n v="2"/>
    <n v="0"/>
    <n v="2"/>
    <n v="1"/>
    <n v="0"/>
  </r>
  <r>
    <x v="281"/>
    <n v="0"/>
    <n v="0"/>
    <n v="0"/>
    <n v="0.01"/>
    <n v="78"/>
    <n v="0"/>
    <n v="4"/>
    <n v="3"/>
    <n v="0"/>
  </r>
  <r>
    <x v="282"/>
    <n v="0"/>
    <n v="0"/>
    <n v="0"/>
    <n v="0.03"/>
    <n v="4"/>
    <n v="0"/>
    <n v="4"/>
    <n v="4"/>
    <n v="0"/>
  </r>
  <r>
    <x v="283"/>
    <n v="-15"/>
    <n v="0"/>
    <n v="0"/>
    <n v="0.01"/>
    <n v="1"/>
    <n v="0"/>
    <n v="1"/>
    <n v="1"/>
    <n v="0"/>
  </r>
  <r>
    <x v="284"/>
    <n v="-14"/>
    <n v="0"/>
    <n v="0"/>
    <n v="0"/>
    <n v="1"/>
    <n v="0"/>
    <n v="1"/>
    <n v="1"/>
    <n v="0"/>
  </r>
  <r>
    <x v="285"/>
    <n v="-2"/>
    <n v="0"/>
    <n v="0"/>
    <n v="0.01"/>
    <n v="1"/>
    <n v="0"/>
    <n v="1"/>
    <n v="1"/>
    <n v="0"/>
  </r>
  <r>
    <x v="286"/>
    <n v="0"/>
    <n v="0"/>
    <n v="0"/>
    <n v="0.01"/>
    <n v="10"/>
    <n v="0"/>
    <n v="1"/>
    <n v="1"/>
    <n v="0"/>
  </r>
  <r>
    <x v="287"/>
    <n v="-1"/>
    <n v="0"/>
    <n v="0"/>
    <n v="0"/>
    <n v="1"/>
    <n v="0"/>
    <n v="1"/>
    <n v="1"/>
    <n v="0"/>
  </r>
  <r>
    <x v="288"/>
    <n v="1"/>
    <n v="2"/>
    <n v="0"/>
    <n v="0.01"/>
    <n v="11"/>
    <n v="0"/>
    <n v="3"/>
    <n v="3"/>
    <n v="0"/>
  </r>
  <r>
    <x v="289"/>
    <n v="-2"/>
    <n v="0"/>
    <n v="0"/>
    <n v="0.01"/>
    <n v="1"/>
    <n v="0"/>
    <n v="1"/>
    <n v="1"/>
    <n v="0"/>
  </r>
  <r>
    <x v="290"/>
    <n v="0"/>
    <n v="0"/>
    <n v="0"/>
    <n v="0.03"/>
    <n v="1"/>
    <n v="0"/>
    <n v="1"/>
    <n v="1"/>
    <n v="0"/>
  </r>
  <r>
    <x v="291"/>
    <n v="0"/>
    <n v="0"/>
    <n v="0"/>
    <n v="0.01"/>
    <n v="1"/>
    <n v="0"/>
    <n v="1"/>
    <n v="1"/>
    <n v="0"/>
  </r>
  <r>
    <x v="292"/>
    <n v="0"/>
    <n v="0"/>
    <n v="0"/>
    <n v="0.03"/>
    <n v="2"/>
    <n v="0"/>
    <n v="2"/>
    <n v="2"/>
    <n v="0"/>
  </r>
  <r>
    <x v="293"/>
    <n v="0"/>
    <n v="0"/>
    <n v="0"/>
    <n v="0"/>
    <n v="1"/>
    <n v="0"/>
    <n v="1"/>
    <n v="1"/>
    <n v="0"/>
  </r>
  <r>
    <x v="294"/>
    <n v="-1"/>
    <n v="0"/>
    <n v="0"/>
    <n v="0"/>
    <n v="1"/>
    <n v="0"/>
    <n v="1"/>
    <n v="1"/>
    <n v="0"/>
  </r>
  <r>
    <x v="295"/>
    <n v="0"/>
    <n v="0"/>
    <n v="0"/>
    <n v="0.01"/>
    <n v="1"/>
    <n v="0"/>
    <n v="1"/>
    <n v="1"/>
    <n v="0"/>
  </r>
  <r>
    <x v="296"/>
    <n v="0"/>
    <n v="0"/>
    <n v="0"/>
    <n v="0.03"/>
    <n v="50"/>
    <n v="0"/>
    <n v="4"/>
    <n v="3"/>
    <n v="0"/>
  </r>
  <r>
    <x v="297"/>
    <n v="10"/>
    <n v="7"/>
    <n v="0"/>
    <n v="0.03"/>
    <n v="40"/>
    <n v="0"/>
    <n v="2"/>
    <n v="2"/>
    <n v="0"/>
  </r>
  <r>
    <x v="298"/>
    <n v="-15"/>
    <n v="0"/>
    <n v="0"/>
    <n v="0.02"/>
    <n v="30"/>
    <n v="0"/>
    <n v="2"/>
    <n v="2"/>
    <n v="0"/>
  </r>
  <r>
    <x v="299"/>
    <n v="-21"/>
    <n v="0"/>
    <n v="0"/>
    <n v="0"/>
    <n v="3"/>
    <n v="0"/>
    <n v="1"/>
    <n v="1"/>
    <n v="0"/>
  </r>
  <r>
    <x v="300"/>
    <n v="0"/>
    <n v="0"/>
    <n v="0"/>
    <n v="0.02"/>
    <n v="4"/>
    <n v="0"/>
    <n v="1"/>
    <n v="1"/>
    <n v="0"/>
  </r>
  <r>
    <x v="301"/>
    <n v="0"/>
    <n v="0"/>
    <n v="0"/>
    <n v="0.03"/>
    <n v="1"/>
    <n v="0"/>
    <n v="1"/>
    <n v="1"/>
    <n v="0"/>
  </r>
  <r>
    <x v="302"/>
    <n v="-10"/>
    <n v="0"/>
    <n v="0"/>
    <n v="0.01"/>
    <n v="10"/>
    <n v="0"/>
    <n v="1"/>
    <n v="1"/>
    <n v="0"/>
  </r>
  <r>
    <x v="303"/>
    <n v="-1"/>
    <n v="0"/>
    <n v="0"/>
    <n v="0"/>
    <n v="7"/>
    <n v="0"/>
    <n v="4"/>
    <n v="4"/>
    <n v="0"/>
  </r>
  <r>
    <x v="304"/>
    <n v="-1"/>
    <n v="0"/>
    <n v="0"/>
    <n v="0.01"/>
    <n v="1"/>
    <n v="0"/>
    <n v="1"/>
    <n v="1"/>
    <n v="0"/>
  </r>
  <r>
    <x v="305"/>
    <n v="0"/>
    <n v="0"/>
    <n v="0"/>
    <n v="0"/>
    <n v="1"/>
    <n v="0"/>
    <n v="1"/>
    <n v="1"/>
    <n v="0"/>
  </r>
  <r>
    <x v="306"/>
    <n v="-13"/>
    <n v="0"/>
    <n v="0"/>
    <n v="0.02"/>
    <n v="5"/>
    <n v="0"/>
    <n v="1"/>
    <n v="1"/>
    <n v="0"/>
  </r>
  <r>
    <x v="307"/>
    <n v="1"/>
    <n v="3"/>
    <n v="0"/>
    <n v="0.02"/>
    <n v="10"/>
    <n v="0"/>
    <n v="5"/>
    <n v="5"/>
    <n v="0"/>
  </r>
  <r>
    <x v="308"/>
    <n v="2"/>
    <n v="6"/>
    <n v="0"/>
    <n v="0.01"/>
    <n v="9"/>
    <n v="0"/>
    <n v="5"/>
    <n v="5"/>
    <n v="0"/>
  </r>
  <r>
    <x v="309"/>
    <n v="0"/>
    <n v="0"/>
    <n v="0"/>
    <n v="0"/>
    <n v="20"/>
    <n v="0"/>
    <n v="1"/>
    <n v="1"/>
    <n v="0"/>
  </r>
  <r>
    <x v="310"/>
    <n v="1"/>
    <n v="7"/>
    <n v="0"/>
    <n v="0.03"/>
    <n v="4"/>
    <n v="0"/>
    <n v="4"/>
    <n v="4"/>
    <n v="0"/>
  </r>
  <r>
    <x v="311"/>
    <n v="-15"/>
    <n v="0"/>
    <n v="0"/>
    <n v="0.01"/>
    <n v="15"/>
    <n v="0"/>
    <n v="1"/>
    <n v="1"/>
    <n v="0"/>
  </r>
  <r>
    <x v="312"/>
    <n v="0"/>
    <n v="0"/>
    <n v="0"/>
    <n v="0.02"/>
    <n v="10"/>
    <n v="0"/>
    <n v="1"/>
    <n v="1"/>
    <n v="0"/>
  </r>
  <r>
    <x v="313"/>
    <n v="0"/>
    <n v="0"/>
    <n v="0"/>
    <n v="0.02"/>
    <n v="24"/>
    <n v="0"/>
    <n v="1"/>
    <n v="1"/>
    <n v="0"/>
  </r>
  <r>
    <x v="314"/>
    <n v="0"/>
    <n v="0"/>
    <n v="0"/>
    <n v="0.03"/>
    <n v="1"/>
    <n v="0"/>
    <n v="1"/>
    <n v="1"/>
    <n v="0"/>
  </r>
  <r>
    <x v="315"/>
    <n v="-1"/>
    <n v="0"/>
    <n v="0"/>
    <n v="0.02"/>
    <n v="1"/>
    <n v="0"/>
    <n v="1"/>
    <n v="1"/>
    <n v="0"/>
  </r>
  <r>
    <x v="316"/>
    <n v="0"/>
    <n v="0"/>
    <n v="0"/>
    <n v="0.02"/>
    <n v="3"/>
    <n v="0"/>
    <n v="3"/>
    <n v="3"/>
    <n v="0"/>
  </r>
  <r>
    <x v="317"/>
    <n v="-6"/>
    <n v="0"/>
    <n v="0"/>
    <n v="0.01"/>
    <n v="6"/>
    <n v="0"/>
    <n v="1"/>
    <n v="1"/>
    <n v="0"/>
  </r>
  <r>
    <x v="318"/>
    <n v="-1"/>
    <n v="0"/>
    <n v="0"/>
    <n v="0.02"/>
    <n v="1"/>
    <n v="0"/>
    <n v="1"/>
    <n v="1"/>
    <n v="0"/>
  </r>
  <r>
    <x v="319"/>
    <n v="-10"/>
    <n v="0"/>
    <n v="0"/>
    <n v="0.03"/>
    <n v="20"/>
    <n v="0"/>
    <n v="2"/>
    <n v="2"/>
    <n v="0"/>
  </r>
  <r>
    <x v="320"/>
    <n v="0"/>
    <n v="0"/>
    <n v="0"/>
    <n v="0.01"/>
    <n v="10"/>
    <n v="0"/>
    <n v="1"/>
    <n v="1"/>
    <n v="0"/>
  </r>
  <r>
    <x v="321"/>
    <n v="0"/>
    <n v="0"/>
    <n v="0"/>
    <n v="0.01"/>
    <n v="1"/>
    <n v="0"/>
    <n v="1"/>
    <n v="1"/>
    <n v="0"/>
  </r>
  <r>
    <x v="322"/>
    <n v="0"/>
    <n v="0"/>
    <n v="0"/>
    <n v="0.03"/>
    <n v="15"/>
    <n v="0"/>
    <n v="1"/>
    <n v="1"/>
    <n v="0"/>
  </r>
  <r>
    <x v="323"/>
    <n v="15"/>
    <n v="7"/>
    <n v="0"/>
    <n v="0.02"/>
    <n v="60"/>
    <n v="0"/>
    <n v="2"/>
    <n v="2"/>
    <n v="0"/>
  </r>
  <r>
    <x v="324"/>
    <n v="0"/>
    <n v="0"/>
    <n v="0"/>
    <n v="0.03"/>
    <n v="1"/>
    <n v="0"/>
    <n v="1"/>
    <n v="1"/>
    <n v="0"/>
  </r>
  <r>
    <x v="325"/>
    <n v="-10"/>
    <n v="0"/>
    <n v="0"/>
    <n v="0.01"/>
    <n v="10"/>
    <n v="0"/>
    <n v="1"/>
    <n v="1"/>
    <n v="0"/>
  </r>
  <r>
    <x v="326"/>
    <n v="-10"/>
    <n v="0"/>
    <n v="0"/>
    <n v="0.01"/>
    <n v="10"/>
    <n v="0"/>
    <n v="1"/>
    <n v="1"/>
    <n v="0"/>
  </r>
  <r>
    <x v="327"/>
    <n v="0"/>
    <n v="0"/>
    <n v="0"/>
    <n v="0.02"/>
    <n v="150"/>
    <n v="0"/>
    <n v="7"/>
    <n v="7"/>
    <n v="0"/>
  </r>
  <r>
    <x v="328"/>
    <n v="0"/>
    <n v="0"/>
    <n v="0"/>
    <n v="0"/>
    <n v="10"/>
    <n v="0"/>
    <n v="1"/>
    <n v="1"/>
    <n v="0"/>
  </r>
  <r>
    <x v="329"/>
    <n v="0"/>
    <n v="0"/>
    <n v="0"/>
    <n v="0.01"/>
    <n v="30"/>
    <n v="0"/>
    <n v="1"/>
    <n v="1"/>
    <n v="0"/>
  </r>
  <r>
    <x v="330"/>
    <n v="-6"/>
    <n v="0"/>
    <n v="0"/>
    <n v="0"/>
    <n v="1"/>
    <n v="0"/>
    <n v="1"/>
    <n v="1"/>
    <n v="0"/>
  </r>
  <r>
    <x v="331"/>
    <n v="0"/>
    <n v="0"/>
    <n v="0"/>
    <n v="0.01"/>
    <n v="2"/>
    <n v="0"/>
    <n v="2"/>
    <n v="2"/>
    <n v="0"/>
  </r>
  <r>
    <x v="332"/>
    <n v="-1"/>
    <n v="0"/>
    <n v="0"/>
    <n v="0"/>
    <n v="2"/>
    <n v="0"/>
    <n v="1"/>
    <n v="1"/>
    <n v="0"/>
  </r>
  <r>
    <x v="333"/>
    <n v="-84"/>
    <n v="0"/>
    <n v="0"/>
    <n v="0"/>
    <n v="20"/>
    <n v="0"/>
    <n v="2"/>
    <n v="2"/>
    <n v="0"/>
  </r>
  <r>
    <x v="334"/>
    <n v="0"/>
    <n v="0"/>
    <n v="0"/>
    <n v="0.01"/>
    <n v="10"/>
    <n v="0"/>
    <n v="4"/>
    <n v="4"/>
    <n v="0"/>
  </r>
  <r>
    <x v="335"/>
    <n v="0"/>
    <n v="0"/>
    <n v="0"/>
    <n v="0.01"/>
    <n v="6"/>
    <n v="0"/>
    <n v="4"/>
    <n v="4"/>
    <n v="0"/>
  </r>
  <r>
    <x v="336"/>
    <n v="-4"/>
    <n v="0"/>
    <n v="0"/>
    <n v="0"/>
    <n v="1"/>
    <n v="0"/>
    <n v="1"/>
    <n v="1"/>
    <n v="0"/>
  </r>
  <r>
    <x v="337"/>
    <n v="0"/>
    <n v="0"/>
    <n v="0"/>
    <n v="0.02"/>
    <n v="4"/>
    <n v="0"/>
    <n v="4"/>
    <n v="3"/>
    <n v="0"/>
  </r>
  <r>
    <x v="338"/>
    <n v="-6"/>
    <n v="0"/>
    <n v="0"/>
    <n v="0.01"/>
    <n v="1"/>
    <n v="0"/>
    <n v="1"/>
    <n v="1"/>
    <n v="0"/>
  </r>
  <r>
    <x v="339"/>
    <n v="0"/>
    <n v="0"/>
    <n v="0"/>
    <n v="0.01"/>
    <n v="1"/>
    <n v="0"/>
    <n v="1"/>
    <n v="1"/>
    <n v="0"/>
  </r>
  <r>
    <x v="340"/>
    <n v="0"/>
    <n v="0"/>
    <n v="0"/>
    <n v="0.02"/>
    <n v="1"/>
    <n v="0"/>
    <n v="1"/>
    <n v="1"/>
    <n v="0"/>
  </r>
  <r>
    <x v="341"/>
    <n v="-1"/>
    <n v="0"/>
    <n v="0"/>
    <n v="0.01"/>
    <n v="1"/>
    <n v="0"/>
    <n v="1"/>
    <n v="1"/>
    <n v="0"/>
  </r>
  <r>
    <x v="342"/>
    <n v="-9"/>
    <n v="0"/>
    <n v="0"/>
    <n v="0.01"/>
    <n v="2"/>
    <n v="0"/>
    <n v="2"/>
    <n v="2"/>
    <n v="0"/>
  </r>
  <r>
    <x v="343"/>
    <n v="-3"/>
    <n v="0"/>
    <n v="0"/>
    <n v="0.03"/>
    <n v="2"/>
    <n v="0"/>
    <n v="2"/>
    <n v="2"/>
    <n v="0"/>
  </r>
  <r>
    <x v="344"/>
    <n v="-4"/>
    <n v="0"/>
    <n v="0"/>
    <n v="0.01"/>
    <n v="2"/>
    <n v="0"/>
    <n v="2"/>
    <n v="2"/>
    <n v="0"/>
  </r>
  <r>
    <x v="345"/>
    <n v="-4"/>
    <n v="0"/>
    <n v="0"/>
    <n v="0.01"/>
    <n v="4"/>
    <n v="0"/>
    <n v="4"/>
    <n v="4"/>
    <n v="0"/>
  </r>
  <r>
    <x v="346"/>
    <n v="0"/>
    <n v="0"/>
    <n v="0"/>
    <n v="0.02"/>
    <n v="2"/>
    <n v="0"/>
    <n v="2"/>
    <n v="2"/>
    <n v="0"/>
  </r>
  <r>
    <x v="347"/>
    <n v="0"/>
    <n v="0"/>
    <n v="0"/>
    <n v="0.01"/>
    <n v="1"/>
    <n v="0"/>
    <n v="1"/>
    <n v="1"/>
    <n v="0"/>
  </r>
  <r>
    <x v="348"/>
    <n v="-3"/>
    <n v="0"/>
    <n v="0"/>
    <n v="0"/>
    <n v="1"/>
    <n v="0"/>
    <n v="1"/>
    <n v="1"/>
    <n v="0"/>
  </r>
  <r>
    <x v="349"/>
    <n v="-6"/>
    <n v="0"/>
    <n v="0"/>
    <n v="0"/>
    <n v="1"/>
    <n v="0"/>
    <n v="1"/>
    <n v="1"/>
    <n v="0"/>
  </r>
  <r>
    <x v="350"/>
    <n v="-2"/>
    <n v="0"/>
    <n v="0"/>
    <n v="0.02"/>
    <n v="2"/>
    <n v="0"/>
    <n v="2"/>
    <n v="2"/>
    <n v="0"/>
  </r>
  <r>
    <x v="351"/>
    <n v="-12"/>
    <n v="0"/>
    <n v="0"/>
    <n v="0"/>
    <n v="15"/>
    <n v="0"/>
    <n v="1"/>
    <n v="1"/>
    <n v="0"/>
  </r>
  <r>
    <x v="352"/>
    <n v="0"/>
    <n v="0"/>
    <n v="0"/>
    <n v="0.02"/>
    <n v="1"/>
    <n v="0"/>
    <n v="1"/>
    <n v="1"/>
    <n v="0"/>
  </r>
  <r>
    <x v="353"/>
    <n v="-45"/>
    <n v="0"/>
    <n v="0"/>
    <n v="0.03"/>
    <n v="45"/>
    <n v="0"/>
    <n v="1"/>
    <n v="1"/>
    <n v="0"/>
  </r>
  <r>
    <x v="354"/>
    <n v="10"/>
    <n v="7"/>
    <n v="0"/>
    <n v="0.02"/>
    <n v="40"/>
    <n v="0"/>
    <n v="4"/>
    <n v="4"/>
    <n v="0"/>
  </r>
  <r>
    <x v="355"/>
    <n v="0"/>
    <n v="0"/>
    <n v="0"/>
    <n v="0.02"/>
    <n v="20"/>
    <n v="0"/>
    <n v="2"/>
    <n v="2"/>
    <n v="0"/>
  </r>
  <r>
    <x v="356"/>
    <n v="0"/>
    <n v="0"/>
    <n v="0"/>
    <n v="0.01"/>
    <n v="10"/>
    <n v="0"/>
    <n v="1"/>
    <n v="1"/>
    <n v="0"/>
  </r>
  <r>
    <x v="357"/>
    <n v="-1"/>
    <n v="0"/>
    <n v="0"/>
    <n v="0.03"/>
    <n v="3"/>
    <n v="0"/>
    <n v="3"/>
    <n v="3"/>
    <n v="0"/>
  </r>
  <r>
    <x v="358"/>
    <n v="0"/>
    <n v="0"/>
    <n v="0"/>
    <n v="0.02"/>
    <n v="4"/>
    <n v="0"/>
    <n v="4"/>
    <n v="4"/>
    <n v="0"/>
  </r>
  <r>
    <x v="359"/>
    <n v="10"/>
    <n v="4"/>
    <n v="0"/>
    <n v="0.03"/>
    <n v="70"/>
    <n v="0"/>
    <n v="5"/>
    <n v="4"/>
    <n v="0"/>
  </r>
  <r>
    <x v="360"/>
    <n v="0"/>
    <n v="0"/>
    <n v="0"/>
    <n v="0.01"/>
    <n v="1"/>
    <n v="0"/>
    <n v="1"/>
    <n v="1"/>
    <n v="0"/>
  </r>
  <r>
    <x v="361"/>
    <n v="-2"/>
    <n v="0"/>
    <n v="0"/>
    <n v="0.01"/>
    <n v="2"/>
    <n v="0"/>
    <n v="1"/>
    <n v="1"/>
    <n v="0"/>
  </r>
  <r>
    <x v="362"/>
    <n v="0"/>
    <n v="0"/>
    <n v="0"/>
    <n v="0.01"/>
    <n v="1"/>
    <n v="0"/>
    <n v="1"/>
    <n v="1"/>
    <n v="0"/>
  </r>
  <r>
    <x v="363"/>
    <n v="-22"/>
    <n v="0"/>
    <n v="0"/>
    <n v="0.01"/>
    <n v="1"/>
    <n v="0"/>
    <n v="1"/>
    <n v="1"/>
    <n v="0"/>
  </r>
  <r>
    <x v="364"/>
    <n v="-12"/>
    <n v="0"/>
    <n v="0"/>
    <n v="0.02"/>
    <n v="2"/>
    <n v="0"/>
    <n v="2"/>
    <n v="2"/>
    <n v="0"/>
  </r>
  <r>
    <x v="365"/>
    <n v="-138"/>
    <n v="0"/>
    <n v="0"/>
    <n v="0"/>
    <n v="3"/>
    <n v="0"/>
    <n v="1"/>
    <n v="1"/>
    <n v="0"/>
  </r>
  <r>
    <x v="366"/>
    <n v="-99"/>
    <n v="0"/>
    <n v="0"/>
    <n v="0"/>
    <n v="9"/>
    <n v="0"/>
    <n v="5"/>
    <n v="4"/>
    <n v="0"/>
  </r>
  <r>
    <x v="367"/>
    <n v="-155"/>
    <n v="0"/>
    <n v="0"/>
    <n v="0.01"/>
    <n v="15"/>
    <n v="0"/>
    <n v="3"/>
    <n v="2"/>
    <n v="0"/>
  </r>
  <r>
    <x v="368"/>
    <n v="0"/>
    <n v="0"/>
    <n v="0"/>
    <n v="0.01"/>
    <n v="2"/>
    <n v="0"/>
    <n v="2"/>
    <n v="2"/>
    <n v="0"/>
  </r>
  <r>
    <x v="369"/>
    <n v="-7"/>
    <n v="0"/>
    <n v="0"/>
    <n v="0.01"/>
    <n v="1"/>
    <n v="0"/>
    <n v="1"/>
    <n v="1"/>
    <n v="0"/>
  </r>
  <r>
    <x v="370"/>
    <n v="-2"/>
    <n v="0"/>
    <n v="0"/>
    <n v="0.03"/>
    <n v="2"/>
    <n v="0"/>
    <n v="2"/>
    <n v="2"/>
    <n v="0"/>
  </r>
  <r>
    <x v="371"/>
    <n v="-11"/>
    <n v="0"/>
    <n v="0"/>
    <n v="0.01"/>
    <n v="1"/>
    <n v="0"/>
    <n v="1"/>
    <n v="1"/>
    <n v="0"/>
  </r>
  <r>
    <x v="372"/>
    <n v="-5"/>
    <n v="0"/>
    <n v="0"/>
    <n v="0.01"/>
    <n v="1"/>
    <n v="0"/>
    <n v="1"/>
    <n v="1"/>
    <n v="0"/>
  </r>
  <r>
    <x v="373"/>
    <n v="-1"/>
    <n v="0"/>
    <n v="0"/>
    <n v="0.01"/>
    <n v="1"/>
    <n v="0"/>
    <n v="1"/>
    <n v="1"/>
    <n v="0"/>
  </r>
  <r>
    <x v="374"/>
    <n v="-3"/>
    <n v="0"/>
    <n v="0"/>
    <n v="0.01"/>
    <n v="1"/>
    <n v="0"/>
    <n v="1"/>
    <n v="1"/>
    <n v="0"/>
  </r>
  <r>
    <x v="375"/>
    <n v="-45"/>
    <n v="0"/>
    <n v="0"/>
    <n v="0.02"/>
    <n v="15"/>
    <n v="0"/>
    <n v="1"/>
    <n v="1"/>
    <n v="0"/>
  </r>
  <r>
    <x v="376"/>
    <n v="-1"/>
    <n v="0"/>
    <n v="0"/>
    <n v="0"/>
    <n v="1"/>
    <n v="0"/>
    <n v="1"/>
    <n v="1"/>
    <n v="0"/>
  </r>
  <r>
    <x v="377"/>
    <n v="0"/>
    <n v="0"/>
    <n v="0"/>
    <n v="0.02"/>
    <n v="1"/>
    <n v="0"/>
    <n v="1"/>
    <n v="1"/>
    <n v="0"/>
  </r>
  <r>
    <x v="378"/>
    <n v="-2"/>
    <n v="0"/>
    <n v="0"/>
    <n v="0.01"/>
    <n v="1"/>
    <n v="0"/>
    <n v="1"/>
    <n v="1"/>
    <n v="0"/>
  </r>
  <r>
    <x v="379"/>
    <n v="0"/>
    <n v="0"/>
    <n v="0"/>
    <n v="0.01"/>
    <n v="1"/>
    <n v="0"/>
    <n v="1"/>
    <n v="1"/>
    <n v="0"/>
  </r>
  <r>
    <x v="380"/>
    <n v="-3"/>
    <n v="0"/>
    <n v="0"/>
    <n v="0.02"/>
    <n v="1"/>
    <n v="0"/>
    <n v="1"/>
    <n v="1"/>
    <n v="0"/>
  </r>
  <r>
    <x v="381"/>
    <n v="10"/>
    <n v="7"/>
    <n v="0"/>
    <n v="0.03"/>
    <n v="40"/>
    <n v="0"/>
    <n v="3"/>
    <n v="3"/>
    <n v="0"/>
  </r>
  <r>
    <x v="382"/>
    <n v="-14"/>
    <n v="0"/>
    <n v="0"/>
    <n v="0.01"/>
    <n v="1"/>
    <n v="0"/>
    <n v="1"/>
    <n v="1"/>
    <n v="0"/>
  </r>
  <r>
    <x v="383"/>
    <n v="0"/>
    <n v="0"/>
    <n v="0"/>
    <n v="0.03"/>
    <n v="1"/>
    <n v="0"/>
    <n v="1"/>
    <n v="1"/>
    <n v="0"/>
  </r>
  <r>
    <x v="384"/>
    <n v="0"/>
    <n v="0"/>
    <n v="0"/>
    <n v="0.02"/>
    <n v="1"/>
    <n v="0"/>
    <n v="1"/>
    <n v="1"/>
    <n v="0"/>
  </r>
  <r>
    <x v="385"/>
    <n v="-1"/>
    <n v="0"/>
    <n v="0"/>
    <n v="0.02"/>
    <n v="1"/>
    <n v="0"/>
    <n v="1"/>
    <n v="1"/>
    <n v="0"/>
  </r>
  <r>
    <x v="386"/>
    <n v="-30"/>
    <n v="0"/>
    <n v="0"/>
    <n v="0.01"/>
    <n v="30"/>
    <n v="0"/>
    <n v="3"/>
    <n v="3"/>
    <n v="0"/>
  </r>
  <r>
    <x v="387"/>
    <n v="1"/>
    <n v="7"/>
    <n v="0"/>
    <n v="0.03"/>
    <n v="4"/>
    <n v="0"/>
    <n v="4"/>
    <n v="4"/>
    <n v="0"/>
  </r>
  <r>
    <x v="388"/>
    <n v="0"/>
    <n v="0"/>
    <n v="0"/>
    <n v="0.01"/>
    <n v="1"/>
    <n v="0"/>
    <n v="1"/>
    <n v="1"/>
    <n v="0"/>
  </r>
  <r>
    <x v="389"/>
    <n v="-13"/>
    <n v="0"/>
    <n v="0"/>
    <n v="0.02"/>
    <n v="2"/>
    <n v="0"/>
    <n v="2"/>
    <n v="2"/>
    <n v="0"/>
  </r>
  <r>
    <x v="390"/>
    <n v="-3"/>
    <n v="0"/>
    <n v="0"/>
    <n v="0.01"/>
    <n v="2"/>
    <n v="0"/>
    <n v="2"/>
    <n v="2"/>
    <n v="0"/>
  </r>
  <r>
    <x v="391"/>
    <n v="-5"/>
    <n v="0"/>
    <n v="0"/>
    <n v="0.01"/>
    <n v="1"/>
    <n v="0"/>
    <n v="1"/>
    <n v="1"/>
    <n v="0"/>
  </r>
  <r>
    <x v="392"/>
    <n v="0"/>
    <n v="0"/>
    <n v="0"/>
    <n v="0.02"/>
    <n v="3"/>
    <n v="0"/>
    <n v="3"/>
    <n v="3"/>
    <n v="0"/>
  </r>
  <r>
    <x v="393"/>
    <n v="-115"/>
    <n v="0"/>
    <n v="0"/>
    <n v="0"/>
    <n v="51"/>
    <n v="0"/>
    <n v="3"/>
    <n v="3"/>
    <n v="0"/>
  </r>
  <r>
    <x v="394"/>
    <n v="-81"/>
    <n v="0"/>
    <n v="0"/>
    <n v="0.01"/>
    <n v="81"/>
    <n v="0"/>
    <n v="3"/>
    <n v="3"/>
    <n v="0"/>
  </r>
  <r>
    <x v="395"/>
    <n v="6"/>
    <n v="2"/>
    <n v="0"/>
    <n v="0"/>
    <n v="85"/>
    <n v="0"/>
    <n v="5"/>
    <n v="5"/>
    <n v="0"/>
  </r>
  <r>
    <x v="396"/>
    <n v="-45"/>
    <n v="0"/>
    <n v="0"/>
    <n v="0.01"/>
    <n v="90"/>
    <n v="0"/>
    <n v="6"/>
    <n v="5"/>
    <n v="0"/>
  </r>
  <r>
    <x v="397"/>
    <n v="-2"/>
    <n v="0"/>
    <n v="0"/>
    <n v="0"/>
    <n v="1"/>
    <n v="0"/>
    <n v="1"/>
    <n v="1"/>
    <n v="0"/>
  </r>
  <r>
    <x v="398"/>
    <n v="0"/>
    <n v="0"/>
    <n v="0"/>
    <n v="0"/>
    <n v="3"/>
    <n v="0"/>
    <n v="3"/>
    <n v="2"/>
    <n v="0"/>
  </r>
  <r>
    <x v="399"/>
    <n v="-3"/>
    <n v="0"/>
    <n v="0"/>
    <n v="0.03"/>
    <n v="2"/>
    <n v="0"/>
    <n v="1"/>
    <n v="1"/>
    <n v="0"/>
  </r>
  <r>
    <x v="400"/>
    <n v="-4"/>
    <n v="0"/>
    <n v="0"/>
    <n v="0.02"/>
    <n v="4"/>
    <n v="0"/>
    <n v="4"/>
    <n v="3"/>
    <n v="0"/>
  </r>
  <r>
    <x v="401"/>
    <n v="-20"/>
    <n v="0"/>
    <n v="0"/>
    <n v="0.01"/>
    <n v="4"/>
    <n v="0"/>
    <n v="2"/>
    <n v="2"/>
    <n v="0"/>
  </r>
  <r>
    <x v="402"/>
    <n v="0"/>
    <n v="0"/>
    <n v="0"/>
    <n v="0.01"/>
    <n v="1"/>
    <n v="0"/>
    <n v="1"/>
    <n v="1"/>
    <n v="0"/>
  </r>
  <r>
    <x v="403"/>
    <n v="0"/>
    <n v="0"/>
    <n v="0"/>
    <n v="0.01"/>
    <n v="60"/>
    <n v="0"/>
    <n v="2"/>
    <n v="2"/>
    <n v="0"/>
  </r>
  <r>
    <x v="404"/>
    <n v="0"/>
    <n v="0"/>
    <n v="0"/>
    <n v="0.03"/>
    <n v="1"/>
    <n v="0"/>
    <n v="1"/>
    <n v="1"/>
    <n v="0"/>
  </r>
  <r>
    <x v="405"/>
    <n v="-30"/>
    <n v="0"/>
    <n v="0"/>
    <n v="0.02"/>
    <n v="45"/>
    <n v="0"/>
    <n v="3"/>
    <n v="3"/>
    <n v="0"/>
  </r>
  <r>
    <x v="406"/>
    <n v="0"/>
    <n v="0"/>
    <n v="0"/>
    <n v="0.01"/>
    <n v="10"/>
    <n v="0"/>
    <n v="1"/>
    <n v="1"/>
    <n v="0"/>
  </r>
  <r>
    <x v="407"/>
    <n v="-1"/>
    <n v="0"/>
    <n v="0"/>
    <n v="0.02"/>
    <n v="1"/>
    <n v="0"/>
    <n v="1"/>
    <n v="1"/>
    <n v="0"/>
  </r>
  <r>
    <x v="408"/>
    <n v="0"/>
    <n v="0"/>
    <n v="0"/>
    <n v="0.03"/>
    <n v="1"/>
    <n v="0"/>
    <n v="1"/>
    <n v="1"/>
    <n v="0"/>
  </r>
  <r>
    <x v="409"/>
    <n v="0"/>
    <n v="0"/>
    <n v="0"/>
    <n v="0.02"/>
    <n v="2"/>
    <n v="0"/>
    <n v="2"/>
    <n v="2"/>
    <n v="0"/>
  </r>
  <r>
    <x v="410"/>
    <n v="0"/>
    <n v="0"/>
    <n v="0"/>
    <n v="0.01"/>
    <n v="2"/>
    <n v="0"/>
    <n v="2"/>
    <n v="2"/>
    <n v="0"/>
  </r>
  <r>
    <x v="411"/>
    <n v="-7"/>
    <n v="0"/>
    <n v="0"/>
    <n v="0.01"/>
    <n v="1"/>
    <n v="0"/>
    <n v="1"/>
    <n v="1"/>
    <n v="0"/>
  </r>
  <r>
    <x v="412"/>
    <n v="-1"/>
    <n v="0"/>
    <n v="0"/>
    <n v="0.01"/>
    <n v="1"/>
    <n v="0"/>
    <n v="1"/>
    <n v="1"/>
    <n v="0"/>
  </r>
  <r>
    <x v="413"/>
    <n v="0"/>
    <n v="0"/>
    <n v="0"/>
    <n v="0.02"/>
    <n v="2"/>
    <n v="0"/>
    <n v="1"/>
    <n v="1"/>
    <n v="0"/>
  </r>
  <r>
    <x v="414"/>
    <n v="30"/>
    <n v="5"/>
    <n v="0"/>
    <n v="0.03"/>
    <n v="180"/>
    <n v="0"/>
    <n v="3"/>
    <n v="3"/>
    <n v="0"/>
  </r>
  <r>
    <x v="415"/>
    <n v="0"/>
    <n v="0"/>
    <n v="0"/>
    <n v="0.01"/>
    <n v="1"/>
    <n v="0"/>
    <n v="1"/>
    <n v="1"/>
    <n v="0"/>
  </r>
  <r>
    <x v="416"/>
    <n v="-2"/>
    <n v="0"/>
    <n v="0"/>
    <n v="0.01"/>
    <n v="36"/>
    <n v="0"/>
    <n v="9"/>
    <n v="7"/>
    <n v="0"/>
  </r>
  <r>
    <x v="417"/>
    <n v="0"/>
    <n v="0"/>
    <n v="0"/>
    <n v="0.01"/>
    <n v="2"/>
    <n v="0"/>
    <n v="2"/>
    <n v="2"/>
    <n v="0"/>
  </r>
  <r>
    <x v="418"/>
    <n v="0"/>
    <n v="0"/>
    <n v="0"/>
    <n v="0.01"/>
    <n v="1"/>
    <n v="0"/>
    <n v="1"/>
    <n v="1"/>
    <n v="0"/>
  </r>
  <r>
    <x v="419"/>
    <n v="-4"/>
    <n v="0"/>
    <n v="0"/>
    <n v="0.01"/>
    <n v="1"/>
    <n v="0"/>
    <n v="1"/>
    <n v="1"/>
    <n v="0"/>
  </r>
  <r>
    <x v="420"/>
    <n v="-7"/>
    <n v="0"/>
    <n v="0"/>
    <n v="0.01"/>
    <n v="2"/>
    <n v="0"/>
    <n v="2"/>
    <n v="2"/>
    <n v="0"/>
  </r>
  <r>
    <x v="421"/>
    <n v="0"/>
    <n v="0"/>
    <n v="0"/>
    <n v="0"/>
    <n v="1"/>
    <n v="0"/>
    <n v="1"/>
    <n v="1"/>
    <n v="0"/>
  </r>
  <r>
    <x v="422"/>
    <n v="-6"/>
    <n v="0"/>
    <n v="0"/>
    <n v="0"/>
    <n v="1"/>
    <n v="0"/>
    <n v="1"/>
    <n v="1"/>
    <n v="0"/>
  </r>
  <r>
    <x v="423"/>
    <n v="-9"/>
    <n v="0"/>
    <n v="0"/>
    <n v="0.03"/>
    <n v="2"/>
    <n v="0"/>
    <n v="2"/>
    <n v="2"/>
    <n v="0"/>
  </r>
  <r>
    <x v="424"/>
    <n v="-3"/>
    <n v="0"/>
    <n v="0"/>
    <n v="0.03"/>
    <n v="5"/>
    <n v="0"/>
    <n v="5"/>
    <n v="5"/>
    <n v="0"/>
  </r>
  <r>
    <x v="425"/>
    <n v="-2"/>
    <n v="0"/>
    <n v="0"/>
    <n v="0.01"/>
    <n v="2"/>
    <n v="0"/>
    <n v="2"/>
    <n v="2"/>
    <n v="0"/>
  </r>
  <r>
    <x v="426"/>
    <n v="-39"/>
    <n v="0"/>
    <n v="0"/>
    <n v="0"/>
    <n v="35"/>
    <n v="0"/>
    <n v="5"/>
    <n v="5"/>
    <n v="0"/>
  </r>
  <r>
    <x v="427"/>
    <n v="-6"/>
    <n v="0"/>
    <n v="0"/>
    <n v="0.01"/>
    <n v="3"/>
    <n v="0"/>
    <n v="3"/>
    <n v="3"/>
    <n v="0"/>
  </r>
  <r>
    <x v="428"/>
    <n v="0"/>
    <n v="0"/>
    <n v="0"/>
    <n v="0"/>
    <n v="1"/>
    <n v="0"/>
    <n v="1"/>
    <n v="1"/>
    <n v="0"/>
  </r>
  <r>
    <x v="429"/>
    <n v="-1"/>
    <n v="0"/>
    <n v="0"/>
    <n v="0.03"/>
    <n v="1"/>
    <n v="0"/>
    <n v="1"/>
    <n v="1"/>
    <n v="0"/>
  </r>
  <r>
    <x v="430"/>
    <n v="-11"/>
    <n v="0"/>
    <n v="0"/>
    <n v="0.02"/>
    <n v="5"/>
    <n v="0"/>
    <n v="5"/>
    <n v="5"/>
    <n v="0"/>
  </r>
  <r>
    <x v="431"/>
    <n v="-67"/>
    <n v="0"/>
    <n v="0"/>
    <n v="0.01"/>
    <n v="5"/>
    <n v="0"/>
    <n v="5"/>
    <n v="5"/>
    <n v="0"/>
  </r>
  <r>
    <x v="432"/>
    <n v="-2"/>
    <n v="0"/>
    <n v="0"/>
    <n v="0.01"/>
    <n v="1"/>
    <n v="0"/>
    <n v="1"/>
    <n v="1"/>
    <n v="0"/>
  </r>
  <r>
    <x v="433"/>
    <n v="0"/>
    <n v="0"/>
    <n v="0"/>
    <n v="0.02"/>
    <n v="3"/>
    <n v="0"/>
    <n v="3"/>
    <n v="3"/>
    <n v="0"/>
  </r>
  <r>
    <x v="434"/>
    <n v="9"/>
    <n v="7"/>
    <n v="0"/>
    <n v="0.03"/>
    <n v="36"/>
    <n v="0"/>
    <n v="4"/>
    <n v="4"/>
    <n v="0"/>
  </r>
  <r>
    <x v="435"/>
    <n v="-15"/>
    <n v="0"/>
    <n v="0"/>
    <n v="0"/>
    <n v="1"/>
    <n v="0"/>
    <n v="1"/>
    <n v="1"/>
    <n v="0"/>
  </r>
  <r>
    <x v="436"/>
    <n v="0"/>
    <n v="0"/>
    <n v="0"/>
    <n v="0.03"/>
    <n v="1"/>
    <n v="0"/>
    <n v="1"/>
    <n v="1"/>
    <n v="0"/>
  </r>
  <r>
    <x v="437"/>
    <n v="1"/>
    <n v="1"/>
    <n v="0"/>
    <n v="0.02"/>
    <n v="22"/>
    <n v="0"/>
    <n v="6"/>
    <n v="6"/>
    <n v="0"/>
  </r>
  <r>
    <x v="438"/>
    <n v="0"/>
    <n v="0"/>
    <n v="0"/>
    <n v="0.02"/>
    <n v="20"/>
    <n v="0"/>
    <n v="2"/>
    <n v="2"/>
    <n v="0"/>
  </r>
  <r>
    <x v="439"/>
    <n v="0"/>
    <n v="0"/>
    <n v="0"/>
    <n v="0"/>
    <n v="1"/>
    <n v="0"/>
    <n v="1"/>
    <n v="1"/>
    <n v="0"/>
  </r>
  <r>
    <x v="440"/>
    <n v="-1"/>
    <n v="0"/>
    <n v="0"/>
    <n v="0"/>
    <n v="1"/>
    <n v="0"/>
    <n v="1"/>
    <n v="1"/>
    <n v="0"/>
  </r>
  <r>
    <x v="441"/>
    <n v="-1"/>
    <n v="0"/>
    <n v="0"/>
    <n v="0.01"/>
    <n v="10"/>
    <n v="0"/>
    <n v="1"/>
    <n v="1"/>
    <n v="0"/>
  </r>
  <r>
    <x v="442"/>
    <n v="0"/>
    <n v="0"/>
    <n v="0"/>
    <n v="0.03"/>
    <n v="1"/>
    <n v="0"/>
    <n v="1"/>
    <n v="1"/>
    <n v="0"/>
  </r>
  <r>
    <x v="443"/>
    <n v="0"/>
    <n v="0"/>
    <n v="0"/>
    <n v="0.02"/>
    <n v="3"/>
    <n v="0"/>
    <n v="2"/>
    <n v="2"/>
    <n v="0"/>
  </r>
  <r>
    <x v="444"/>
    <n v="-43"/>
    <n v="0"/>
    <n v="0"/>
    <n v="0"/>
    <n v="55"/>
    <n v="0"/>
    <n v="5"/>
    <n v="5"/>
    <n v="0"/>
  </r>
  <r>
    <x v="445"/>
    <n v="0"/>
    <n v="0"/>
    <n v="0"/>
    <n v="0.01"/>
    <n v="10"/>
    <n v="0"/>
    <n v="1"/>
    <n v="1"/>
    <n v="0"/>
  </r>
  <r>
    <x v="446"/>
    <n v="0"/>
    <n v="0"/>
    <n v="0"/>
    <n v="0.01"/>
    <n v="2"/>
    <n v="0"/>
    <n v="2"/>
    <n v="2"/>
    <n v="0"/>
  </r>
  <r>
    <x v="447"/>
    <n v="0"/>
    <n v="0"/>
    <n v="0"/>
    <n v="0.01"/>
    <n v="1"/>
    <n v="0"/>
    <n v="1"/>
    <n v="1"/>
    <n v="0"/>
  </r>
  <r>
    <x v="448"/>
    <n v="0"/>
    <n v="0"/>
    <n v="0"/>
    <n v="0.01"/>
    <n v="1"/>
    <n v="0"/>
    <n v="1"/>
    <n v="1"/>
    <n v="0"/>
  </r>
  <r>
    <x v="449"/>
    <n v="-8"/>
    <n v="0"/>
    <n v="0"/>
    <n v="0.02"/>
    <n v="1"/>
    <n v="0"/>
    <n v="1"/>
    <n v="1"/>
    <n v="0"/>
  </r>
  <r>
    <x v="450"/>
    <n v="-60"/>
    <n v="0"/>
    <n v="0"/>
    <n v="0.03"/>
    <n v="80"/>
    <n v="0"/>
    <n v="5"/>
    <n v="5"/>
    <n v="0"/>
  </r>
  <r>
    <x v="451"/>
    <n v="0"/>
    <n v="0"/>
    <n v="0"/>
    <n v="0.02"/>
    <n v="30"/>
    <n v="0"/>
    <n v="1"/>
    <n v="1"/>
    <n v="0"/>
  </r>
  <r>
    <x v="452"/>
    <n v="0"/>
    <n v="0"/>
    <n v="0"/>
    <n v="0"/>
    <n v="10"/>
    <n v="0"/>
    <n v="1"/>
    <n v="1"/>
    <n v="0"/>
  </r>
  <r>
    <x v="453"/>
    <n v="0"/>
    <n v="0"/>
    <n v="0"/>
    <n v="0.01"/>
    <n v="2"/>
    <n v="0"/>
    <n v="2"/>
    <n v="2"/>
    <n v="0"/>
  </r>
  <r>
    <x v="454"/>
    <n v="-17"/>
    <n v="0"/>
    <n v="0"/>
    <n v="0.02"/>
    <n v="46"/>
    <n v="0"/>
    <n v="7"/>
    <n v="6"/>
    <n v="0"/>
  </r>
  <r>
    <x v="455"/>
    <n v="-10"/>
    <n v="0"/>
    <n v="0"/>
    <n v="0.01"/>
    <n v="10"/>
    <n v="0"/>
    <n v="1"/>
    <n v="1"/>
    <n v="0"/>
  </r>
  <r>
    <x v="456"/>
    <n v="-2"/>
    <n v="0"/>
    <n v="0"/>
    <n v="0.03"/>
    <n v="30"/>
    <n v="0"/>
    <n v="3"/>
    <n v="3"/>
    <n v="0"/>
  </r>
  <r>
    <x v="457"/>
    <n v="-10"/>
    <n v="0"/>
    <n v="0"/>
    <n v="0.01"/>
    <n v="10"/>
    <n v="0"/>
    <n v="1"/>
    <n v="1"/>
    <n v="0"/>
  </r>
  <r>
    <x v="458"/>
    <n v="0"/>
    <n v="0"/>
    <n v="0"/>
    <n v="0.02"/>
    <n v="1"/>
    <n v="0"/>
    <n v="1"/>
    <n v="1"/>
    <n v="0"/>
  </r>
  <r>
    <x v="459"/>
    <n v="0"/>
    <n v="0"/>
    <n v="0"/>
    <n v="0"/>
    <n v="1"/>
    <n v="0"/>
    <n v="1"/>
    <n v="1"/>
    <n v="0"/>
  </r>
  <r>
    <x v="460"/>
    <n v="0"/>
    <n v="0"/>
    <n v="0"/>
    <n v="0"/>
    <n v="1"/>
    <n v="0"/>
    <n v="1"/>
    <n v="1"/>
    <n v="0"/>
  </r>
  <r>
    <x v="461"/>
    <n v="-4"/>
    <n v="0"/>
    <n v="0"/>
    <n v="0.01"/>
    <n v="2"/>
    <n v="0"/>
    <n v="2"/>
    <n v="2"/>
    <n v="0"/>
  </r>
  <r>
    <x v="462"/>
    <n v="0"/>
    <n v="0"/>
    <n v="0"/>
    <n v="0.01"/>
    <n v="1"/>
    <n v="0"/>
    <n v="1"/>
    <n v="1"/>
    <n v="0"/>
  </r>
  <r>
    <x v="463"/>
    <n v="-11"/>
    <n v="0"/>
    <n v="0"/>
    <n v="0.02"/>
    <n v="3"/>
    <n v="0"/>
    <n v="2"/>
    <n v="2"/>
    <n v="0"/>
  </r>
  <r>
    <x v="464"/>
    <n v="-1"/>
    <n v="0"/>
    <n v="0"/>
    <n v="0.01"/>
    <n v="1"/>
    <n v="0"/>
    <n v="1"/>
    <n v="1"/>
    <n v="0"/>
  </r>
  <r>
    <x v="465"/>
    <n v="0"/>
    <n v="0"/>
    <n v="0"/>
    <n v="0.01"/>
    <n v="10"/>
    <n v="0"/>
    <n v="1"/>
    <n v="1"/>
    <n v="0"/>
  </r>
  <r>
    <x v="466"/>
    <n v="-4"/>
    <n v="0"/>
    <n v="0"/>
    <n v="0.01"/>
    <n v="2"/>
    <n v="0"/>
    <n v="2"/>
    <n v="2"/>
    <n v="0"/>
  </r>
  <r>
    <x v="467"/>
    <n v="0"/>
    <n v="0"/>
    <n v="0"/>
    <n v="0.01"/>
    <n v="2"/>
    <n v="0"/>
    <n v="2"/>
    <n v="1"/>
    <n v="0"/>
  </r>
  <r>
    <x v="468"/>
    <n v="0"/>
    <n v="0"/>
    <n v="0"/>
    <n v="0.03"/>
    <n v="2"/>
    <n v="0"/>
    <n v="2"/>
    <n v="2"/>
    <n v="0"/>
  </r>
  <r>
    <x v="469"/>
    <n v="-10"/>
    <n v="0"/>
    <n v="0"/>
    <n v="0.01"/>
    <n v="10"/>
    <n v="0"/>
    <n v="1"/>
    <n v="1"/>
    <n v="0"/>
  </r>
  <r>
    <x v="470"/>
    <n v="-30"/>
    <n v="0"/>
    <n v="0"/>
    <n v="0.01"/>
    <n v="37"/>
    <n v="0"/>
    <n v="5"/>
    <n v="5"/>
    <n v="0"/>
  </r>
  <r>
    <x v="471"/>
    <n v="0"/>
    <n v="0"/>
    <n v="0"/>
    <n v="0.03"/>
    <n v="30"/>
    <n v="0"/>
    <n v="2"/>
    <n v="2"/>
    <n v="0"/>
  </r>
  <r>
    <x v="472"/>
    <n v="-15"/>
    <n v="0"/>
    <n v="0"/>
    <n v="0.03"/>
    <n v="45"/>
    <n v="0"/>
    <n v="2"/>
    <n v="2"/>
    <n v="0"/>
  </r>
  <r>
    <x v="473"/>
    <n v="0"/>
    <n v="0"/>
    <n v="0"/>
    <n v="0.03"/>
    <n v="2"/>
    <n v="0"/>
    <n v="2"/>
    <n v="2"/>
    <n v="0"/>
  </r>
  <r>
    <x v="474"/>
    <n v="-5"/>
    <n v="0"/>
    <n v="0"/>
    <n v="0"/>
    <n v="5"/>
    <n v="0"/>
    <n v="2"/>
    <n v="2"/>
    <n v="0"/>
  </r>
  <r>
    <x v="475"/>
    <n v="0"/>
    <n v="0"/>
    <n v="0"/>
    <n v="0.03"/>
    <n v="105"/>
    <n v="0"/>
    <n v="1"/>
    <n v="1"/>
    <n v="0"/>
  </r>
  <r>
    <x v="476"/>
    <n v="0"/>
    <n v="0"/>
    <n v="0"/>
    <n v="0.03"/>
    <n v="40"/>
    <n v="0"/>
    <n v="2"/>
    <n v="2"/>
    <n v="0"/>
  </r>
  <r>
    <x v="477"/>
    <n v="0"/>
    <n v="0"/>
    <n v="0"/>
    <n v="0.01"/>
    <n v="15"/>
    <n v="0"/>
    <n v="1"/>
    <n v="1"/>
    <n v="0"/>
  </r>
  <r>
    <x v="478"/>
    <n v="-1"/>
    <n v="0"/>
    <n v="0"/>
    <n v="0.03"/>
    <n v="4"/>
    <n v="0"/>
    <n v="4"/>
    <n v="3"/>
    <n v="0"/>
  </r>
  <r>
    <x v="479"/>
    <n v="0"/>
    <n v="0"/>
    <n v="0"/>
    <n v="0.03"/>
    <n v="2"/>
    <n v="0"/>
    <n v="1"/>
    <n v="1"/>
    <n v="0"/>
  </r>
  <r>
    <x v="480"/>
    <n v="0"/>
    <n v="0"/>
    <n v="0"/>
    <n v="0.01"/>
    <n v="10"/>
    <n v="0"/>
    <n v="1"/>
    <n v="1"/>
    <n v="0"/>
  </r>
  <r>
    <x v="481"/>
    <n v="0"/>
    <n v="0"/>
    <n v="0"/>
    <n v="0.03"/>
    <n v="10"/>
    <n v="0"/>
    <n v="1"/>
    <n v="1"/>
    <n v="0"/>
  </r>
  <r>
    <x v="482"/>
    <n v="-15"/>
    <n v="0"/>
    <n v="0"/>
    <n v="0.01"/>
    <n v="15"/>
    <n v="0"/>
    <n v="1"/>
    <n v="1"/>
    <n v="0"/>
  </r>
  <r>
    <x v="483"/>
    <n v="0"/>
    <n v="0"/>
    <n v="0"/>
    <n v="0.03"/>
    <n v="2"/>
    <n v="0"/>
    <n v="2"/>
    <n v="2"/>
    <n v="0"/>
  </r>
  <r>
    <x v="484"/>
    <n v="0"/>
    <n v="0"/>
    <n v="0"/>
    <n v="0.03"/>
    <n v="3"/>
    <n v="0"/>
    <n v="3"/>
    <n v="3"/>
    <n v="0"/>
  </r>
  <r>
    <x v="485"/>
    <n v="0"/>
    <n v="0"/>
    <n v="0"/>
    <n v="0.01"/>
    <n v="1"/>
    <n v="0"/>
    <n v="1"/>
    <n v="1"/>
    <n v="0"/>
  </r>
  <r>
    <x v="486"/>
    <n v="-10"/>
    <n v="0"/>
    <n v="0"/>
    <n v="0.01"/>
    <n v="30"/>
    <n v="0"/>
    <n v="3"/>
    <n v="2"/>
    <n v="0"/>
  </r>
  <r>
    <x v="487"/>
    <n v="-26"/>
    <n v="0"/>
    <n v="0"/>
    <n v="0.01"/>
    <n v="3"/>
    <n v="0"/>
    <n v="2"/>
    <n v="2"/>
    <n v="0"/>
  </r>
  <r>
    <x v="488"/>
    <n v="0"/>
    <n v="0"/>
    <n v="0"/>
    <n v="0"/>
    <n v="30"/>
    <n v="0"/>
    <n v="2"/>
    <n v="1"/>
    <n v="0"/>
  </r>
  <r>
    <x v="489"/>
    <n v="-46"/>
    <n v="0"/>
    <n v="0"/>
    <n v="0.03"/>
    <n v="244"/>
    <n v="0"/>
    <n v="22"/>
    <n v="14"/>
    <n v="0"/>
  </r>
  <r>
    <x v="490"/>
    <n v="-30"/>
    <n v="0"/>
    <n v="0"/>
    <n v="0.02"/>
    <n v="10"/>
    <n v="0"/>
    <n v="1"/>
    <n v="1"/>
    <n v="0"/>
  </r>
  <r>
    <x v="491"/>
    <n v="-60"/>
    <n v="0"/>
    <n v="0"/>
    <n v="0"/>
    <n v="30"/>
    <n v="0"/>
    <n v="1"/>
    <n v="1"/>
    <n v="0"/>
  </r>
  <r>
    <x v="492"/>
    <n v="0"/>
    <n v="0"/>
    <n v="0"/>
    <n v="0.02"/>
    <n v="2"/>
    <n v="0"/>
    <n v="2"/>
    <n v="2"/>
    <n v="0"/>
  </r>
  <r>
    <x v="493"/>
    <n v="0"/>
    <n v="0"/>
    <n v="0"/>
    <n v="0.01"/>
    <n v="2"/>
    <n v="0"/>
    <n v="2"/>
    <n v="2"/>
    <n v="0"/>
  </r>
  <r>
    <x v="494"/>
    <n v="0"/>
    <n v="0"/>
    <n v="0"/>
    <n v="0.02"/>
    <n v="1"/>
    <n v="0"/>
    <n v="1"/>
    <n v="1"/>
    <n v="1"/>
  </r>
  <r>
    <x v="495"/>
    <n v="-3244"/>
    <n v="324"/>
    <n v="2.5399999999999894"/>
    <n v="20.36000000000023"/>
    <n v="12693"/>
    <n v="0"/>
    <n v="1450"/>
    <n v="1309"/>
    <n v="1"/>
  </r>
  <r>
    <x v="496"/>
    <m/>
    <m/>
    <m/>
    <m/>
    <m/>
    <m/>
    <m/>
    <m/>
    <m/>
  </r>
  <r>
    <x v="497"/>
    <m/>
    <m/>
    <m/>
    <m/>
    <m/>
    <m/>
    <m/>
    <m/>
    <m/>
  </r>
  <r>
    <x v="498"/>
    <m/>
    <m/>
    <m/>
    <m/>
    <m/>
    <m/>
    <m/>
    <m/>
    <m/>
  </r>
  <r>
    <x v="499"/>
    <n v="382"/>
    <n v="14"/>
    <n v="0.1"/>
    <n v="0.72"/>
    <n v="790"/>
    <n v="0"/>
    <n v="72"/>
    <n v="24"/>
    <n v="0"/>
  </r>
  <r>
    <x v="500"/>
    <n v="9"/>
    <n v="12"/>
    <n v="0.09"/>
    <n v="0.61"/>
    <n v="21"/>
    <n v="0"/>
    <n v="18"/>
    <n v="15"/>
    <n v="0"/>
  </r>
  <r>
    <x v="501"/>
    <n v="5"/>
    <n v="10"/>
    <n v="0.09"/>
    <n v="0.65"/>
    <n v="15"/>
    <n v="0"/>
    <n v="6"/>
    <n v="6"/>
    <n v="0"/>
  </r>
  <r>
    <x v="502"/>
    <n v="4"/>
    <n v="9"/>
    <n v="0.08"/>
    <n v="0.56999999999999995"/>
    <n v="13"/>
    <n v="0"/>
    <n v="13"/>
    <n v="12"/>
    <n v="0"/>
  </r>
  <r>
    <x v="503"/>
    <n v="360"/>
    <n v="10"/>
    <n v="0.08"/>
    <n v="0.59"/>
    <n v="1020"/>
    <n v="0"/>
    <n v="50"/>
    <n v="25"/>
    <n v="0"/>
  </r>
  <r>
    <x v="504"/>
    <n v="189"/>
    <n v="11"/>
    <n v="0.05"/>
    <n v="0.33"/>
    <n v="474"/>
    <n v="0"/>
    <n v="31"/>
    <n v="21"/>
    <n v="0"/>
  </r>
  <r>
    <x v="505"/>
    <n v="60"/>
    <n v="12"/>
    <n v="0.03"/>
    <n v="0.2"/>
    <n v="150"/>
    <n v="0"/>
    <n v="15"/>
    <n v="14"/>
    <n v="0"/>
  </r>
  <r>
    <x v="506"/>
    <n v="720"/>
    <n v="11"/>
    <n v="0.03"/>
    <n v="0.18"/>
    <n v="1920"/>
    <n v="0"/>
    <n v="16"/>
    <n v="15"/>
    <n v="0"/>
  </r>
  <r>
    <x v="507"/>
    <n v="40"/>
    <n v="8"/>
    <n v="0.03"/>
    <n v="0.23"/>
    <n v="140"/>
    <n v="0"/>
    <n v="5"/>
    <n v="5"/>
    <n v="0"/>
  </r>
  <r>
    <x v="508"/>
    <n v="100"/>
    <n v="13"/>
    <n v="0.03"/>
    <n v="0.22"/>
    <n v="225"/>
    <n v="0"/>
    <n v="10"/>
    <n v="10"/>
    <n v="0"/>
  </r>
  <r>
    <x v="509"/>
    <n v="10"/>
    <n v="10"/>
    <n v="0.02"/>
    <n v="0.13"/>
    <n v="30"/>
    <n v="0"/>
    <n v="3"/>
    <n v="3"/>
    <n v="0"/>
  </r>
  <r>
    <x v="510"/>
    <n v="60"/>
    <n v="10"/>
    <n v="0.02"/>
    <n v="0.12"/>
    <n v="165"/>
    <n v="0"/>
    <n v="7"/>
    <n v="7"/>
    <n v="0"/>
  </r>
  <r>
    <x v="511"/>
    <n v="300"/>
    <n v="15"/>
    <n v="0.02"/>
    <n v="0.17"/>
    <n v="600"/>
    <n v="0"/>
    <n v="10"/>
    <n v="9"/>
    <n v="0"/>
  </r>
  <r>
    <x v="512"/>
    <n v="15"/>
    <n v="9"/>
    <n v="0.02"/>
    <n v="0.13"/>
    <n v="50"/>
    <n v="0"/>
    <n v="5"/>
    <n v="5"/>
    <n v="0"/>
  </r>
  <r>
    <x v="513"/>
    <n v="3"/>
    <n v="15"/>
    <n v="0.02"/>
    <n v="0.1"/>
    <n v="6"/>
    <n v="0"/>
    <n v="5"/>
    <n v="5"/>
    <n v="0"/>
  </r>
  <r>
    <x v="514"/>
    <n v="4"/>
    <n v="10"/>
    <n v="0.02"/>
    <n v="0.12"/>
    <n v="12"/>
    <n v="0"/>
    <n v="12"/>
    <n v="8"/>
    <n v="0"/>
  </r>
  <r>
    <x v="515"/>
    <n v="6"/>
    <n v="13"/>
    <n v="0.02"/>
    <n v="0.13"/>
    <n v="13"/>
    <n v="0"/>
    <n v="12"/>
    <n v="9"/>
    <n v="0"/>
  </r>
  <r>
    <x v="516"/>
    <n v="3"/>
    <n v="12"/>
    <n v="0.02"/>
    <n v="0.14000000000000001"/>
    <n v="7"/>
    <n v="0"/>
    <n v="7"/>
    <n v="6"/>
    <n v="0"/>
  </r>
  <r>
    <x v="517"/>
    <n v="70"/>
    <n v="14"/>
    <n v="0.02"/>
    <n v="0.15"/>
    <n v="150"/>
    <n v="0"/>
    <n v="6"/>
    <n v="6"/>
    <n v="0"/>
  </r>
  <r>
    <x v="518"/>
    <n v="600"/>
    <n v="15"/>
    <n v="0.02"/>
    <n v="0.11"/>
    <n v="1200"/>
    <n v="0"/>
    <n v="10"/>
    <n v="8"/>
    <n v="0"/>
  </r>
  <r>
    <x v="519"/>
    <n v="30"/>
    <n v="8"/>
    <n v="0.02"/>
    <n v="0.15"/>
    <n v="110"/>
    <n v="0"/>
    <n v="5"/>
    <n v="5"/>
    <n v="0"/>
  </r>
  <r>
    <x v="520"/>
    <n v="120"/>
    <n v="10"/>
    <n v="0.02"/>
    <n v="0.16"/>
    <n v="360"/>
    <n v="0"/>
    <n v="9"/>
    <n v="9"/>
    <n v="0"/>
  </r>
  <r>
    <x v="521"/>
    <n v="45"/>
    <n v="15"/>
    <n v="0.02"/>
    <n v="0.13"/>
    <n v="90"/>
    <n v="0"/>
    <n v="1"/>
    <n v="1"/>
    <n v="0"/>
  </r>
  <r>
    <x v="522"/>
    <n v="70"/>
    <n v="15"/>
    <n v="0.02"/>
    <n v="0.11"/>
    <n v="140"/>
    <n v="0"/>
    <n v="1"/>
    <n v="1"/>
    <n v="0"/>
  </r>
  <r>
    <x v="523"/>
    <n v="1"/>
    <n v="15"/>
    <n v="0.02"/>
    <n v="0.12"/>
    <n v="2"/>
    <n v="0"/>
    <n v="1"/>
    <n v="1"/>
    <n v="0"/>
  </r>
  <r>
    <x v="524"/>
    <n v="135"/>
    <n v="11"/>
    <n v="0.02"/>
    <n v="0.16"/>
    <n v="345"/>
    <n v="0"/>
    <n v="17"/>
    <n v="12"/>
    <n v="0"/>
  </r>
  <r>
    <x v="525"/>
    <n v="60"/>
    <n v="8"/>
    <n v="0.02"/>
    <n v="0.11"/>
    <n v="210"/>
    <n v="0"/>
    <n v="10"/>
    <n v="7"/>
    <n v="0"/>
  </r>
  <r>
    <x v="526"/>
    <n v="30"/>
    <n v="15"/>
    <n v="0.02"/>
    <n v="0.13"/>
    <n v="60"/>
    <n v="0"/>
    <n v="4"/>
    <n v="4"/>
    <n v="0"/>
  </r>
  <r>
    <x v="527"/>
    <n v="2"/>
    <n v="10"/>
    <n v="0.02"/>
    <n v="0.12"/>
    <n v="6"/>
    <n v="0"/>
    <n v="6"/>
    <n v="4"/>
    <n v="0"/>
  </r>
  <r>
    <x v="528"/>
    <n v="1"/>
    <n v="15"/>
    <n v="0.02"/>
    <n v="0.13"/>
    <n v="2"/>
    <n v="0"/>
    <n v="2"/>
    <n v="2"/>
    <n v="0"/>
  </r>
  <r>
    <x v="529"/>
    <n v="220"/>
    <n v="12"/>
    <n v="0.01"/>
    <n v="0.05"/>
    <n v="550"/>
    <n v="0"/>
    <n v="11"/>
    <n v="11"/>
    <n v="0"/>
  </r>
  <r>
    <x v="530"/>
    <n v="10"/>
    <n v="10"/>
    <n v="0.01"/>
    <n v="0.04"/>
    <n v="30"/>
    <n v="0"/>
    <n v="2"/>
    <n v="2"/>
    <n v="0"/>
  </r>
  <r>
    <x v="531"/>
    <n v="20"/>
    <n v="12"/>
    <n v="0.01"/>
    <n v="0.06"/>
    <n v="50"/>
    <n v="0"/>
    <n v="3"/>
    <n v="3"/>
    <n v="0"/>
  </r>
  <r>
    <x v="532"/>
    <n v="20"/>
    <n v="10"/>
    <n v="0.01"/>
    <n v="0.1"/>
    <n v="60"/>
    <n v="0"/>
    <n v="2"/>
    <n v="2"/>
    <n v="0"/>
  </r>
  <r>
    <x v="533"/>
    <n v="20"/>
    <n v="10"/>
    <n v="0.01"/>
    <n v="0.05"/>
    <n v="60"/>
    <n v="0"/>
    <n v="3"/>
    <n v="3"/>
    <n v="0"/>
  </r>
  <r>
    <x v="534"/>
    <n v="20"/>
    <n v="8"/>
    <n v="0.01"/>
    <n v="0.06"/>
    <n v="70"/>
    <n v="0"/>
    <n v="4"/>
    <n v="4"/>
    <n v="0"/>
  </r>
  <r>
    <x v="535"/>
    <n v="3"/>
    <n v="12"/>
    <n v="0.01"/>
    <n v="0.1"/>
    <n v="7"/>
    <n v="0"/>
    <n v="7"/>
    <n v="7"/>
    <n v="0"/>
  </r>
  <r>
    <x v="536"/>
    <n v="225"/>
    <n v="12"/>
    <n v="0.01"/>
    <n v="0.09"/>
    <n v="540"/>
    <n v="0"/>
    <n v="14"/>
    <n v="9"/>
    <n v="0"/>
  </r>
  <r>
    <x v="537"/>
    <n v="20"/>
    <n v="15"/>
    <n v="0.01"/>
    <n v="0.06"/>
    <n v="40"/>
    <n v="0"/>
    <n v="2"/>
    <n v="2"/>
    <n v="0"/>
  </r>
  <r>
    <x v="538"/>
    <n v="4"/>
    <n v="15"/>
    <n v="0.01"/>
    <n v="0.1"/>
    <n v="8"/>
    <n v="0"/>
    <n v="5"/>
    <n v="4"/>
    <n v="0"/>
  </r>
  <r>
    <x v="539"/>
    <n v="1"/>
    <n v="10"/>
    <n v="0.01"/>
    <n v="0.05"/>
    <n v="3"/>
    <n v="0"/>
    <n v="3"/>
    <n v="3"/>
    <n v="0"/>
  </r>
  <r>
    <x v="540"/>
    <n v="20"/>
    <n v="12"/>
    <n v="0.01"/>
    <n v="7.0000000000000007E-2"/>
    <n v="50"/>
    <n v="0"/>
    <n v="2"/>
    <n v="2"/>
    <n v="0"/>
  </r>
  <r>
    <x v="541"/>
    <n v="4"/>
    <n v="10"/>
    <n v="0.01"/>
    <n v="0.09"/>
    <n v="12"/>
    <n v="0"/>
    <n v="3"/>
    <n v="3"/>
    <n v="0"/>
  </r>
  <r>
    <x v="542"/>
    <n v="1"/>
    <n v="15"/>
    <n v="0.01"/>
    <n v="0.05"/>
    <n v="2"/>
    <n v="0"/>
    <n v="2"/>
    <n v="2"/>
    <n v="0"/>
  </r>
  <r>
    <x v="543"/>
    <n v="1"/>
    <n v="10"/>
    <n v="0.01"/>
    <n v="0.1"/>
    <n v="3"/>
    <n v="0"/>
    <n v="2"/>
    <n v="2"/>
    <n v="0"/>
  </r>
  <r>
    <x v="544"/>
    <n v="30"/>
    <n v="8"/>
    <n v="0.01"/>
    <n v="0.09"/>
    <n v="105"/>
    <n v="0"/>
    <n v="5"/>
    <n v="5"/>
    <n v="0"/>
  </r>
  <r>
    <x v="545"/>
    <n v="1"/>
    <n v="10"/>
    <n v="0.01"/>
    <n v="0.05"/>
    <n v="3"/>
    <n v="0"/>
    <n v="3"/>
    <n v="3"/>
    <n v="0"/>
  </r>
  <r>
    <x v="546"/>
    <n v="60"/>
    <n v="13"/>
    <n v="0.01"/>
    <n v="0.06"/>
    <n v="135"/>
    <n v="0"/>
    <n v="3"/>
    <n v="3"/>
    <n v="0"/>
  </r>
  <r>
    <x v="547"/>
    <n v="15"/>
    <n v="15"/>
    <n v="0.01"/>
    <n v="0.05"/>
    <n v="30"/>
    <n v="0"/>
    <n v="2"/>
    <n v="2"/>
    <n v="0"/>
  </r>
  <r>
    <x v="548"/>
    <n v="20"/>
    <n v="10"/>
    <n v="0.01"/>
    <n v="0.08"/>
    <n v="60"/>
    <n v="0"/>
    <n v="4"/>
    <n v="2"/>
    <n v="0"/>
  </r>
  <r>
    <x v="549"/>
    <n v="120"/>
    <n v="12"/>
    <n v="0.01"/>
    <n v="0.04"/>
    <n v="290"/>
    <n v="0"/>
    <n v="7"/>
    <n v="6"/>
    <n v="0"/>
  </r>
  <r>
    <x v="550"/>
    <n v="20"/>
    <n v="12"/>
    <n v="0.01"/>
    <n v="0.04"/>
    <n v="50"/>
    <n v="0"/>
    <n v="4"/>
    <n v="4"/>
    <n v="0"/>
  </r>
  <r>
    <x v="551"/>
    <n v="20"/>
    <n v="15"/>
    <n v="0.01"/>
    <n v="0.05"/>
    <n v="40"/>
    <n v="0"/>
    <n v="2"/>
    <n v="2"/>
    <n v="0"/>
  </r>
  <r>
    <x v="552"/>
    <n v="15"/>
    <n v="15"/>
    <n v="0.01"/>
    <n v="0.05"/>
    <n v="30"/>
    <n v="0"/>
    <n v="1"/>
    <n v="1"/>
    <n v="0"/>
  </r>
  <r>
    <x v="553"/>
    <n v="2"/>
    <n v="15"/>
    <n v="0.01"/>
    <n v="0.05"/>
    <n v="4"/>
    <n v="0"/>
    <n v="4"/>
    <n v="3"/>
    <n v="0"/>
  </r>
  <r>
    <x v="554"/>
    <n v="3"/>
    <n v="12"/>
    <n v="0.01"/>
    <n v="0.05"/>
    <n v="7"/>
    <n v="0"/>
    <n v="7"/>
    <n v="7"/>
    <n v="0"/>
  </r>
  <r>
    <x v="555"/>
    <n v="25"/>
    <n v="8"/>
    <n v="0.01"/>
    <n v="0.09"/>
    <n v="90"/>
    <n v="0"/>
    <n v="5"/>
    <n v="5"/>
    <n v="0"/>
  </r>
  <r>
    <x v="556"/>
    <n v="3"/>
    <n v="15"/>
    <n v="0.01"/>
    <n v="0.04"/>
    <n v="6"/>
    <n v="0"/>
    <n v="6"/>
    <n v="5"/>
    <n v="0"/>
  </r>
  <r>
    <x v="557"/>
    <n v="20"/>
    <n v="12"/>
    <n v="0.01"/>
    <n v="0.04"/>
    <n v="50"/>
    <n v="0"/>
    <n v="3"/>
    <n v="3"/>
    <n v="0"/>
  </r>
  <r>
    <x v="558"/>
    <n v="15"/>
    <n v="15"/>
    <n v="0.01"/>
    <n v="0.04"/>
    <n v="30"/>
    <n v="0"/>
    <n v="1"/>
    <n v="1"/>
    <n v="0"/>
  </r>
  <r>
    <x v="559"/>
    <n v="30"/>
    <n v="12"/>
    <n v="0.01"/>
    <n v="7.0000000000000007E-2"/>
    <n v="70"/>
    <n v="0"/>
    <n v="5"/>
    <n v="5"/>
    <n v="0"/>
  </r>
  <r>
    <x v="560"/>
    <n v="15"/>
    <n v="15"/>
    <n v="0.01"/>
    <n v="0.04"/>
    <n v="30"/>
    <n v="0"/>
    <n v="2"/>
    <n v="2"/>
    <n v="0"/>
  </r>
  <r>
    <x v="561"/>
    <n v="20"/>
    <n v="15"/>
    <n v="0.01"/>
    <n v="0.05"/>
    <n v="40"/>
    <n v="0"/>
    <n v="2"/>
    <n v="2"/>
    <n v="0"/>
  </r>
  <r>
    <x v="562"/>
    <n v="30"/>
    <n v="12"/>
    <n v="0.01"/>
    <n v="7.0000000000000007E-2"/>
    <n v="70"/>
    <n v="0"/>
    <n v="3"/>
    <n v="3"/>
    <n v="0"/>
  </r>
  <r>
    <x v="563"/>
    <n v="14"/>
    <n v="10"/>
    <n v="0.01"/>
    <n v="0.06"/>
    <n v="42"/>
    <n v="0"/>
    <n v="3"/>
    <n v="3"/>
    <n v="0"/>
  </r>
  <r>
    <x v="564"/>
    <n v="10"/>
    <n v="15"/>
    <n v="0.01"/>
    <n v="0.05"/>
    <n v="20"/>
    <n v="0"/>
    <n v="2"/>
    <n v="2"/>
    <n v="0"/>
  </r>
  <r>
    <x v="565"/>
    <n v="30"/>
    <n v="15"/>
    <n v="0.01"/>
    <n v="7.0000000000000007E-2"/>
    <n v="60"/>
    <n v="0"/>
    <n v="4"/>
    <n v="4"/>
    <n v="0"/>
  </r>
  <r>
    <x v="566"/>
    <n v="60"/>
    <n v="15"/>
    <n v="0.01"/>
    <n v="0.06"/>
    <n v="120"/>
    <n v="0"/>
    <n v="2"/>
    <n v="2"/>
    <n v="0"/>
  </r>
  <r>
    <x v="567"/>
    <n v="20"/>
    <n v="15"/>
    <n v="0.01"/>
    <n v="0.06"/>
    <n v="40"/>
    <n v="0"/>
    <n v="4"/>
    <n v="3"/>
    <n v="0"/>
  </r>
  <r>
    <x v="568"/>
    <n v="14"/>
    <n v="8"/>
    <n v="0.01"/>
    <n v="0.08"/>
    <n v="50"/>
    <n v="0"/>
    <n v="12"/>
    <n v="10"/>
    <n v="0"/>
  </r>
  <r>
    <x v="569"/>
    <n v="4"/>
    <n v="15"/>
    <n v="0.01"/>
    <n v="7.0000000000000007E-2"/>
    <n v="8"/>
    <n v="0"/>
    <n v="6"/>
    <n v="6"/>
    <n v="0"/>
  </r>
  <r>
    <x v="570"/>
    <n v="1"/>
    <n v="10"/>
    <n v="0.01"/>
    <n v="0.06"/>
    <n v="3"/>
    <n v="0"/>
    <n v="3"/>
    <n v="3"/>
    <n v="0"/>
  </r>
  <r>
    <x v="571"/>
    <n v="1"/>
    <n v="15"/>
    <n v="0.01"/>
    <n v="0.09"/>
    <n v="2"/>
    <n v="0"/>
    <n v="2"/>
    <n v="1"/>
    <n v="0"/>
  </r>
  <r>
    <x v="572"/>
    <n v="20"/>
    <n v="12"/>
    <n v="0.01"/>
    <n v="0.08"/>
    <n v="50"/>
    <n v="0"/>
    <n v="6"/>
    <n v="5"/>
    <n v="0"/>
  </r>
  <r>
    <x v="573"/>
    <n v="1"/>
    <n v="15"/>
    <n v="0.01"/>
    <n v="0.1"/>
    <n v="2"/>
    <n v="0"/>
    <n v="2"/>
    <n v="2"/>
    <n v="0"/>
  </r>
  <r>
    <x v="574"/>
    <n v="2"/>
    <n v="15"/>
    <n v="0.01"/>
    <n v="0.05"/>
    <n v="4"/>
    <n v="0"/>
    <n v="4"/>
    <n v="4"/>
    <n v="0"/>
  </r>
  <r>
    <x v="575"/>
    <n v="4"/>
    <n v="15"/>
    <n v="0.01"/>
    <n v="7.0000000000000007E-2"/>
    <n v="8"/>
    <n v="0"/>
    <n v="2"/>
    <n v="2"/>
    <n v="0"/>
  </r>
  <r>
    <x v="576"/>
    <n v="120"/>
    <n v="13"/>
    <n v="0.01"/>
    <n v="0.04"/>
    <n v="270"/>
    <n v="0"/>
    <n v="11"/>
    <n v="9"/>
    <n v="0"/>
  </r>
  <r>
    <x v="577"/>
    <n v="15"/>
    <n v="10"/>
    <n v="0.01"/>
    <n v="7.0000000000000007E-2"/>
    <n v="45"/>
    <n v="0"/>
    <n v="2"/>
    <n v="2"/>
    <n v="0"/>
  </r>
  <r>
    <x v="578"/>
    <n v="10"/>
    <n v="10"/>
    <n v="0.01"/>
    <n v="0.09"/>
    <n v="30"/>
    <n v="0"/>
    <n v="3"/>
    <n v="3"/>
    <n v="0"/>
  </r>
  <r>
    <x v="579"/>
    <n v="14"/>
    <n v="10"/>
    <n v="0.01"/>
    <n v="7.0000000000000007E-2"/>
    <n v="42"/>
    <n v="0"/>
    <n v="2"/>
    <n v="2"/>
    <n v="0"/>
  </r>
  <r>
    <x v="580"/>
    <n v="15"/>
    <n v="10"/>
    <n v="0.01"/>
    <n v="0.04"/>
    <n v="45"/>
    <n v="0"/>
    <n v="2"/>
    <n v="2"/>
    <n v="0"/>
  </r>
  <r>
    <x v="581"/>
    <n v="2"/>
    <n v="12"/>
    <n v="0.01"/>
    <n v="0.06"/>
    <n v="5"/>
    <n v="0"/>
    <n v="5"/>
    <n v="4"/>
    <n v="0"/>
  </r>
  <r>
    <x v="582"/>
    <n v="30"/>
    <n v="15"/>
    <n v="0.01"/>
    <n v="0.1"/>
    <n v="60"/>
    <n v="0"/>
    <n v="3"/>
    <n v="3"/>
    <n v="0"/>
  </r>
  <r>
    <x v="583"/>
    <n v="1"/>
    <n v="10"/>
    <n v="0.01"/>
    <n v="0.05"/>
    <n v="3"/>
    <n v="0"/>
    <n v="2"/>
    <n v="2"/>
    <n v="0"/>
  </r>
  <r>
    <x v="584"/>
    <n v="1"/>
    <n v="15"/>
    <n v="0.01"/>
    <n v="0.04"/>
    <n v="2"/>
    <n v="0"/>
    <n v="2"/>
    <n v="2"/>
    <n v="0"/>
  </r>
  <r>
    <x v="585"/>
    <n v="10"/>
    <n v="15"/>
    <n v="0.01"/>
    <n v="0.05"/>
    <n v="20"/>
    <n v="0"/>
    <n v="1"/>
    <n v="1"/>
    <n v="0"/>
  </r>
  <r>
    <x v="586"/>
    <n v="84"/>
    <n v="14"/>
    <n v="0.01"/>
    <n v="0.06"/>
    <n v="176"/>
    <n v="0"/>
    <n v="36"/>
    <n v="19"/>
    <n v="0"/>
  </r>
  <r>
    <x v="587"/>
    <n v="2"/>
    <n v="10"/>
    <n v="0.01"/>
    <n v="0.04"/>
    <n v="6"/>
    <n v="0"/>
    <n v="6"/>
    <n v="5"/>
    <n v="0"/>
  </r>
  <r>
    <x v="588"/>
    <n v="20"/>
    <n v="15"/>
    <n v="0.01"/>
    <n v="0.04"/>
    <n v="40"/>
    <n v="0"/>
    <n v="3"/>
    <n v="3"/>
    <n v="0"/>
  </r>
  <r>
    <x v="589"/>
    <n v="5"/>
    <n v="12"/>
    <n v="0.01"/>
    <n v="0.05"/>
    <n v="12"/>
    <n v="0"/>
    <n v="12"/>
    <n v="9"/>
    <n v="0"/>
  </r>
  <r>
    <x v="590"/>
    <n v="10"/>
    <n v="10"/>
    <n v="0.01"/>
    <n v="0.04"/>
    <n v="30"/>
    <n v="0"/>
    <n v="1"/>
    <n v="1"/>
    <n v="0"/>
  </r>
  <r>
    <x v="591"/>
    <n v="45"/>
    <n v="12"/>
    <n v="0.01"/>
    <n v="0.04"/>
    <n v="105"/>
    <n v="0"/>
    <n v="6"/>
    <n v="6"/>
    <n v="0"/>
  </r>
  <r>
    <x v="592"/>
    <n v="1"/>
    <n v="15"/>
    <n v="0.01"/>
    <n v="7.0000000000000007E-2"/>
    <n v="2"/>
    <n v="0"/>
    <n v="2"/>
    <n v="2"/>
    <n v="0"/>
  </r>
  <r>
    <x v="593"/>
    <n v="3"/>
    <n v="9"/>
    <n v="0.01"/>
    <n v="0.04"/>
    <n v="10"/>
    <n v="0"/>
    <n v="1"/>
    <n v="1"/>
    <n v="0"/>
  </r>
  <r>
    <x v="594"/>
    <n v="20"/>
    <n v="15"/>
    <n v="0.01"/>
    <n v="0.05"/>
    <n v="40"/>
    <n v="0"/>
    <n v="4"/>
    <n v="4"/>
    <n v="0"/>
  </r>
  <r>
    <x v="595"/>
    <n v="45"/>
    <n v="15"/>
    <n v="0.01"/>
    <n v="7.0000000000000007E-2"/>
    <n v="90"/>
    <n v="0"/>
    <n v="3"/>
    <n v="2"/>
    <n v="0"/>
  </r>
  <r>
    <x v="596"/>
    <n v="20"/>
    <n v="15"/>
    <n v="0.01"/>
    <n v="0.06"/>
    <n v="40"/>
    <n v="0"/>
    <n v="4"/>
    <n v="4"/>
    <n v="0"/>
  </r>
  <r>
    <x v="597"/>
    <n v="15"/>
    <n v="9"/>
    <n v="0.01"/>
    <n v="0.08"/>
    <n v="50"/>
    <n v="0"/>
    <n v="5"/>
    <n v="4"/>
    <n v="0"/>
  </r>
  <r>
    <x v="598"/>
    <n v="14"/>
    <n v="15"/>
    <n v="0.01"/>
    <n v="0.05"/>
    <n v="28"/>
    <n v="0"/>
    <n v="2"/>
    <n v="2"/>
    <n v="0"/>
  </r>
  <r>
    <x v="599"/>
    <n v="120"/>
    <n v="9"/>
    <n v="0.01"/>
    <n v="0.1"/>
    <n v="380"/>
    <n v="0"/>
    <n v="11"/>
    <n v="9"/>
    <n v="0"/>
  </r>
  <r>
    <x v="600"/>
    <n v="2"/>
    <n v="12"/>
    <n v="0.01"/>
    <n v="0.04"/>
    <n v="5"/>
    <n v="0"/>
    <n v="5"/>
    <n v="4"/>
    <n v="0"/>
  </r>
  <r>
    <x v="601"/>
    <n v="2"/>
    <n v="12"/>
    <n v="0.01"/>
    <n v="0.04"/>
    <n v="5"/>
    <n v="0"/>
    <n v="5"/>
    <n v="4"/>
    <n v="0"/>
  </r>
  <r>
    <x v="602"/>
    <n v="12"/>
    <n v="12"/>
    <n v="0.01"/>
    <n v="0.06"/>
    <n v="28"/>
    <n v="0"/>
    <n v="6"/>
    <n v="5"/>
    <n v="0"/>
  </r>
  <r>
    <x v="603"/>
    <n v="1"/>
    <n v="15"/>
    <n v="0"/>
    <n v="0.02"/>
    <n v="2"/>
    <n v="0"/>
    <n v="2"/>
    <n v="2"/>
    <n v="0"/>
  </r>
  <r>
    <x v="604"/>
    <n v="77"/>
    <n v="11"/>
    <n v="0"/>
    <n v="0.01"/>
    <n v="195"/>
    <n v="0"/>
    <n v="9"/>
    <n v="8"/>
    <n v="0"/>
  </r>
  <r>
    <x v="605"/>
    <n v="1"/>
    <n v="15"/>
    <n v="0"/>
    <n v="0.02"/>
    <n v="2"/>
    <n v="0"/>
    <n v="2"/>
    <n v="2"/>
    <n v="0"/>
  </r>
  <r>
    <x v="606"/>
    <n v="1"/>
    <n v="15"/>
    <n v="0"/>
    <n v="0.03"/>
    <n v="2"/>
    <n v="0"/>
    <n v="2"/>
    <n v="2"/>
    <n v="0"/>
  </r>
  <r>
    <x v="607"/>
    <n v="1"/>
    <n v="15"/>
    <n v="0"/>
    <n v="0.01"/>
    <n v="2"/>
    <n v="0"/>
    <n v="2"/>
    <n v="2"/>
    <n v="0"/>
  </r>
  <r>
    <x v="608"/>
    <n v="30"/>
    <n v="15"/>
    <n v="0"/>
    <n v="0.01"/>
    <n v="60"/>
    <n v="0"/>
    <n v="2"/>
    <n v="2"/>
    <n v="0"/>
  </r>
  <r>
    <x v="609"/>
    <n v="10"/>
    <n v="10"/>
    <n v="0"/>
    <n v="0.03"/>
    <n v="30"/>
    <n v="0"/>
    <n v="1"/>
    <n v="1"/>
    <n v="0"/>
  </r>
  <r>
    <x v="610"/>
    <n v="10"/>
    <n v="15"/>
    <n v="0"/>
    <n v="0.01"/>
    <n v="20"/>
    <n v="0"/>
    <n v="1"/>
    <n v="1"/>
    <n v="0"/>
  </r>
  <r>
    <x v="611"/>
    <n v="8"/>
    <n v="8"/>
    <n v="0"/>
    <n v="0.01"/>
    <n v="30"/>
    <n v="0"/>
    <n v="2"/>
    <n v="2"/>
    <n v="0"/>
  </r>
  <r>
    <x v="612"/>
    <n v="12"/>
    <n v="15"/>
    <n v="0"/>
    <n v="0.01"/>
    <n v="24"/>
    <n v="0"/>
    <n v="3"/>
    <n v="3"/>
    <n v="0"/>
  </r>
  <r>
    <x v="613"/>
    <n v="40"/>
    <n v="10"/>
    <n v="0"/>
    <n v="0.02"/>
    <n v="120"/>
    <n v="0"/>
    <n v="6"/>
    <n v="5"/>
    <n v="0"/>
  </r>
  <r>
    <x v="614"/>
    <n v="10"/>
    <n v="10"/>
    <n v="0"/>
    <n v="0.02"/>
    <n v="30"/>
    <n v="0"/>
    <n v="3"/>
    <n v="3"/>
    <n v="0"/>
  </r>
  <r>
    <x v="615"/>
    <n v="3"/>
    <n v="15"/>
    <n v="0"/>
    <n v="0.03"/>
    <n v="6"/>
    <n v="0"/>
    <n v="6"/>
    <n v="4"/>
    <n v="0"/>
  </r>
  <r>
    <x v="616"/>
    <n v="2"/>
    <n v="15"/>
    <n v="0"/>
    <n v="0.03"/>
    <n v="4"/>
    <n v="0"/>
    <n v="4"/>
    <n v="4"/>
    <n v="0"/>
  </r>
  <r>
    <x v="617"/>
    <n v="10"/>
    <n v="15"/>
    <n v="0"/>
    <n v="0.02"/>
    <n v="20"/>
    <n v="0"/>
    <n v="2"/>
    <n v="2"/>
    <n v="0"/>
  </r>
  <r>
    <x v="618"/>
    <n v="10"/>
    <n v="10"/>
    <n v="0"/>
    <n v="0.01"/>
    <n v="30"/>
    <n v="0"/>
    <n v="1"/>
    <n v="1"/>
    <n v="0"/>
  </r>
  <r>
    <x v="619"/>
    <n v="1"/>
    <n v="15"/>
    <n v="0"/>
    <n v="0.03"/>
    <n v="2"/>
    <n v="0"/>
    <n v="2"/>
    <n v="2"/>
    <n v="0"/>
  </r>
  <r>
    <x v="620"/>
    <n v="1"/>
    <n v="15"/>
    <n v="0"/>
    <n v="0.03"/>
    <n v="2"/>
    <n v="0"/>
    <n v="2"/>
    <n v="2"/>
    <n v="0"/>
  </r>
  <r>
    <x v="621"/>
    <n v="14"/>
    <n v="15"/>
    <n v="0"/>
    <n v="0.03"/>
    <n v="28"/>
    <n v="0"/>
    <n v="1"/>
    <n v="1"/>
    <n v="0"/>
  </r>
  <r>
    <x v="622"/>
    <n v="10"/>
    <n v="10"/>
    <n v="0"/>
    <n v="0.03"/>
    <n v="30"/>
    <n v="0"/>
    <n v="3"/>
    <n v="3"/>
    <n v="0"/>
  </r>
  <r>
    <x v="623"/>
    <n v="15"/>
    <n v="15"/>
    <n v="0"/>
    <n v="0.01"/>
    <n v="30"/>
    <n v="0"/>
    <n v="1"/>
    <n v="1"/>
    <n v="0"/>
  </r>
  <r>
    <x v="624"/>
    <n v="20"/>
    <n v="15"/>
    <n v="0"/>
    <n v="0.01"/>
    <n v="40"/>
    <n v="0"/>
    <n v="2"/>
    <n v="2"/>
    <n v="0"/>
  </r>
  <r>
    <x v="625"/>
    <n v="60"/>
    <n v="15"/>
    <n v="0"/>
    <n v="0.03"/>
    <n v="120"/>
    <n v="0"/>
    <n v="5"/>
    <n v="5"/>
    <n v="0"/>
  </r>
  <r>
    <x v="626"/>
    <n v="1"/>
    <n v="15"/>
    <n v="0"/>
    <n v="0.02"/>
    <n v="2"/>
    <n v="0"/>
    <n v="2"/>
    <n v="2"/>
    <n v="0"/>
  </r>
  <r>
    <x v="627"/>
    <n v="40"/>
    <n v="15"/>
    <n v="0"/>
    <n v="0.02"/>
    <n v="80"/>
    <n v="0"/>
    <n v="4"/>
    <n v="4"/>
    <n v="0"/>
  </r>
  <r>
    <x v="628"/>
    <n v="15"/>
    <n v="15"/>
    <n v="0"/>
    <n v="0.02"/>
    <n v="30"/>
    <n v="0"/>
    <n v="1"/>
    <n v="1"/>
    <n v="0"/>
  </r>
  <r>
    <x v="629"/>
    <n v="30"/>
    <n v="15"/>
    <n v="0"/>
    <n v="0"/>
    <n v="60"/>
    <n v="0"/>
    <n v="2"/>
    <n v="2"/>
    <n v="0"/>
  </r>
  <r>
    <x v="630"/>
    <n v="10"/>
    <n v="10"/>
    <n v="0"/>
    <n v="0.03"/>
    <n v="30"/>
    <n v="0"/>
    <n v="1"/>
    <n v="1"/>
    <n v="0"/>
  </r>
  <r>
    <x v="631"/>
    <n v="1"/>
    <n v="10"/>
    <n v="0"/>
    <n v="0.01"/>
    <n v="3"/>
    <n v="0"/>
    <n v="3"/>
    <n v="3"/>
    <n v="0"/>
  </r>
  <r>
    <x v="632"/>
    <n v="5"/>
    <n v="15"/>
    <n v="0"/>
    <n v="0.03"/>
    <n v="10"/>
    <n v="0"/>
    <n v="10"/>
    <n v="7"/>
    <n v="0"/>
  </r>
  <r>
    <x v="633"/>
    <n v="10"/>
    <n v="15"/>
    <n v="0"/>
    <n v="0.02"/>
    <n v="20"/>
    <n v="0"/>
    <n v="1"/>
    <n v="1"/>
    <n v="0"/>
  </r>
  <r>
    <x v="634"/>
    <n v="1"/>
    <n v="15"/>
    <n v="0"/>
    <n v="0.01"/>
    <n v="2"/>
    <n v="0"/>
    <n v="2"/>
    <n v="2"/>
    <n v="0"/>
  </r>
  <r>
    <x v="635"/>
    <n v="10"/>
    <n v="15"/>
    <n v="0"/>
    <n v="0.02"/>
    <n v="20"/>
    <n v="0"/>
    <n v="1"/>
    <n v="1"/>
    <n v="0"/>
  </r>
  <r>
    <x v="636"/>
    <n v="10"/>
    <n v="10"/>
    <n v="0"/>
    <n v="0.03"/>
    <n v="30"/>
    <n v="0"/>
    <n v="3"/>
    <n v="3"/>
    <n v="0"/>
  </r>
  <r>
    <x v="637"/>
    <n v="20"/>
    <n v="15"/>
    <n v="0"/>
    <n v="0.03"/>
    <n v="40"/>
    <n v="0"/>
    <n v="4"/>
    <n v="4"/>
    <n v="0"/>
  </r>
  <r>
    <x v="638"/>
    <n v="1"/>
    <n v="15"/>
    <n v="0"/>
    <n v="0.02"/>
    <n v="2"/>
    <n v="0"/>
    <n v="2"/>
    <n v="2"/>
    <n v="0"/>
  </r>
  <r>
    <x v="639"/>
    <n v="7"/>
    <n v="8"/>
    <n v="0"/>
    <n v="0"/>
    <n v="24"/>
    <n v="0"/>
    <n v="3"/>
    <n v="3"/>
    <n v="0"/>
  </r>
  <r>
    <x v="640"/>
    <n v="1"/>
    <n v="15"/>
    <n v="0"/>
    <n v="0.01"/>
    <n v="2"/>
    <n v="0"/>
    <n v="2"/>
    <n v="2"/>
    <n v="0"/>
  </r>
  <r>
    <x v="641"/>
    <n v="4"/>
    <n v="10"/>
    <n v="0"/>
    <n v="0.01"/>
    <n v="11"/>
    <n v="0"/>
    <n v="4"/>
    <n v="4"/>
    <n v="0"/>
  </r>
  <r>
    <x v="642"/>
    <n v="10"/>
    <n v="15"/>
    <n v="0"/>
    <n v="0.02"/>
    <n v="20"/>
    <n v="0"/>
    <n v="2"/>
    <n v="2"/>
    <n v="0"/>
  </r>
  <r>
    <x v="643"/>
    <n v="50"/>
    <n v="15"/>
    <n v="0"/>
    <n v="0.03"/>
    <n v="100"/>
    <n v="0"/>
    <n v="5"/>
    <n v="5"/>
    <n v="0"/>
  </r>
  <r>
    <x v="644"/>
    <n v="10"/>
    <n v="15"/>
    <n v="0"/>
    <n v="0.02"/>
    <n v="20"/>
    <n v="0"/>
    <n v="2"/>
    <n v="2"/>
    <n v="0"/>
  </r>
  <r>
    <x v="645"/>
    <n v="10"/>
    <n v="15"/>
    <n v="0"/>
    <n v="0.01"/>
    <n v="20"/>
    <n v="0"/>
    <n v="1"/>
    <n v="1"/>
    <n v="0"/>
  </r>
  <r>
    <x v="646"/>
    <n v="1"/>
    <n v="15"/>
    <n v="0"/>
    <n v="0.01"/>
    <n v="2"/>
    <n v="0"/>
    <n v="2"/>
    <n v="2"/>
    <n v="0"/>
  </r>
  <r>
    <x v="647"/>
    <n v="1"/>
    <n v="15"/>
    <n v="0"/>
    <n v="0.03"/>
    <n v="2"/>
    <n v="0"/>
    <n v="2"/>
    <n v="2"/>
    <n v="0"/>
  </r>
  <r>
    <x v="648"/>
    <n v="10"/>
    <n v="15"/>
    <n v="0"/>
    <n v="0.03"/>
    <n v="20"/>
    <n v="0"/>
    <n v="2"/>
    <n v="2"/>
    <n v="0"/>
  </r>
  <r>
    <x v="649"/>
    <n v="10"/>
    <n v="15"/>
    <n v="0"/>
    <n v="0.03"/>
    <n v="20"/>
    <n v="0"/>
    <n v="2"/>
    <n v="2"/>
    <n v="0"/>
  </r>
  <r>
    <x v="650"/>
    <n v="10"/>
    <n v="15"/>
    <n v="0"/>
    <n v="0.01"/>
    <n v="20"/>
    <n v="0"/>
    <n v="1"/>
    <n v="1"/>
    <n v="0"/>
  </r>
  <r>
    <x v="651"/>
    <n v="10"/>
    <n v="15"/>
    <n v="0"/>
    <n v="0.01"/>
    <n v="20"/>
    <n v="0"/>
    <n v="1"/>
    <n v="1"/>
    <n v="0"/>
  </r>
  <r>
    <x v="652"/>
    <n v="1"/>
    <n v="15"/>
    <n v="0"/>
    <n v="0"/>
    <n v="2"/>
    <n v="0"/>
    <n v="1"/>
    <n v="1"/>
    <n v="0"/>
  </r>
  <r>
    <x v="653"/>
    <n v="3"/>
    <n v="11"/>
    <n v="0"/>
    <n v="0.01"/>
    <n v="8"/>
    <n v="0"/>
    <n v="1"/>
    <n v="1"/>
    <n v="0"/>
  </r>
  <r>
    <x v="654"/>
    <n v="1"/>
    <n v="15"/>
    <n v="0"/>
    <n v="0.02"/>
    <n v="2"/>
    <n v="0"/>
    <n v="2"/>
    <n v="2"/>
    <n v="0"/>
  </r>
  <r>
    <x v="655"/>
    <n v="30"/>
    <n v="15"/>
    <n v="0"/>
    <n v="0.03"/>
    <n v="60"/>
    <n v="0"/>
    <n v="1"/>
    <n v="1"/>
    <n v="0"/>
  </r>
  <r>
    <x v="656"/>
    <n v="1"/>
    <n v="15"/>
    <n v="0"/>
    <n v="0.02"/>
    <n v="2"/>
    <n v="0"/>
    <n v="2"/>
    <n v="2"/>
    <n v="0"/>
  </r>
  <r>
    <x v="657"/>
    <n v="1"/>
    <n v="10"/>
    <n v="0"/>
    <n v="0.02"/>
    <n v="3"/>
    <n v="0"/>
    <n v="3"/>
    <n v="2"/>
    <n v="0"/>
  </r>
  <r>
    <x v="658"/>
    <n v="30"/>
    <n v="15"/>
    <n v="0"/>
    <n v="0.02"/>
    <n v="60"/>
    <n v="0"/>
    <n v="2"/>
    <n v="2"/>
    <n v="0"/>
  </r>
  <r>
    <x v="659"/>
    <n v="15"/>
    <n v="15"/>
    <n v="0"/>
    <n v="0.02"/>
    <n v="30"/>
    <n v="0"/>
    <n v="2"/>
    <n v="2"/>
    <n v="0"/>
  </r>
  <r>
    <x v="660"/>
    <n v="45"/>
    <n v="15"/>
    <n v="0"/>
    <n v="0.03"/>
    <n v="90"/>
    <n v="0"/>
    <n v="4"/>
    <n v="4"/>
    <n v="0"/>
  </r>
  <r>
    <x v="661"/>
    <n v="30"/>
    <n v="12"/>
    <n v="0"/>
    <n v="0.03"/>
    <n v="75"/>
    <n v="0"/>
    <n v="3"/>
    <n v="3"/>
    <n v="0"/>
  </r>
  <r>
    <x v="662"/>
    <n v="1"/>
    <n v="15"/>
    <n v="0"/>
    <n v="0.03"/>
    <n v="2"/>
    <n v="0"/>
    <n v="2"/>
    <n v="2"/>
    <n v="0"/>
  </r>
  <r>
    <x v="663"/>
    <n v="1"/>
    <n v="10"/>
    <n v="0"/>
    <n v="0.02"/>
    <n v="3"/>
    <n v="0"/>
    <n v="3"/>
    <n v="2"/>
    <n v="0"/>
  </r>
  <r>
    <x v="664"/>
    <n v="2"/>
    <n v="15"/>
    <n v="0"/>
    <n v="0.02"/>
    <n v="4"/>
    <n v="0"/>
    <n v="4"/>
    <n v="4"/>
    <n v="0"/>
  </r>
  <r>
    <x v="665"/>
    <n v="1"/>
    <n v="15"/>
    <n v="0"/>
    <n v="0.02"/>
    <n v="2"/>
    <n v="0"/>
    <n v="2"/>
    <n v="2"/>
    <n v="0"/>
  </r>
  <r>
    <x v="666"/>
    <n v="1"/>
    <n v="15"/>
    <n v="0"/>
    <n v="0.02"/>
    <n v="2"/>
    <n v="0"/>
    <n v="2"/>
    <n v="2"/>
    <n v="0"/>
  </r>
  <r>
    <x v="667"/>
    <n v="1"/>
    <n v="15"/>
    <n v="0"/>
    <n v="0.03"/>
    <n v="2"/>
    <n v="0"/>
    <n v="2"/>
    <n v="2"/>
    <n v="0"/>
  </r>
  <r>
    <x v="668"/>
    <n v="20"/>
    <n v="15"/>
    <n v="0"/>
    <n v="0.03"/>
    <n v="40"/>
    <n v="0"/>
    <n v="2"/>
    <n v="2"/>
    <n v="0"/>
  </r>
  <r>
    <x v="669"/>
    <n v="3"/>
    <n v="15"/>
    <n v="0"/>
    <n v="0.03"/>
    <n v="6"/>
    <n v="0"/>
    <n v="6"/>
    <n v="6"/>
    <n v="0"/>
  </r>
  <r>
    <x v="670"/>
    <n v="10"/>
    <n v="15"/>
    <n v="0"/>
    <n v="0.01"/>
    <n v="20"/>
    <n v="0"/>
    <n v="2"/>
    <n v="2"/>
    <n v="0"/>
  </r>
  <r>
    <x v="671"/>
    <n v="1"/>
    <n v="10"/>
    <n v="0"/>
    <n v="0.03"/>
    <n v="3"/>
    <n v="0"/>
    <n v="3"/>
    <n v="3"/>
    <n v="0"/>
  </r>
  <r>
    <x v="672"/>
    <n v="20"/>
    <n v="15"/>
    <n v="0"/>
    <n v="0"/>
    <n v="40"/>
    <n v="0"/>
    <n v="2"/>
    <n v="2"/>
    <n v="0"/>
  </r>
  <r>
    <x v="673"/>
    <n v="1"/>
    <n v="15"/>
    <n v="0"/>
    <n v="0.03"/>
    <n v="2"/>
    <n v="0"/>
    <n v="2"/>
    <n v="2"/>
    <n v="0"/>
  </r>
  <r>
    <x v="674"/>
    <n v="15"/>
    <n v="15"/>
    <n v="0"/>
    <n v="0.02"/>
    <n v="30"/>
    <n v="0"/>
    <n v="1"/>
    <n v="1"/>
    <n v="0"/>
  </r>
  <r>
    <x v="675"/>
    <n v="15"/>
    <n v="15"/>
    <n v="0"/>
    <n v="0.02"/>
    <n v="30"/>
    <n v="0"/>
    <n v="2"/>
    <n v="2"/>
    <n v="0"/>
  </r>
  <r>
    <x v="676"/>
    <n v="45"/>
    <n v="15"/>
    <n v="0"/>
    <n v="0.02"/>
    <n v="90"/>
    <n v="0"/>
    <n v="5"/>
    <n v="5"/>
    <n v="0"/>
  </r>
  <r>
    <x v="677"/>
    <n v="30"/>
    <n v="15"/>
    <n v="0"/>
    <n v="0.02"/>
    <n v="60"/>
    <n v="0"/>
    <n v="3"/>
    <n v="3"/>
    <n v="0"/>
  </r>
  <r>
    <x v="678"/>
    <n v="15"/>
    <n v="15"/>
    <n v="0"/>
    <n v="0.03"/>
    <n v="30"/>
    <n v="0"/>
    <n v="2"/>
    <n v="2"/>
    <n v="0"/>
  </r>
  <r>
    <x v="679"/>
    <n v="10"/>
    <n v="10"/>
    <n v="0"/>
    <n v="0.01"/>
    <n v="30"/>
    <n v="0"/>
    <n v="1"/>
    <n v="1"/>
    <n v="0"/>
  </r>
  <r>
    <x v="680"/>
    <n v="5"/>
    <n v="13"/>
    <n v="0"/>
    <n v="0.03"/>
    <n v="11"/>
    <n v="0"/>
    <n v="11"/>
    <n v="9"/>
    <n v="0"/>
  </r>
  <r>
    <x v="681"/>
    <n v="2"/>
    <n v="12"/>
    <n v="0"/>
    <n v="0.02"/>
    <n v="5"/>
    <n v="0"/>
    <n v="4"/>
    <n v="4"/>
    <n v="0"/>
  </r>
  <r>
    <x v="682"/>
    <n v="1"/>
    <n v="15"/>
    <n v="0"/>
    <n v="0.01"/>
    <n v="2"/>
    <n v="0"/>
    <n v="2"/>
    <n v="2"/>
    <n v="0"/>
  </r>
  <r>
    <x v="683"/>
    <n v="1"/>
    <n v="10"/>
    <n v="0"/>
    <n v="0.03"/>
    <n v="3"/>
    <n v="0"/>
    <n v="3"/>
    <n v="3"/>
    <n v="0"/>
  </r>
  <r>
    <x v="684"/>
    <n v="1"/>
    <n v="10"/>
    <n v="0"/>
    <n v="0.01"/>
    <n v="3"/>
    <n v="0"/>
    <n v="2"/>
    <n v="2"/>
    <n v="0"/>
  </r>
  <r>
    <x v="685"/>
    <n v="1"/>
    <n v="15"/>
    <n v="0"/>
    <n v="0.01"/>
    <n v="2"/>
    <n v="0"/>
    <n v="2"/>
    <n v="2"/>
    <n v="0"/>
  </r>
  <r>
    <x v="686"/>
    <n v="10"/>
    <n v="15"/>
    <n v="0"/>
    <n v="0.03"/>
    <n v="20"/>
    <n v="0"/>
    <n v="4"/>
    <n v="4"/>
    <n v="0"/>
  </r>
  <r>
    <x v="687"/>
    <n v="3"/>
    <n v="15"/>
    <n v="0"/>
    <n v="0.03"/>
    <n v="6"/>
    <n v="0"/>
    <n v="6"/>
    <n v="6"/>
    <n v="0"/>
  </r>
  <r>
    <x v="688"/>
    <n v="27"/>
    <n v="15"/>
    <n v="0"/>
    <n v="0.03"/>
    <n v="51"/>
    <n v="0"/>
    <n v="6"/>
    <n v="5"/>
    <n v="0"/>
  </r>
  <r>
    <x v="689"/>
    <n v="1"/>
    <n v="15"/>
    <n v="0"/>
    <n v="0.01"/>
    <n v="2"/>
    <n v="0"/>
    <n v="2"/>
    <n v="2"/>
    <n v="0"/>
  </r>
  <r>
    <x v="690"/>
    <n v="10"/>
    <n v="15"/>
    <n v="0"/>
    <n v="0.03"/>
    <n v="20"/>
    <n v="0"/>
    <n v="2"/>
    <n v="2"/>
    <n v="0"/>
  </r>
  <r>
    <x v="691"/>
    <n v="30"/>
    <n v="15"/>
    <n v="0"/>
    <n v="0.01"/>
    <n v="60"/>
    <n v="0"/>
    <n v="3"/>
    <n v="3"/>
    <n v="0"/>
  </r>
  <r>
    <x v="692"/>
    <n v="15"/>
    <n v="15"/>
    <n v="0"/>
    <n v="0.03"/>
    <n v="30"/>
    <n v="0"/>
    <n v="2"/>
    <n v="2"/>
    <n v="0"/>
  </r>
  <r>
    <x v="693"/>
    <n v="3"/>
    <n v="12"/>
    <n v="0"/>
    <n v="0.02"/>
    <n v="7"/>
    <n v="0"/>
    <n v="7"/>
    <n v="6"/>
    <n v="0"/>
  </r>
  <r>
    <x v="694"/>
    <n v="1"/>
    <n v="15"/>
    <n v="0"/>
    <n v="0.01"/>
    <n v="2"/>
    <n v="0"/>
    <n v="2"/>
    <n v="2"/>
    <n v="0"/>
  </r>
  <r>
    <x v="695"/>
    <n v="20"/>
    <n v="15"/>
    <n v="0"/>
    <n v="0.02"/>
    <n v="40"/>
    <n v="0"/>
    <n v="3"/>
    <n v="2"/>
    <n v="0"/>
  </r>
  <r>
    <x v="696"/>
    <n v="15"/>
    <n v="15"/>
    <n v="0"/>
    <n v="0.03"/>
    <n v="30"/>
    <n v="0"/>
    <n v="2"/>
    <n v="2"/>
    <n v="0"/>
  </r>
  <r>
    <x v="697"/>
    <n v="10"/>
    <n v="15"/>
    <n v="0"/>
    <n v="0.01"/>
    <n v="20"/>
    <n v="0"/>
    <n v="1"/>
    <n v="1"/>
    <n v="0"/>
  </r>
  <r>
    <x v="698"/>
    <n v="2"/>
    <n v="15"/>
    <n v="0"/>
    <n v="0.01"/>
    <n v="4"/>
    <n v="0"/>
    <n v="3"/>
    <n v="1"/>
    <n v="0"/>
  </r>
  <r>
    <x v="699"/>
    <n v="10"/>
    <n v="15"/>
    <n v="0"/>
    <n v="0.02"/>
    <n v="20"/>
    <n v="0"/>
    <n v="1"/>
    <n v="1"/>
    <n v="0"/>
  </r>
  <r>
    <x v="700"/>
    <n v="50"/>
    <n v="15"/>
    <n v="0"/>
    <n v="0.01"/>
    <n v="100"/>
    <n v="0"/>
    <n v="2"/>
    <n v="2"/>
    <n v="0"/>
  </r>
  <r>
    <x v="701"/>
    <n v="41"/>
    <n v="14"/>
    <n v="0"/>
    <n v="0.01"/>
    <n v="85"/>
    <n v="0"/>
    <n v="6"/>
    <n v="5"/>
    <n v="0"/>
  </r>
  <r>
    <x v="702"/>
    <n v="15"/>
    <n v="15"/>
    <n v="0"/>
    <n v="0.01"/>
    <n v="30"/>
    <n v="0"/>
    <n v="2"/>
    <n v="2"/>
    <n v="0"/>
  </r>
  <r>
    <x v="703"/>
    <n v="10"/>
    <n v="15"/>
    <n v="0"/>
    <n v="0.02"/>
    <n v="20"/>
    <n v="0"/>
    <n v="2"/>
    <n v="2"/>
    <n v="0"/>
  </r>
  <r>
    <x v="704"/>
    <n v="1"/>
    <n v="15"/>
    <n v="0"/>
    <n v="0.02"/>
    <n v="2"/>
    <n v="0"/>
    <n v="2"/>
    <n v="2"/>
    <n v="0"/>
  </r>
  <r>
    <x v="705"/>
    <n v="1"/>
    <n v="15"/>
    <n v="0"/>
    <n v="0.02"/>
    <n v="2"/>
    <n v="0"/>
    <n v="2"/>
    <n v="2"/>
    <n v="0"/>
  </r>
  <r>
    <x v="706"/>
    <n v="15"/>
    <n v="15"/>
    <n v="0"/>
    <n v="0.02"/>
    <n v="30"/>
    <n v="0"/>
    <n v="1"/>
    <n v="1"/>
    <n v="0"/>
  </r>
  <r>
    <x v="495"/>
    <n v="6591"/>
    <n v="2726"/>
    <n v="1.7500000000000011"/>
    <n v="13.519999999999957"/>
    <n v="15703"/>
    <n v="0"/>
    <n v="981"/>
    <n v="807"/>
    <n v="0"/>
  </r>
  <r>
    <x v="496"/>
    <m/>
    <m/>
    <m/>
    <m/>
    <m/>
    <m/>
    <m/>
    <m/>
    <m/>
  </r>
  <r>
    <x v="707"/>
    <m/>
    <m/>
    <m/>
    <m/>
    <m/>
    <m/>
    <m/>
    <m/>
    <m/>
  </r>
  <r>
    <x v="498"/>
    <m/>
    <m/>
    <m/>
    <m/>
    <m/>
    <m/>
    <m/>
    <m/>
    <m/>
  </r>
  <r>
    <x v="708"/>
    <n v="12"/>
    <n v="22"/>
    <n v="0.09"/>
    <n v="0.64"/>
    <n v="16"/>
    <n v="0"/>
    <n v="12"/>
    <n v="9"/>
    <n v="0"/>
  </r>
  <r>
    <x v="709"/>
    <n v="11"/>
    <n v="23"/>
    <n v="7.0000000000000007E-2"/>
    <n v="0.47"/>
    <n v="14"/>
    <n v="0"/>
    <n v="7"/>
    <n v="5"/>
    <n v="0"/>
  </r>
  <r>
    <x v="710"/>
    <n v="5"/>
    <n v="21"/>
    <n v="0.06"/>
    <n v="0.43"/>
    <n v="7"/>
    <n v="0"/>
    <n v="3"/>
    <n v="3"/>
    <n v="0"/>
  </r>
  <r>
    <x v="711"/>
    <n v="720"/>
    <n v="21"/>
    <n v="0.06"/>
    <n v="0.38"/>
    <n v="1020"/>
    <n v="0"/>
    <n v="48"/>
    <n v="23"/>
    <n v="0"/>
  </r>
  <r>
    <x v="712"/>
    <n v="80"/>
    <n v="21"/>
    <n v="0.05"/>
    <n v="0.32"/>
    <n v="110"/>
    <n v="0"/>
    <n v="10"/>
    <n v="8"/>
    <n v="0"/>
  </r>
  <r>
    <x v="713"/>
    <n v="5"/>
    <n v="25"/>
    <n v="0.05"/>
    <n v="0.36"/>
    <n v="6"/>
    <n v="0"/>
    <n v="4"/>
    <n v="4"/>
    <n v="0"/>
  </r>
  <r>
    <x v="714"/>
    <n v="11"/>
    <n v="19"/>
    <n v="0.05"/>
    <n v="0.32"/>
    <n v="17"/>
    <n v="0"/>
    <n v="17"/>
    <n v="13"/>
    <n v="0"/>
  </r>
  <r>
    <x v="715"/>
    <n v="4"/>
    <n v="30"/>
    <n v="0.05"/>
    <n v="0.32"/>
    <n v="4"/>
    <n v="0"/>
    <n v="4"/>
    <n v="4"/>
    <n v="0"/>
  </r>
  <r>
    <x v="716"/>
    <n v="310"/>
    <n v="22"/>
    <n v="0.05"/>
    <n v="0.37"/>
    <n v="420"/>
    <n v="0"/>
    <n v="20"/>
    <n v="18"/>
    <n v="0"/>
  </r>
  <r>
    <x v="717"/>
    <n v="483"/>
    <n v="22"/>
    <n v="0.05"/>
    <n v="0.33"/>
    <n v="654"/>
    <n v="0"/>
    <n v="69"/>
    <n v="24"/>
    <n v="0"/>
  </r>
  <r>
    <x v="718"/>
    <n v="5"/>
    <n v="21"/>
    <n v="0.05"/>
    <n v="0.37"/>
    <n v="7"/>
    <n v="0"/>
    <n v="4"/>
    <n v="4"/>
    <n v="0"/>
  </r>
  <r>
    <x v="719"/>
    <n v="8"/>
    <n v="24"/>
    <n v="0.04"/>
    <n v="0.28999999999999998"/>
    <n v="10"/>
    <n v="0"/>
    <n v="8"/>
    <n v="7"/>
    <n v="0"/>
  </r>
  <r>
    <x v="720"/>
    <n v="3"/>
    <n v="18"/>
    <n v="0.04"/>
    <n v="0.25"/>
    <n v="5"/>
    <n v="0"/>
    <n v="5"/>
    <n v="5"/>
    <n v="0"/>
  </r>
  <r>
    <x v="721"/>
    <n v="4"/>
    <n v="17"/>
    <n v="0.03"/>
    <n v="0.2"/>
    <n v="7"/>
    <n v="0"/>
    <n v="5"/>
    <n v="5"/>
    <n v="0"/>
  </r>
  <r>
    <x v="722"/>
    <n v="3"/>
    <n v="30"/>
    <n v="0.03"/>
    <n v="0.22"/>
    <n v="3"/>
    <n v="0"/>
    <n v="3"/>
    <n v="3"/>
    <n v="0"/>
  </r>
  <r>
    <x v="723"/>
    <n v="120"/>
    <n v="21"/>
    <n v="0.03"/>
    <n v="0.17"/>
    <n v="165"/>
    <n v="0"/>
    <n v="7"/>
    <n v="5"/>
    <n v="0"/>
  </r>
  <r>
    <x v="724"/>
    <n v="10"/>
    <n v="30"/>
    <n v="0.03"/>
    <n v="0.22"/>
    <n v="10"/>
    <n v="0"/>
    <n v="10"/>
    <n v="8"/>
    <n v="0"/>
  </r>
  <r>
    <x v="725"/>
    <n v="70"/>
    <n v="23"/>
    <n v="0.03"/>
    <n v="0.19"/>
    <n v="90"/>
    <n v="0"/>
    <n v="7"/>
    <n v="6"/>
    <n v="0"/>
  </r>
  <r>
    <x v="726"/>
    <n v="8"/>
    <n v="24"/>
    <n v="0.03"/>
    <n v="0.2"/>
    <n v="10"/>
    <n v="0"/>
    <n v="10"/>
    <n v="8"/>
    <n v="0"/>
  </r>
  <r>
    <x v="727"/>
    <n v="290"/>
    <n v="28"/>
    <n v="0.03"/>
    <n v="0.21"/>
    <n v="310"/>
    <n v="0"/>
    <n v="15"/>
    <n v="11"/>
    <n v="0"/>
  </r>
  <r>
    <x v="728"/>
    <n v="240"/>
    <n v="17"/>
    <n v="0.03"/>
    <n v="0.21"/>
    <n v="420"/>
    <n v="0"/>
    <n v="18"/>
    <n v="14"/>
    <n v="0"/>
  </r>
  <r>
    <x v="729"/>
    <n v="40"/>
    <n v="20"/>
    <n v="0.02"/>
    <n v="0.11"/>
    <n v="60"/>
    <n v="0"/>
    <n v="6"/>
    <n v="5"/>
    <n v="0"/>
  </r>
  <r>
    <x v="730"/>
    <n v="30"/>
    <n v="22"/>
    <n v="0.02"/>
    <n v="0.13"/>
    <n v="40"/>
    <n v="0"/>
    <n v="3"/>
    <n v="2"/>
    <n v="0"/>
  </r>
  <r>
    <x v="731"/>
    <n v="5"/>
    <n v="21"/>
    <n v="0.02"/>
    <n v="0.13"/>
    <n v="7"/>
    <n v="0"/>
    <n v="6"/>
    <n v="5"/>
    <n v="0"/>
  </r>
  <r>
    <x v="732"/>
    <n v="60"/>
    <n v="18"/>
    <n v="0.02"/>
    <n v="0.11"/>
    <n v="100"/>
    <n v="0"/>
    <n v="7"/>
    <n v="6"/>
    <n v="0"/>
  </r>
  <r>
    <x v="733"/>
    <n v="101"/>
    <n v="17"/>
    <n v="0.02"/>
    <n v="0.17"/>
    <n v="169"/>
    <n v="0"/>
    <n v="13"/>
    <n v="9"/>
    <n v="0"/>
  </r>
  <r>
    <x v="734"/>
    <n v="165"/>
    <n v="27"/>
    <n v="0.02"/>
    <n v="0.17"/>
    <n v="180"/>
    <n v="0"/>
    <n v="10"/>
    <n v="8"/>
    <n v="0"/>
  </r>
  <r>
    <x v="735"/>
    <n v="458"/>
    <n v="23"/>
    <n v="0.02"/>
    <n v="0.12"/>
    <n v="580"/>
    <n v="0"/>
    <n v="41"/>
    <n v="20"/>
    <n v="0"/>
  </r>
  <r>
    <x v="736"/>
    <n v="2"/>
    <n v="30"/>
    <n v="0.02"/>
    <n v="0.12"/>
    <n v="2"/>
    <n v="0"/>
    <n v="2"/>
    <n v="2"/>
    <n v="0"/>
  </r>
  <r>
    <x v="737"/>
    <n v="4"/>
    <n v="24"/>
    <n v="0.02"/>
    <n v="0.14000000000000001"/>
    <n v="5"/>
    <n v="0"/>
    <n v="5"/>
    <n v="5"/>
    <n v="0"/>
  </r>
  <r>
    <x v="738"/>
    <n v="461"/>
    <n v="23"/>
    <n v="0.02"/>
    <n v="0.15"/>
    <n v="580"/>
    <n v="0"/>
    <n v="22"/>
    <n v="17"/>
    <n v="0"/>
  </r>
  <r>
    <x v="739"/>
    <n v="4"/>
    <n v="30"/>
    <n v="0.02"/>
    <n v="0.14000000000000001"/>
    <n v="4"/>
    <n v="0"/>
    <n v="4"/>
    <n v="4"/>
    <n v="0"/>
  </r>
  <r>
    <x v="740"/>
    <n v="75"/>
    <n v="30"/>
    <n v="0.02"/>
    <n v="0.13"/>
    <n v="75"/>
    <n v="0"/>
    <n v="4"/>
    <n v="4"/>
    <n v="0"/>
  </r>
  <r>
    <x v="741"/>
    <n v="130"/>
    <n v="20"/>
    <n v="0.02"/>
    <n v="0.13"/>
    <n v="190"/>
    <n v="0"/>
    <n v="10"/>
    <n v="8"/>
    <n v="0"/>
  </r>
  <r>
    <x v="742"/>
    <n v="60"/>
    <n v="20"/>
    <n v="0.02"/>
    <n v="0.14000000000000001"/>
    <n v="90"/>
    <n v="0"/>
    <n v="8"/>
    <n v="6"/>
    <n v="0"/>
  </r>
  <r>
    <x v="743"/>
    <n v="70"/>
    <n v="19"/>
    <n v="0.02"/>
    <n v="0.14000000000000001"/>
    <n v="110"/>
    <n v="0"/>
    <n v="7"/>
    <n v="6"/>
    <n v="0"/>
  </r>
  <r>
    <x v="744"/>
    <n v="40"/>
    <n v="17"/>
    <n v="0.02"/>
    <n v="0.11"/>
    <n v="70"/>
    <n v="0"/>
    <n v="7"/>
    <n v="5"/>
    <n v="0"/>
  </r>
  <r>
    <x v="745"/>
    <n v="90"/>
    <n v="25"/>
    <n v="0.02"/>
    <n v="0.11"/>
    <n v="105"/>
    <n v="0"/>
    <n v="6"/>
    <n v="6"/>
    <n v="0"/>
  </r>
  <r>
    <x v="746"/>
    <n v="210"/>
    <n v="21"/>
    <n v="0.02"/>
    <n v="0.13"/>
    <n v="300"/>
    <n v="0"/>
    <n v="11"/>
    <n v="10"/>
    <n v="0"/>
  </r>
  <r>
    <x v="747"/>
    <n v="75"/>
    <n v="16"/>
    <n v="0.02"/>
    <n v="0.15"/>
    <n v="135"/>
    <n v="0"/>
    <n v="9"/>
    <n v="8"/>
    <n v="0"/>
  </r>
  <r>
    <x v="748"/>
    <n v="75"/>
    <n v="16"/>
    <n v="0.02"/>
    <n v="0.13"/>
    <n v="135"/>
    <n v="0"/>
    <n v="9"/>
    <n v="8"/>
    <n v="0"/>
  </r>
  <r>
    <x v="749"/>
    <n v="20"/>
    <n v="20"/>
    <n v="0.02"/>
    <n v="0.11"/>
    <n v="30"/>
    <n v="0"/>
    <n v="2"/>
    <n v="1"/>
    <n v="0"/>
  </r>
  <r>
    <x v="750"/>
    <n v="70"/>
    <n v="19"/>
    <n v="0.02"/>
    <n v="0.11"/>
    <n v="110"/>
    <n v="0"/>
    <n v="7"/>
    <n v="6"/>
    <n v="0"/>
  </r>
  <r>
    <x v="751"/>
    <n v="60"/>
    <n v="16"/>
    <n v="0.02"/>
    <n v="0.16"/>
    <n v="110"/>
    <n v="0"/>
    <n v="8"/>
    <n v="8"/>
    <n v="0"/>
  </r>
  <r>
    <x v="752"/>
    <n v="135"/>
    <n v="30"/>
    <n v="0.02"/>
    <n v="0.13"/>
    <n v="135"/>
    <n v="0"/>
    <n v="4"/>
    <n v="4"/>
    <n v="0"/>
  </r>
  <r>
    <x v="753"/>
    <n v="110"/>
    <n v="30"/>
    <n v="0.02"/>
    <n v="0.15"/>
    <n v="110"/>
    <n v="0"/>
    <n v="11"/>
    <n v="9"/>
    <n v="0"/>
  </r>
  <r>
    <x v="754"/>
    <n v="141"/>
    <n v="25"/>
    <n v="0.02"/>
    <n v="0.11"/>
    <n v="168"/>
    <n v="0"/>
    <n v="24"/>
    <n v="16"/>
    <n v="0"/>
  </r>
  <r>
    <x v="755"/>
    <n v="30"/>
    <n v="30"/>
    <n v="0.02"/>
    <n v="0.16"/>
    <n v="30"/>
    <n v="0"/>
    <n v="2"/>
    <n v="1"/>
    <n v="0"/>
  </r>
  <r>
    <x v="756"/>
    <n v="150"/>
    <n v="27"/>
    <n v="0.02"/>
    <n v="0.12"/>
    <n v="165"/>
    <n v="0"/>
    <n v="9"/>
    <n v="8"/>
    <n v="0"/>
  </r>
  <r>
    <x v="757"/>
    <n v="195"/>
    <n v="20"/>
    <n v="0.02"/>
    <n v="0.17"/>
    <n v="285"/>
    <n v="0"/>
    <n v="13"/>
    <n v="12"/>
    <n v="0"/>
  </r>
  <r>
    <x v="758"/>
    <n v="70"/>
    <n v="23"/>
    <n v="0.02"/>
    <n v="0.12"/>
    <n v="90"/>
    <n v="0"/>
    <n v="5"/>
    <n v="4"/>
    <n v="0"/>
  </r>
  <r>
    <x v="759"/>
    <n v="4"/>
    <n v="24"/>
    <n v="0.02"/>
    <n v="0.17"/>
    <n v="5"/>
    <n v="0"/>
    <n v="5"/>
    <n v="5"/>
    <n v="0"/>
  </r>
  <r>
    <x v="760"/>
    <n v="50"/>
    <n v="25"/>
    <n v="0.01"/>
    <n v="0.04"/>
    <n v="60"/>
    <n v="0"/>
    <n v="4"/>
    <n v="4"/>
    <n v="0"/>
  </r>
  <r>
    <x v="761"/>
    <n v="7"/>
    <n v="21"/>
    <n v="0.01"/>
    <n v="0.04"/>
    <n v="10"/>
    <n v="0"/>
    <n v="9"/>
    <n v="8"/>
    <n v="0"/>
  </r>
  <r>
    <x v="762"/>
    <n v="75"/>
    <n v="30"/>
    <n v="0.01"/>
    <n v="0.09"/>
    <n v="75"/>
    <n v="0"/>
    <n v="5"/>
    <n v="5"/>
    <n v="0"/>
  </r>
  <r>
    <x v="763"/>
    <n v="90"/>
    <n v="22"/>
    <n v="0.01"/>
    <n v="0.05"/>
    <n v="120"/>
    <n v="0"/>
    <n v="4"/>
    <n v="4"/>
    <n v="0"/>
  </r>
  <r>
    <x v="764"/>
    <n v="72"/>
    <n v="16"/>
    <n v="0.01"/>
    <n v="0.09"/>
    <n v="128"/>
    <n v="0"/>
    <n v="6"/>
    <n v="6"/>
    <n v="0"/>
  </r>
  <r>
    <x v="765"/>
    <n v="70"/>
    <n v="30"/>
    <n v="0.01"/>
    <n v="0.04"/>
    <n v="70"/>
    <n v="0"/>
    <n v="4"/>
    <n v="4"/>
    <n v="0"/>
  </r>
  <r>
    <x v="766"/>
    <n v="60"/>
    <n v="30"/>
    <n v="0.01"/>
    <n v="0.08"/>
    <n v="60"/>
    <n v="0"/>
    <n v="3"/>
    <n v="3"/>
    <n v="0"/>
  </r>
  <r>
    <x v="767"/>
    <n v="20"/>
    <n v="30"/>
    <n v="0.01"/>
    <n v="0.05"/>
    <n v="20"/>
    <n v="0"/>
    <n v="2"/>
    <n v="2"/>
    <n v="0"/>
  </r>
  <r>
    <x v="768"/>
    <n v="30"/>
    <n v="30"/>
    <n v="0.01"/>
    <n v="0.05"/>
    <n v="30"/>
    <n v="0"/>
    <n v="2"/>
    <n v="2"/>
    <n v="0"/>
  </r>
  <r>
    <x v="769"/>
    <n v="70"/>
    <n v="23"/>
    <n v="0.01"/>
    <n v="0.04"/>
    <n v="90"/>
    <n v="0"/>
    <n v="4"/>
    <n v="3"/>
    <n v="0"/>
  </r>
  <r>
    <x v="770"/>
    <n v="45"/>
    <n v="18"/>
    <n v="0.01"/>
    <n v="7.0000000000000007E-2"/>
    <n v="75"/>
    <n v="0"/>
    <n v="4"/>
    <n v="4"/>
    <n v="0"/>
  </r>
  <r>
    <x v="771"/>
    <n v="2"/>
    <n v="30"/>
    <n v="0.01"/>
    <n v="0.04"/>
    <n v="2"/>
    <n v="0"/>
    <n v="2"/>
    <n v="2"/>
    <n v="0"/>
  </r>
  <r>
    <x v="772"/>
    <n v="30"/>
    <n v="30"/>
    <n v="0.01"/>
    <n v="0.05"/>
    <n v="30"/>
    <n v="0"/>
    <n v="2"/>
    <n v="2"/>
    <n v="0"/>
  </r>
  <r>
    <x v="773"/>
    <n v="20"/>
    <n v="20"/>
    <n v="0.01"/>
    <n v="0.06"/>
    <n v="30"/>
    <n v="0"/>
    <n v="3"/>
    <n v="3"/>
    <n v="0"/>
  </r>
  <r>
    <x v="774"/>
    <n v="40"/>
    <n v="30"/>
    <n v="0.01"/>
    <n v="0.04"/>
    <n v="40"/>
    <n v="0"/>
    <n v="2"/>
    <n v="2"/>
    <n v="0"/>
  </r>
  <r>
    <x v="775"/>
    <n v="10"/>
    <n v="30"/>
    <n v="0.01"/>
    <n v="0.05"/>
    <n v="10"/>
    <n v="0"/>
    <n v="1"/>
    <n v="1"/>
    <n v="0"/>
  </r>
  <r>
    <x v="776"/>
    <n v="500"/>
    <n v="30"/>
    <n v="0.01"/>
    <n v="7.0000000000000007E-2"/>
    <n v="500"/>
    <n v="0"/>
    <n v="5"/>
    <n v="4"/>
    <n v="0"/>
  </r>
  <r>
    <x v="777"/>
    <n v="199"/>
    <n v="17"/>
    <n v="0.01"/>
    <n v="0.1"/>
    <n v="341"/>
    <n v="0"/>
    <n v="22"/>
    <n v="14"/>
    <n v="0"/>
  </r>
  <r>
    <x v="778"/>
    <n v="60"/>
    <n v="30"/>
    <n v="0.01"/>
    <n v="0.04"/>
    <n v="60"/>
    <n v="0"/>
    <n v="3"/>
    <n v="3"/>
    <n v="0"/>
  </r>
  <r>
    <x v="779"/>
    <n v="20"/>
    <n v="30"/>
    <n v="0.01"/>
    <n v="0.04"/>
    <n v="20"/>
    <n v="0"/>
    <n v="2"/>
    <n v="2"/>
    <n v="0"/>
  </r>
  <r>
    <x v="780"/>
    <n v="50"/>
    <n v="25"/>
    <n v="0.01"/>
    <n v="0.05"/>
    <n v="60"/>
    <n v="0"/>
    <n v="5"/>
    <n v="5"/>
    <n v="0"/>
  </r>
  <r>
    <x v="781"/>
    <n v="102"/>
    <n v="25"/>
    <n v="0.01"/>
    <n v="0.08"/>
    <n v="120"/>
    <n v="0"/>
    <n v="10"/>
    <n v="10"/>
    <n v="0"/>
  </r>
  <r>
    <x v="782"/>
    <n v="80"/>
    <n v="30"/>
    <n v="0.01"/>
    <n v="0.04"/>
    <n v="80"/>
    <n v="0"/>
    <n v="6"/>
    <n v="6"/>
    <n v="0"/>
  </r>
  <r>
    <x v="783"/>
    <n v="60"/>
    <n v="30"/>
    <n v="0.01"/>
    <n v="0.06"/>
    <n v="60"/>
    <n v="0"/>
    <n v="2"/>
    <n v="2"/>
    <n v="0"/>
  </r>
  <r>
    <x v="784"/>
    <n v="20"/>
    <n v="30"/>
    <n v="0.01"/>
    <n v="0.04"/>
    <n v="20"/>
    <n v="0"/>
    <n v="2"/>
    <n v="2"/>
    <n v="0"/>
  </r>
  <r>
    <x v="785"/>
    <n v="20"/>
    <n v="30"/>
    <n v="0.01"/>
    <n v="0.04"/>
    <n v="20"/>
    <n v="0"/>
    <n v="2"/>
    <n v="2"/>
    <n v="0"/>
  </r>
  <r>
    <x v="786"/>
    <n v="30"/>
    <n v="22"/>
    <n v="0.01"/>
    <n v="0.04"/>
    <n v="40"/>
    <n v="0"/>
    <n v="4"/>
    <n v="4"/>
    <n v="0"/>
  </r>
  <r>
    <x v="787"/>
    <n v="50"/>
    <n v="21"/>
    <n v="0.01"/>
    <n v="0.04"/>
    <n v="70"/>
    <n v="0"/>
    <n v="4"/>
    <n v="4"/>
    <n v="0"/>
  </r>
  <r>
    <x v="788"/>
    <n v="24"/>
    <n v="22"/>
    <n v="0.01"/>
    <n v="0.06"/>
    <n v="32"/>
    <n v="0"/>
    <n v="4"/>
    <n v="4"/>
    <n v="0"/>
  </r>
  <r>
    <x v="789"/>
    <n v="2"/>
    <n v="20"/>
    <n v="0.01"/>
    <n v="0.05"/>
    <n v="3"/>
    <n v="0"/>
    <n v="3"/>
    <n v="3"/>
    <n v="0"/>
  </r>
  <r>
    <x v="790"/>
    <n v="30"/>
    <n v="22"/>
    <n v="0.01"/>
    <n v="0.04"/>
    <n v="40"/>
    <n v="0"/>
    <n v="3"/>
    <n v="2"/>
    <n v="0"/>
  </r>
  <r>
    <x v="791"/>
    <n v="20"/>
    <n v="20"/>
    <n v="0.01"/>
    <n v="0.04"/>
    <n v="30"/>
    <n v="0"/>
    <n v="3"/>
    <n v="3"/>
    <n v="0"/>
  </r>
  <r>
    <x v="792"/>
    <n v="21"/>
    <n v="30"/>
    <n v="0.01"/>
    <n v="0.04"/>
    <n v="21"/>
    <n v="0"/>
    <n v="1"/>
    <n v="1"/>
    <n v="0"/>
  </r>
  <r>
    <x v="793"/>
    <n v="20"/>
    <n v="20"/>
    <n v="0.01"/>
    <n v="0.05"/>
    <n v="30"/>
    <n v="0"/>
    <n v="3"/>
    <n v="3"/>
    <n v="0"/>
  </r>
  <r>
    <x v="794"/>
    <n v="42"/>
    <n v="30"/>
    <n v="0.01"/>
    <n v="0.04"/>
    <n v="42"/>
    <n v="0"/>
    <n v="2"/>
    <n v="2"/>
    <n v="0"/>
  </r>
  <r>
    <x v="795"/>
    <n v="30"/>
    <n v="22"/>
    <n v="0.01"/>
    <n v="0.05"/>
    <n v="40"/>
    <n v="0"/>
    <n v="2"/>
    <n v="2"/>
    <n v="0"/>
  </r>
  <r>
    <x v="796"/>
    <n v="75"/>
    <n v="30"/>
    <n v="0.01"/>
    <n v="0.04"/>
    <n v="75"/>
    <n v="0"/>
    <n v="3"/>
    <n v="3"/>
    <n v="0"/>
  </r>
  <r>
    <x v="797"/>
    <n v="90"/>
    <n v="18"/>
    <n v="0.01"/>
    <n v="0.05"/>
    <n v="150"/>
    <n v="0"/>
    <n v="6"/>
    <n v="5"/>
    <n v="0"/>
  </r>
  <r>
    <x v="798"/>
    <n v="30"/>
    <n v="30"/>
    <n v="0.01"/>
    <n v="0.08"/>
    <n v="30"/>
    <n v="0"/>
    <n v="3"/>
    <n v="3"/>
    <n v="0"/>
  </r>
  <r>
    <x v="799"/>
    <n v="30"/>
    <n v="30"/>
    <n v="0.01"/>
    <n v="0.05"/>
    <n v="30"/>
    <n v="0"/>
    <n v="3"/>
    <n v="3"/>
    <n v="0"/>
  </r>
  <r>
    <x v="800"/>
    <n v="90"/>
    <n v="22"/>
    <n v="0.01"/>
    <n v="0.05"/>
    <n v="120"/>
    <n v="0"/>
    <n v="4"/>
    <n v="4"/>
    <n v="0"/>
  </r>
  <r>
    <x v="801"/>
    <n v="40"/>
    <n v="30"/>
    <n v="0.01"/>
    <n v="0.04"/>
    <n v="40"/>
    <n v="0"/>
    <n v="4"/>
    <n v="4"/>
    <n v="0"/>
  </r>
  <r>
    <x v="802"/>
    <n v="3"/>
    <n v="30"/>
    <n v="0.01"/>
    <n v="0.04"/>
    <n v="3"/>
    <n v="0"/>
    <n v="3"/>
    <n v="3"/>
    <n v="0"/>
  </r>
  <r>
    <x v="803"/>
    <n v="5"/>
    <n v="25"/>
    <n v="0.01"/>
    <n v="0.06"/>
    <n v="6"/>
    <n v="0"/>
    <n v="6"/>
    <n v="6"/>
    <n v="0"/>
  </r>
  <r>
    <x v="804"/>
    <n v="1"/>
    <n v="30"/>
    <n v="0.01"/>
    <n v="0.09"/>
    <n v="1"/>
    <n v="0"/>
    <n v="1"/>
    <n v="1"/>
    <n v="0"/>
  </r>
  <r>
    <x v="805"/>
    <n v="75"/>
    <n v="30"/>
    <n v="0.01"/>
    <n v="0.06"/>
    <n v="75"/>
    <n v="0"/>
    <n v="2"/>
    <n v="2"/>
    <n v="0"/>
  </r>
  <r>
    <x v="806"/>
    <n v="2"/>
    <n v="20"/>
    <n v="0.01"/>
    <n v="0.04"/>
    <n v="3"/>
    <n v="0"/>
    <n v="3"/>
    <n v="3"/>
    <n v="0"/>
  </r>
  <r>
    <x v="807"/>
    <n v="30"/>
    <n v="30"/>
    <n v="0.01"/>
    <n v="0.05"/>
    <n v="30"/>
    <n v="0"/>
    <n v="3"/>
    <n v="3"/>
    <n v="0"/>
  </r>
  <r>
    <x v="808"/>
    <n v="4"/>
    <n v="30"/>
    <n v="0.01"/>
    <n v="0.04"/>
    <n v="4"/>
    <n v="0"/>
    <n v="4"/>
    <n v="4"/>
    <n v="0"/>
  </r>
  <r>
    <x v="809"/>
    <n v="5"/>
    <n v="30"/>
    <n v="0.01"/>
    <n v="0.05"/>
    <n v="5"/>
    <n v="0"/>
    <n v="3"/>
    <n v="3"/>
    <n v="0"/>
  </r>
  <r>
    <x v="810"/>
    <n v="2"/>
    <n v="20"/>
    <n v="0.01"/>
    <n v="0.08"/>
    <n v="3"/>
    <n v="0"/>
    <n v="2"/>
    <n v="2"/>
    <n v="0"/>
  </r>
  <r>
    <x v="811"/>
    <n v="30"/>
    <n v="20"/>
    <n v="0.01"/>
    <n v="7.0000000000000007E-2"/>
    <n v="45"/>
    <n v="0"/>
    <n v="3"/>
    <n v="3"/>
    <n v="0"/>
  </r>
  <r>
    <x v="812"/>
    <n v="30"/>
    <n v="20"/>
    <n v="0.01"/>
    <n v="0.04"/>
    <n v="45"/>
    <n v="0"/>
    <n v="3"/>
    <n v="3"/>
    <n v="0"/>
  </r>
  <r>
    <x v="813"/>
    <n v="75"/>
    <n v="30"/>
    <n v="0.01"/>
    <n v="0.05"/>
    <n v="75"/>
    <n v="0"/>
    <n v="5"/>
    <n v="5"/>
    <n v="0"/>
  </r>
  <r>
    <x v="814"/>
    <n v="60"/>
    <n v="30"/>
    <n v="0.01"/>
    <n v="0.05"/>
    <n v="60"/>
    <n v="0"/>
    <n v="2"/>
    <n v="2"/>
    <n v="0"/>
  </r>
  <r>
    <x v="815"/>
    <n v="30"/>
    <n v="30"/>
    <n v="0.01"/>
    <n v="0.04"/>
    <n v="30"/>
    <n v="0"/>
    <n v="2"/>
    <n v="2"/>
    <n v="0"/>
  </r>
  <r>
    <x v="816"/>
    <n v="3"/>
    <n v="30"/>
    <n v="0.01"/>
    <n v="0.05"/>
    <n v="3"/>
    <n v="0"/>
    <n v="3"/>
    <n v="3"/>
    <n v="0"/>
  </r>
  <r>
    <x v="817"/>
    <n v="130"/>
    <n v="30"/>
    <n v="0.01"/>
    <n v="0.08"/>
    <n v="130"/>
    <n v="0"/>
    <n v="7"/>
    <n v="7"/>
    <n v="0"/>
  </r>
  <r>
    <x v="818"/>
    <n v="70"/>
    <n v="26"/>
    <n v="0.01"/>
    <n v="7.0000000000000007E-2"/>
    <n v="80"/>
    <n v="0"/>
    <n v="6"/>
    <n v="4"/>
    <n v="0"/>
  </r>
  <r>
    <x v="819"/>
    <n v="20"/>
    <n v="20"/>
    <n v="0.01"/>
    <n v="0.05"/>
    <n v="30"/>
    <n v="0"/>
    <n v="3"/>
    <n v="3"/>
    <n v="0"/>
  </r>
  <r>
    <x v="820"/>
    <n v="70"/>
    <n v="21"/>
    <n v="0.01"/>
    <n v="0.06"/>
    <n v="100"/>
    <n v="0"/>
    <n v="4"/>
    <n v="4"/>
    <n v="0"/>
  </r>
  <r>
    <x v="821"/>
    <n v="3"/>
    <n v="22"/>
    <n v="0.01"/>
    <n v="0.04"/>
    <n v="4"/>
    <n v="0"/>
    <n v="4"/>
    <n v="4"/>
    <n v="0"/>
  </r>
  <r>
    <x v="822"/>
    <n v="75"/>
    <n v="30"/>
    <n v="0.01"/>
    <n v="7.0000000000000007E-2"/>
    <n v="75"/>
    <n v="0"/>
    <n v="4"/>
    <n v="4"/>
    <n v="0"/>
  </r>
  <r>
    <x v="823"/>
    <n v="20"/>
    <n v="30"/>
    <n v="0.01"/>
    <n v="0.05"/>
    <n v="20"/>
    <n v="0"/>
    <n v="2"/>
    <n v="2"/>
    <n v="0"/>
  </r>
  <r>
    <x v="824"/>
    <n v="28"/>
    <n v="30"/>
    <n v="0.01"/>
    <n v="0.06"/>
    <n v="28"/>
    <n v="0"/>
    <n v="3"/>
    <n v="3"/>
    <n v="0"/>
  </r>
  <r>
    <x v="825"/>
    <n v="70"/>
    <n v="19"/>
    <n v="0.01"/>
    <n v="0.05"/>
    <n v="110"/>
    <n v="0"/>
    <n v="5"/>
    <n v="5"/>
    <n v="0"/>
  </r>
  <r>
    <x v="826"/>
    <n v="3"/>
    <n v="22"/>
    <n v="0.01"/>
    <n v="0.05"/>
    <n v="4"/>
    <n v="0"/>
    <n v="4"/>
    <n v="4"/>
    <n v="0"/>
  </r>
  <r>
    <x v="827"/>
    <n v="30"/>
    <n v="30"/>
    <n v="0.01"/>
    <n v="7.0000000000000007E-2"/>
    <n v="30"/>
    <n v="0"/>
    <n v="3"/>
    <n v="3"/>
    <n v="0"/>
  </r>
  <r>
    <x v="828"/>
    <n v="200"/>
    <n v="20"/>
    <n v="0.01"/>
    <n v="0.04"/>
    <n v="300"/>
    <n v="0"/>
    <n v="3"/>
    <n v="3"/>
    <n v="0"/>
  </r>
  <r>
    <x v="829"/>
    <n v="60"/>
    <n v="20"/>
    <n v="0.01"/>
    <n v="0.05"/>
    <n v="90"/>
    <n v="0"/>
    <n v="6"/>
    <n v="6"/>
    <n v="0"/>
  </r>
  <r>
    <x v="830"/>
    <n v="30"/>
    <n v="30"/>
    <n v="0.01"/>
    <n v="0.06"/>
    <n v="30"/>
    <n v="0"/>
    <n v="2"/>
    <n v="2"/>
    <n v="0"/>
  </r>
  <r>
    <x v="831"/>
    <n v="45"/>
    <n v="30"/>
    <n v="0.01"/>
    <n v="0.05"/>
    <n v="45"/>
    <n v="0"/>
    <n v="3"/>
    <n v="3"/>
    <n v="0"/>
  </r>
  <r>
    <x v="832"/>
    <n v="45"/>
    <n v="30"/>
    <n v="0.01"/>
    <n v="7.0000000000000007E-2"/>
    <n v="45"/>
    <n v="0"/>
    <n v="3"/>
    <n v="3"/>
    <n v="0"/>
  </r>
  <r>
    <x v="833"/>
    <n v="2"/>
    <n v="20"/>
    <n v="0.01"/>
    <n v="0.04"/>
    <n v="3"/>
    <n v="0"/>
    <n v="2"/>
    <n v="2"/>
    <n v="0"/>
  </r>
  <r>
    <x v="834"/>
    <n v="30"/>
    <n v="18"/>
    <n v="0.01"/>
    <n v="0.05"/>
    <n v="50"/>
    <n v="0"/>
    <n v="2"/>
    <n v="2"/>
    <n v="0"/>
  </r>
  <r>
    <x v="835"/>
    <n v="97"/>
    <n v="27"/>
    <n v="0.01"/>
    <n v="0.06"/>
    <n v="106"/>
    <n v="0"/>
    <n v="10"/>
    <n v="9"/>
    <n v="0"/>
  </r>
  <r>
    <x v="836"/>
    <n v="45"/>
    <n v="22"/>
    <n v="0.01"/>
    <n v="0.05"/>
    <n v="60"/>
    <n v="0"/>
    <n v="4"/>
    <n v="4"/>
    <n v="0"/>
  </r>
  <r>
    <x v="837"/>
    <n v="45"/>
    <n v="30"/>
    <n v="0.01"/>
    <n v="0.04"/>
    <n v="45"/>
    <n v="0"/>
    <n v="3"/>
    <n v="3"/>
    <n v="0"/>
  </r>
  <r>
    <x v="838"/>
    <n v="30"/>
    <n v="22"/>
    <n v="0.01"/>
    <n v="0.04"/>
    <n v="40"/>
    <n v="0"/>
    <n v="4"/>
    <n v="3"/>
    <n v="0"/>
  </r>
  <r>
    <x v="839"/>
    <n v="2"/>
    <n v="30"/>
    <n v="0.01"/>
    <n v="0.06"/>
    <n v="2"/>
    <n v="0"/>
    <n v="2"/>
    <n v="2"/>
    <n v="0"/>
  </r>
  <r>
    <x v="840"/>
    <n v="150"/>
    <n v="21"/>
    <n v="0.01"/>
    <n v="0.09"/>
    <n v="210"/>
    <n v="0"/>
    <n v="7"/>
    <n v="6"/>
    <n v="0"/>
  </r>
  <r>
    <x v="841"/>
    <n v="30"/>
    <n v="30"/>
    <n v="0.01"/>
    <n v="7.0000000000000007E-2"/>
    <n v="30"/>
    <n v="0"/>
    <n v="3"/>
    <n v="3"/>
    <n v="0"/>
  </r>
  <r>
    <x v="842"/>
    <n v="1"/>
    <n v="30"/>
    <n v="0.01"/>
    <n v="0.04"/>
    <n v="1"/>
    <n v="0"/>
    <n v="1"/>
    <n v="1"/>
    <n v="0"/>
  </r>
  <r>
    <x v="843"/>
    <n v="105"/>
    <n v="26"/>
    <n v="0.01"/>
    <n v="0.1"/>
    <n v="120"/>
    <n v="0"/>
    <n v="5"/>
    <n v="4"/>
    <n v="0"/>
  </r>
  <r>
    <x v="844"/>
    <n v="30"/>
    <n v="30"/>
    <n v="0.01"/>
    <n v="0.09"/>
    <n v="30"/>
    <n v="0"/>
    <n v="1"/>
    <n v="1"/>
    <n v="0"/>
  </r>
  <r>
    <x v="845"/>
    <n v="20"/>
    <n v="20"/>
    <n v="0.01"/>
    <n v="0.04"/>
    <n v="30"/>
    <n v="0"/>
    <n v="3"/>
    <n v="3"/>
    <n v="0"/>
  </r>
  <r>
    <x v="846"/>
    <n v="60"/>
    <n v="30"/>
    <n v="0.01"/>
    <n v="0.08"/>
    <n v="60"/>
    <n v="0"/>
    <n v="4"/>
    <n v="4"/>
    <n v="0"/>
  </r>
  <r>
    <x v="847"/>
    <n v="4"/>
    <n v="17"/>
    <n v="0.01"/>
    <n v="0.09"/>
    <n v="7"/>
    <n v="0"/>
    <n v="7"/>
    <n v="6"/>
    <n v="0"/>
  </r>
  <r>
    <x v="848"/>
    <n v="60"/>
    <n v="30"/>
    <n v="0.01"/>
    <n v="0.08"/>
    <n v="60"/>
    <n v="0"/>
    <n v="2"/>
    <n v="2"/>
    <n v="0"/>
  </r>
  <r>
    <x v="849"/>
    <n v="30"/>
    <n v="30"/>
    <n v="0.01"/>
    <n v="0.04"/>
    <n v="30"/>
    <n v="0"/>
    <n v="2"/>
    <n v="2"/>
    <n v="0"/>
  </r>
  <r>
    <x v="850"/>
    <n v="100"/>
    <n v="20"/>
    <n v="0.01"/>
    <n v="0.06"/>
    <n v="150"/>
    <n v="0"/>
    <n v="9"/>
    <n v="9"/>
    <n v="0"/>
  </r>
  <r>
    <x v="851"/>
    <n v="9"/>
    <n v="30"/>
    <n v="0.01"/>
    <n v="0.05"/>
    <n v="9"/>
    <n v="0"/>
    <n v="9"/>
    <n v="8"/>
    <n v="0"/>
  </r>
  <r>
    <x v="852"/>
    <n v="6"/>
    <n v="22"/>
    <n v="0.01"/>
    <n v="0.06"/>
    <n v="8"/>
    <n v="0"/>
    <n v="9"/>
    <n v="7"/>
    <n v="0"/>
  </r>
  <r>
    <x v="853"/>
    <n v="56"/>
    <n v="24"/>
    <n v="0.01"/>
    <n v="0.09"/>
    <n v="70"/>
    <n v="0"/>
    <n v="3"/>
    <n v="3"/>
    <n v="0"/>
  </r>
  <r>
    <x v="854"/>
    <n v="40"/>
    <n v="20"/>
    <n v="0.01"/>
    <n v="0.1"/>
    <n v="60"/>
    <n v="0"/>
    <n v="4"/>
    <n v="2"/>
    <n v="0"/>
  </r>
  <r>
    <x v="855"/>
    <n v="40"/>
    <n v="30"/>
    <n v="0.01"/>
    <n v="0.05"/>
    <n v="40"/>
    <n v="0"/>
    <n v="2"/>
    <n v="2"/>
    <n v="0"/>
  </r>
  <r>
    <x v="856"/>
    <n v="3"/>
    <n v="18"/>
    <n v="0.01"/>
    <n v="0.05"/>
    <n v="5"/>
    <n v="0"/>
    <n v="5"/>
    <n v="5"/>
    <n v="0"/>
  </r>
  <r>
    <x v="857"/>
    <n v="30"/>
    <n v="18"/>
    <n v="0.01"/>
    <n v="0.08"/>
    <n v="50"/>
    <n v="0"/>
    <n v="4"/>
    <n v="4"/>
    <n v="0"/>
  </r>
  <r>
    <x v="858"/>
    <n v="30"/>
    <n v="22"/>
    <n v="0.01"/>
    <n v="0.04"/>
    <n v="40"/>
    <n v="0"/>
    <n v="2"/>
    <n v="2"/>
    <n v="0"/>
  </r>
  <r>
    <x v="859"/>
    <n v="90"/>
    <n v="16"/>
    <n v="0.01"/>
    <n v="0.06"/>
    <n v="165"/>
    <n v="0"/>
    <n v="9"/>
    <n v="6"/>
    <n v="0"/>
  </r>
  <r>
    <x v="860"/>
    <n v="50"/>
    <n v="25"/>
    <n v="0.01"/>
    <n v="0.06"/>
    <n v="60"/>
    <n v="0"/>
    <n v="4"/>
    <n v="4"/>
    <n v="0"/>
  </r>
  <r>
    <x v="861"/>
    <n v="20"/>
    <n v="30"/>
    <n v="0.01"/>
    <n v="0.05"/>
    <n v="20"/>
    <n v="0"/>
    <n v="2"/>
    <n v="2"/>
    <n v="0"/>
  </r>
  <r>
    <x v="862"/>
    <n v="40"/>
    <n v="20"/>
    <n v="0.01"/>
    <n v="0.09"/>
    <n v="60"/>
    <n v="0"/>
    <n v="4"/>
    <n v="4"/>
    <n v="0"/>
  </r>
  <r>
    <x v="863"/>
    <n v="60"/>
    <n v="30"/>
    <n v="0.01"/>
    <n v="0.06"/>
    <n v="60"/>
    <n v="0"/>
    <n v="2"/>
    <n v="2"/>
    <n v="0"/>
  </r>
  <r>
    <x v="864"/>
    <n v="3"/>
    <n v="22"/>
    <n v="0.01"/>
    <n v="0.06"/>
    <n v="4"/>
    <n v="0"/>
    <n v="3"/>
    <n v="3"/>
    <n v="0"/>
  </r>
  <r>
    <x v="865"/>
    <n v="2"/>
    <n v="20"/>
    <n v="0.01"/>
    <n v="0.05"/>
    <n v="3"/>
    <n v="0"/>
    <n v="3"/>
    <n v="3"/>
    <n v="0"/>
  </r>
  <r>
    <x v="866"/>
    <n v="90"/>
    <n v="22"/>
    <n v="0.01"/>
    <n v="0.04"/>
    <n v="120"/>
    <n v="0"/>
    <n v="4"/>
    <n v="3"/>
    <n v="0"/>
  </r>
  <r>
    <x v="867"/>
    <n v="30"/>
    <n v="30"/>
    <n v="0.01"/>
    <n v="0.04"/>
    <n v="30"/>
    <n v="0"/>
    <n v="2"/>
    <n v="2"/>
    <n v="0"/>
  </r>
  <r>
    <x v="868"/>
    <n v="2"/>
    <n v="30"/>
    <n v="0.01"/>
    <n v="0.05"/>
    <n v="2"/>
    <n v="0"/>
    <n v="2"/>
    <n v="2"/>
    <n v="0"/>
  </r>
  <r>
    <x v="869"/>
    <n v="4"/>
    <n v="30"/>
    <n v="0.01"/>
    <n v="0.04"/>
    <n v="4"/>
    <n v="0"/>
    <n v="1"/>
    <n v="1"/>
    <n v="0"/>
  </r>
  <r>
    <x v="870"/>
    <n v="45"/>
    <n v="30"/>
    <n v="0.01"/>
    <n v="0.05"/>
    <n v="45"/>
    <n v="0"/>
    <n v="2"/>
    <n v="2"/>
    <n v="0"/>
  </r>
  <r>
    <x v="871"/>
    <n v="30"/>
    <n v="22"/>
    <n v="0.01"/>
    <n v="0.04"/>
    <n v="40"/>
    <n v="0"/>
    <n v="1"/>
    <n v="1"/>
    <n v="0"/>
  </r>
  <r>
    <x v="872"/>
    <n v="30"/>
    <n v="30"/>
    <n v="0.01"/>
    <n v="0.04"/>
    <n v="30"/>
    <n v="0"/>
    <n v="2"/>
    <n v="2"/>
    <n v="0"/>
  </r>
  <r>
    <x v="873"/>
    <n v="60"/>
    <n v="20"/>
    <n v="0.01"/>
    <n v="0.09"/>
    <n v="90"/>
    <n v="0"/>
    <n v="6"/>
    <n v="4"/>
    <n v="0"/>
  </r>
  <r>
    <x v="874"/>
    <n v="40"/>
    <n v="24"/>
    <n v="0.01"/>
    <n v="0.06"/>
    <n v="50"/>
    <n v="0"/>
    <n v="5"/>
    <n v="5"/>
    <n v="0"/>
  </r>
  <r>
    <x v="875"/>
    <n v="60"/>
    <n v="24"/>
    <n v="0.01"/>
    <n v="0.04"/>
    <n v="75"/>
    <n v="0"/>
    <n v="3"/>
    <n v="3"/>
    <n v="0"/>
  </r>
  <r>
    <x v="876"/>
    <n v="20"/>
    <n v="20"/>
    <n v="0.01"/>
    <n v="0.04"/>
    <n v="30"/>
    <n v="0"/>
    <n v="2"/>
    <n v="1"/>
    <n v="0"/>
  </r>
  <r>
    <x v="877"/>
    <n v="3"/>
    <n v="22"/>
    <n v="0.01"/>
    <n v="0.08"/>
    <n v="4"/>
    <n v="0"/>
    <n v="3"/>
    <n v="3"/>
    <n v="0"/>
  </r>
  <r>
    <x v="878"/>
    <n v="2"/>
    <n v="30"/>
    <n v="0.01"/>
    <n v="0.04"/>
    <n v="2"/>
    <n v="0"/>
    <n v="2"/>
    <n v="2"/>
    <n v="0"/>
  </r>
  <r>
    <x v="879"/>
    <n v="32"/>
    <n v="25"/>
    <n v="0.01"/>
    <n v="0.09"/>
    <n v="37"/>
    <n v="0"/>
    <n v="16"/>
    <n v="11"/>
    <n v="0"/>
  </r>
  <r>
    <x v="880"/>
    <n v="20"/>
    <n v="20"/>
    <n v="0.01"/>
    <n v="0.05"/>
    <n v="30"/>
    <n v="0"/>
    <n v="3"/>
    <n v="3"/>
    <n v="0"/>
  </r>
  <r>
    <x v="881"/>
    <n v="5"/>
    <n v="16"/>
    <n v="0.01"/>
    <n v="0.1"/>
    <n v="9"/>
    <n v="0"/>
    <n v="9"/>
    <n v="8"/>
    <n v="0"/>
  </r>
  <r>
    <x v="882"/>
    <n v="4"/>
    <n v="24"/>
    <n v="0.01"/>
    <n v="0.05"/>
    <n v="5"/>
    <n v="0"/>
    <n v="5"/>
    <n v="5"/>
    <n v="0"/>
  </r>
  <r>
    <x v="883"/>
    <n v="30"/>
    <n v="18"/>
    <n v="0.01"/>
    <n v="0.1"/>
    <n v="50"/>
    <n v="0"/>
    <n v="5"/>
    <n v="5"/>
    <n v="0"/>
  </r>
  <r>
    <x v="884"/>
    <n v="7"/>
    <n v="26"/>
    <n v="0.01"/>
    <n v="7.0000000000000007E-2"/>
    <n v="8"/>
    <n v="0"/>
    <n v="8"/>
    <n v="6"/>
    <n v="0"/>
  </r>
  <r>
    <x v="885"/>
    <n v="4"/>
    <n v="24"/>
    <n v="0.01"/>
    <n v="0.03"/>
    <n v="5"/>
    <n v="0"/>
    <n v="5"/>
    <n v="4"/>
    <n v="0"/>
  </r>
  <r>
    <x v="886"/>
    <n v="3"/>
    <n v="22"/>
    <n v="0.01"/>
    <n v="0.04"/>
    <n v="4"/>
    <n v="0"/>
    <n v="4"/>
    <n v="3"/>
    <n v="0"/>
  </r>
  <r>
    <x v="887"/>
    <n v="75"/>
    <n v="30"/>
    <n v="0.01"/>
    <n v="0.04"/>
    <n v="75"/>
    <n v="0"/>
    <n v="7"/>
    <n v="5"/>
    <n v="0"/>
  </r>
  <r>
    <x v="888"/>
    <n v="16"/>
    <n v="16"/>
    <n v="0.01"/>
    <n v="0.03"/>
    <n v="30"/>
    <n v="0"/>
    <n v="3"/>
    <n v="3"/>
    <n v="0"/>
  </r>
  <r>
    <x v="889"/>
    <n v="6"/>
    <n v="30"/>
    <n v="0.01"/>
    <n v="0.08"/>
    <n v="6"/>
    <n v="0"/>
    <n v="5"/>
    <n v="4"/>
    <n v="0"/>
  </r>
  <r>
    <x v="890"/>
    <n v="134"/>
    <n v="28"/>
    <n v="0.01"/>
    <n v="0.09"/>
    <n v="140"/>
    <n v="0"/>
    <n v="49"/>
    <n v="23"/>
    <n v="0"/>
  </r>
  <r>
    <x v="891"/>
    <n v="5"/>
    <n v="30"/>
    <n v="0.01"/>
    <n v="0.04"/>
    <n v="5"/>
    <n v="0"/>
    <n v="5"/>
    <n v="4"/>
    <n v="0"/>
  </r>
  <r>
    <x v="892"/>
    <n v="6"/>
    <n v="25"/>
    <n v="0.01"/>
    <n v="0.08"/>
    <n v="7"/>
    <n v="0"/>
    <n v="9"/>
    <n v="8"/>
    <n v="0"/>
  </r>
  <r>
    <x v="893"/>
    <n v="4"/>
    <n v="17"/>
    <n v="0.01"/>
    <n v="0.08"/>
    <n v="7"/>
    <n v="0"/>
    <n v="7"/>
    <n v="6"/>
    <n v="0"/>
  </r>
  <r>
    <x v="894"/>
    <n v="60"/>
    <n v="30"/>
    <n v="0.01"/>
    <n v="0.06"/>
    <n v="60"/>
    <n v="0"/>
    <n v="2"/>
    <n v="1"/>
    <n v="0"/>
  </r>
  <r>
    <x v="895"/>
    <n v="45"/>
    <n v="30"/>
    <n v="0.01"/>
    <n v="0.06"/>
    <n v="45"/>
    <n v="0"/>
    <n v="1"/>
    <n v="1"/>
    <n v="0"/>
  </r>
  <r>
    <x v="896"/>
    <n v="30"/>
    <n v="30"/>
    <n v="0.01"/>
    <n v="0.06"/>
    <n v="30"/>
    <n v="0"/>
    <n v="2"/>
    <n v="2"/>
    <n v="0"/>
  </r>
  <r>
    <x v="897"/>
    <n v="50"/>
    <n v="25"/>
    <n v="0.01"/>
    <n v="0.04"/>
    <n v="60"/>
    <n v="0"/>
    <n v="5"/>
    <n v="5"/>
    <n v="0"/>
  </r>
  <r>
    <x v="898"/>
    <n v="60"/>
    <n v="30"/>
    <n v="0.01"/>
    <n v="0.04"/>
    <n v="60"/>
    <n v="0"/>
    <n v="4"/>
    <n v="4"/>
    <n v="0"/>
  </r>
  <r>
    <x v="899"/>
    <n v="20"/>
    <n v="20"/>
    <n v="0.01"/>
    <n v="0.04"/>
    <n v="30"/>
    <n v="0"/>
    <n v="2"/>
    <n v="2"/>
    <n v="0"/>
  </r>
  <r>
    <x v="900"/>
    <n v="3"/>
    <n v="22"/>
    <n v="0.01"/>
    <n v="0.04"/>
    <n v="4"/>
    <n v="0"/>
    <n v="3"/>
    <n v="3"/>
    <n v="0"/>
  </r>
  <r>
    <x v="901"/>
    <n v="7"/>
    <n v="23"/>
    <n v="0.01"/>
    <n v="0.05"/>
    <n v="9"/>
    <n v="0"/>
    <n v="9"/>
    <n v="8"/>
    <n v="0"/>
  </r>
  <r>
    <x v="902"/>
    <n v="6"/>
    <n v="30"/>
    <n v="0.01"/>
    <n v="0.05"/>
    <n v="6"/>
    <n v="0"/>
    <n v="6"/>
    <n v="5"/>
    <n v="0"/>
  </r>
  <r>
    <x v="903"/>
    <n v="45"/>
    <n v="18"/>
    <n v="0.01"/>
    <n v="0.04"/>
    <n v="75"/>
    <n v="0"/>
    <n v="4"/>
    <n v="4"/>
    <n v="0"/>
  </r>
  <r>
    <x v="904"/>
    <n v="40"/>
    <n v="30"/>
    <n v="0.01"/>
    <n v="0.06"/>
    <n v="40"/>
    <n v="0"/>
    <n v="4"/>
    <n v="4"/>
    <n v="0"/>
  </r>
  <r>
    <x v="905"/>
    <n v="50"/>
    <n v="30"/>
    <n v="0.01"/>
    <n v="0.04"/>
    <n v="50"/>
    <n v="0"/>
    <n v="3"/>
    <n v="3"/>
    <n v="0"/>
  </r>
  <r>
    <x v="906"/>
    <n v="60"/>
    <n v="30"/>
    <n v="0.01"/>
    <n v="7.0000000000000007E-2"/>
    <n v="60"/>
    <n v="0"/>
    <n v="2"/>
    <n v="2"/>
    <n v="0"/>
  </r>
  <r>
    <x v="907"/>
    <n v="4"/>
    <n v="24"/>
    <n v="0.01"/>
    <n v="0.05"/>
    <n v="5"/>
    <n v="0"/>
    <n v="5"/>
    <n v="4"/>
    <n v="0"/>
  </r>
  <r>
    <x v="908"/>
    <n v="2"/>
    <n v="30"/>
    <n v="0.01"/>
    <n v="0.05"/>
    <n v="2"/>
    <n v="0"/>
    <n v="2"/>
    <n v="2"/>
    <n v="0"/>
  </r>
  <r>
    <x v="909"/>
    <n v="30"/>
    <n v="18"/>
    <n v="0.01"/>
    <n v="0.09"/>
    <n v="50"/>
    <n v="0"/>
    <n v="2"/>
    <n v="2"/>
    <n v="0"/>
  </r>
  <r>
    <x v="910"/>
    <n v="30"/>
    <n v="30"/>
    <n v="0.01"/>
    <n v="0.05"/>
    <n v="30"/>
    <n v="0"/>
    <n v="3"/>
    <n v="3"/>
    <n v="0"/>
  </r>
  <r>
    <x v="911"/>
    <n v="75"/>
    <n v="21"/>
    <n v="0.01"/>
    <n v="0.05"/>
    <n v="105"/>
    <n v="0"/>
    <n v="7"/>
    <n v="7"/>
    <n v="0"/>
  </r>
  <r>
    <x v="912"/>
    <n v="52"/>
    <n v="26"/>
    <n v="0.01"/>
    <n v="0.04"/>
    <n v="60"/>
    <n v="0"/>
    <n v="3"/>
    <n v="3"/>
    <n v="0"/>
  </r>
  <r>
    <x v="913"/>
    <n v="2"/>
    <n v="30"/>
    <n v="0.01"/>
    <n v="0.06"/>
    <n v="2"/>
    <n v="0"/>
    <n v="2"/>
    <n v="2"/>
    <n v="0"/>
  </r>
  <r>
    <x v="914"/>
    <n v="105"/>
    <n v="23"/>
    <n v="0.01"/>
    <n v="7.0000000000000007E-2"/>
    <n v="135"/>
    <n v="0"/>
    <n v="9"/>
    <n v="7"/>
    <n v="0"/>
  </r>
  <r>
    <x v="915"/>
    <n v="7"/>
    <n v="23"/>
    <n v="0.01"/>
    <n v="0.1"/>
    <n v="9"/>
    <n v="0"/>
    <n v="5"/>
    <n v="5"/>
    <n v="0"/>
  </r>
  <r>
    <x v="916"/>
    <n v="6"/>
    <n v="30"/>
    <n v="0.01"/>
    <n v="0.04"/>
    <n v="6"/>
    <n v="0"/>
    <n v="1"/>
    <n v="1"/>
    <n v="0"/>
  </r>
  <r>
    <x v="917"/>
    <n v="28"/>
    <n v="30"/>
    <n v="0.01"/>
    <n v="7.0000000000000007E-2"/>
    <n v="28"/>
    <n v="0"/>
    <n v="1"/>
    <n v="1"/>
    <n v="0"/>
  </r>
  <r>
    <x v="918"/>
    <n v="60"/>
    <n v="30"/>
    <n v="0.01"/>
    <n v="0.05"/>
    <n v="60"/>
    <n v="0"/>
    <n v="4"/>
    <n v="3"/>
    <n v="0"/>
  </r>
  <r>
    <x v="919"/>
    <n v="2"/>
    <n v="20"/>
    <n v="0.01"/>
    <n v="0.04"/>
    <n v="3"/>
    <n v="0"/>
    <n v="3"/>
    <n v="3"/>
    <n v="0"/>
  </r>
  <r>
    <x v="920"/>
    <n v="56"/>
    <n v="20"/>
    <n v="0.01"/>
    <n v="0.06"/>
    <n v="84"/>
    <n v="0"/>
    <n v="2"/>
    <n v="2"/>
    <n v="0"/>
  </r>
  <r>
    <x v="921"/>
    <n v="80"/>
    <n v="21"/>
    <n v="0.01"/>
    <n v="0.06"/>
    <n v="112"/>
    <n v="0"/>
    <n v="10"/>
    <n v="8"/>
    <n v="0"/>
  </r>
  <r>
    <x v="922"/>
    <n v="30"/>
    <n v="30"/>
    <n v="0.01"/>
    <n v="0.06"/>
    <n v="30"/>
    <n v="0"/>
    <n v="3"/>
    <n v="3"/>
    <n v="0"/>
  </r>
  <r>
    <x v="923"/>
    <n v="45"/>
    <n v="30"/>
    <n v="0.01"/>
    <n v="0.06"/>
    <n v="45"/>
    <n v="0"/>
    <n v="2"/>
    <n v="2"/>
    <n v="0"/>
  </r>
  <r>
    <x v="924"/>
    <n v="405"/>
    <n v="26"/>
    <n v="0.01"/>
    <n v="7.0000000000000007E-2"/>
    <n v="465"/>
    <n v="0"/>
    <n v="23"/>
    <n v="17"/>
    <n v="0"/>
  </r>
  <r>
    <x v="925"/>
    <n v="16"/>
    <n v="18"/>
    <n v="0.01"/>
    <n v="0.04"/>
    <n v="26"/>
    <n v="0"/>
    <n v="2"/>
    <n v="2"/>
    <n v="0"/>
  </r>
  <r>
    <x v="926"/>
    <n v="14"/>
    <n v="26"/>
    <n v="0.01"/>
    <n v="0.08"/>
    <n v="16"/>
    <n v="0"/>
    <n v="2"/>
    <n v="2"/>
    <n v="0"/>
  </r>
  <r>
    <x v="927"/>
    <n v="20"/>
    <n v="30"/>
    <n v="0.01"/>
    <n v="0.04"/>
    <n v="20"/>
    <n v="0"/>
    <n v="1"/>
    <n v="1"/>
    <n v="0"/>
  </r>
  <r>
    <x v="928"/>
    <n v="40"/>
    <n v="30"/>
    <n v="0.01"/>
    <n v="0.05"/>
    <n v="40"/>
    <n v="0"/>
    <n v="4"/>
    <n v="4"/>
    <n v="0"/>
  </r>
  <r>
    <x v="929"/>
    <n v="20"/>
    <n v="30"/>
    <n v="0.01"/>
    <n v="0.05"/>
    <n v="20"/>
    <n v="0"/>
    <n v="2"/>
    <n v="2"/>
    <n v="0"/>
  </r>
  <r>
    <x v="930"/>
    <n v="30"/>
    <n v="22"/>
    <n v="0.01"/>
    <n v="0.05"/>
    <n v="40"/>
    <n v="0"/>
    <n v="2"/>
    <n v="2"/>
    <n v="0"/>
  </r>
  <r>
    <x v="931"/>
    <n v="30"/>
    <n v="30"/>
    <n v="0.01"/>
    <n v="0.05"/>
    <n v="30"/>
    <n v="0"/>
    <n v="2"/>
    <n v="2"/>
    <n v="0"/>
  </r>
  <r>
    <x v="932"/>
    <n v="30"/>
    <n v="20"/>
    <n v="0.01"/>
    <n v="7.0000000000000007E-2"/>
    <n v="45"/>
    <n v="0"/>
    <n v="3"/>
    <n v="3"/>
    <n v="0"/>
  </r>
  <r>
    <x v="933"/>
    <n v="30"/>
    <n v="18"/>
    <n v="0.01"/>
    <n v="0.05"/>
    <n v="50"/>
    <n v="0"/>
    <n v="4"/>
    <n v="4"/>
    <n v="0"/>
  </r>
  <r>
    <x v="934"/>
    <n v="3"/>
    <n v="18"/>
    <n v="0.01"/>
    <n v="0.06"/>
    <n v="5"/>
    <n v="0"/>
    <n v="4"/>
    <n v="4"/>
    <n v="0"/>
  </r>
  <r>
    <x v="935"/>
    <n v="30"/>
    <n v="22"/>
    <n v="0.01"/>
    <n v="0.06"/>
    <n v="40"/>
    <n v="0"/>
    <n v="4"/>
    <n v="4"/>
    <n v="0"/>
  </r>
  <r>
    <x v="936"/>
    <n v="30"/>
    <n v="22"/>
    <n v="0.01"/>
    <n v="0.04"/>
    <n v="40"/>
    <n v="0"/>
    <n v="4"/>
    <n v="3"/>
    <n v="0"/>
  </r>
  <r>
    <x v="937"/>
    <n v="30"/>
    <n v="20"/>
    <n v="0.01"/>
    <n v="0.04"/>
    <n v="45"/>
    <n v="0"/>
    <n v="3"/>
    <n v="3"/>
    <n v="0"/>
  </r>
  <r>
    <x v="938"/>
    <n v="3"/>
    <n v="30"/>
    <n v="0.01"/>
    <n v="0.05"/>
    <n v="3"/>
    <n v="0"/>
    <n v="3"/>
    <n v="2"/>
    <n v="0"/>
  </r>
  <r>
    <x v="939"/>
    <n v="2"/>
    <n v="20"/>
    <n v="0.01"/>
    <n v="0.09"/>
    <n v="3"/>
    <n v="0"/>
    <n v="2"/>
    <n v="2"/>
    <n v="0"/>
  </r>
  <r>
    <x v="940"/>
    <n v="4"/>
    <n v="30"/>
    <n v="0.01"/>
    <n v="0.04"/>
    <n v="4"/>
    <n v="0"/>
    <n v="4"/>
    <n v="3"/>
    <n v="0"/>
  </r>
  <r>
    <x v="941"/>
    <n v="3"/>
    <n v="30"/>
    <n v="0.01"/>
    <n v="0.06"/>
    <n v="3"/>
    <n v="0"/>
    <n v="2"/>
    <n v="2"/>
    <n v="0"/>
  </r>
  <r>
    <x v="942"/>
    <n v="1"/>
    <n v="30"/>
    <n v="0.01"/>
    <n v="0.04"/>
    <n v="1"/>
    <n v="0"/>
    <n v="1"/>
    <n v="1"/>
    <n v="0"/>
  </r>
  <r>
    <x v="943"/>
    <n v="2"/>
    <n v="30"/>
    <n v="0.01"/>
    <n v="0.04"/>
    <n v="2"/>
    <n v="0"/>
    <n v="2"/>
    <n v="2"/>
    <n v="0"/>
  </r>
  <r>
    <x v="944"/>
    <n v="1"/>
    <n v="30"/>
    <n v="0.01"/>
    <n v="0.05"/>
    <n v="1"/>
    <n v="0"/>
    <n v="1"/>
    <n v="1"/>
    <n v="0"/>
  </r>
  <r>
    <x v="945"/>
    <n v="50"/>
    <n v="30"/>
    <n v="0.01"/>
    <n v="0.03"/>
    <n v="50"/>
    <n v="0"/>
    <n v="2"/>
    <n v="2"/>
    <n v="0"/>
  </r>
  <r>
    <x v="946"/>
    <n v="2"/>
    <n v="30"/>
    <n v="0.01"/>
    <n v="0.04"/>
    <n v="2"/>
    <n v="0"/>
    <n v="2"/>
    <n v="2"/>
    <n v="0"/>
  </r>
  <r>
    <x v="947"/>
    <n v="24"/>
    <n v="16"/>
    <n v="0.01"/>
    <n v="7.0000000000000007E-2"/>
    <n v="45"/>
    <n v="0"/>
    <n v="3"/>
    <n v="2"/>
    <n v="0"/>
  </r>
  <r>
    <x v="948"/>
    <n v="480"/>
    <n v="20"/>
    <n v="0.01"/>
    <n v="7.0000000000000007E-2"/>
    <n v="720"/>
    <n v="0"/>
    <n v="6"/>
    <n v="6"/>
    <n v="0"/>
  </r>
  <r>
    <x v="949"/>
    <n v="63"/>
    <n v="18"/>
    <n v="0.01"/>
    <n v="0.09"/>
    <n v="100"/>
    <n v="0"/>
    <n v="15"/>
    <n v="10"/>
    <n v="0"/>
  </r>
  <r>
    <x v="950"/>
    <n v="1"/>
    <n v="30"/>
    <n v="0.01"/>
    <n v="0.06"/>
    <n v="1"/>
    <n v="0"/>
    <n v="1"/>
    <n v="1"/>
    <n v="0"/>
  </r>
  <r>
    <x v="951"/>
    <n v="5"/>
    <n v="25"/>
    <n v="0.01"/>
    <n v="0.06"/>
    <n v="6"/>
    <n v="0"/>
    <n v="5"/>
    <n v="4"/>
    <n v="0"/>
  </r>
  <r>
    <x v="952"/>
    <n v="2"/>
    <n v="20"/>
    <n v="0.01"/>
    <n v="0.04"/>
    <n v="3"/>
    <n v="0"/>
    <n v="3"/>
    <n v="3"/>
    <n v="0"/>
  </r>
  <r>
    <x v="953"/>
    <n v="4"/>
    <n v="30"/>
    <n v="0"/>
    <n v="0.02"/>
    <n v="4"/>
    <n v="0"/>
    <n v="4"/>
    <n v="4"/>
    <n v="0"/>
  </r>
  <r>
    <x v="954"/>
    <n v="10"/>
    <n v="30"/>
    <n v="0"/>
    <n v="0.01"/>
    <n v="10"/>
    <n v="0"/>
    <n v="1"/>
    <n v="1"/>
    <n v="0"/>
  </r>
  <r>
    <x v="955"/>
    <n v="15"/>
    <n v="30"/>
    <n v="0"/>
    <n v="0.02"/>
    <n v="15"/>
    <n v="0"/>
    <n v="1"/>
    <n v="1"/>
    <n v="0"/>
  </r>
  <r>
    <x v="956"/>
    <n v="1"/>
    <n v="30"/>
    <n v="0"/>
    <n v="0.01"/>
    <n v="1"/>
    <n v="0"/>
    <n v="1"/>
    <n v="1"/>
    <n v="0"/>
  </r>
  <r>
    <x v="957"/>
    <n v="3"/>
    <n v="22"/>
    <n v="0"/>
    <n v="0.02"/>
    <n v="4"/>
    <n v="0"/>
    <n v="4"/>
    <n v="4"/>
    <n v="0"/>
  </r>
  <r>
    <x v="958"/>
    <n v="2"/>
    <n v="20"/>
    <n v="0"/>
    <n v="0.01"/>
    <n v="3"/>
    <n v="0"/>
    <n v="2"/>
    <n v="2"/>
    <n v="0"/>
  </r>
  <r>
    <x v="959"/>
    <n v="5"/>
    <n v="21"/>
    <n v="0"/>
    <n v="0.01"/>
    <n v="7"/>
    <n v="0"/>
    <n v="2"/>
    <n v="2"/>
    <n v="0"/>
  </r>
  <r>
    <x v="960"/>
    <n v="10"/>
    <n v="30"/>
    <n v="0"/>
    <n v="0"/>
    <n v="10"/>
    <n v="0"/>
    <n v="1"/>
    <n v="1"/>
    <n v="0"/>
  </r>
  <r>
    <x v="961"/>
    <n v="20"/>
    <n v="20"/>
    <n v="0"/>
    <n v="0.03"/>
    <n v="30"/>
    <n v="0"/>
    <n v="2"/>
    <n v="2"/>
    <n v="0"/>
  </r>
  <r>
    <x v="962"/>
    <n v="105"/>
    <n v="26"/>
    <n v="0"/>
    <n v="0.03"/>
    <n v="120"/>
    <n v="0"/>
    <n v="7"/>
    <n v="6"/>
    <n v="0"/>
  </r>
  <r>
    <x v="963"/>
    <n v="4"/>
    <n v="30"/>
    <n v="0"/>
    <n v="0.01"/>
    <n v="4"/>
    <n v="0"/>
    <n v="1"/>
    <n v="1"/>
    <n v="0"/>
  </r>
  <r>
    <x v="964"/>
    <n v="4"/>
    <n v="30"/>
    <n v="0"/>
    <n v="0.03"/>
    <n v="4"/>
    <n v="0"/>
    <n v="4"/>
    <n v="4"/>
    <n v="0"/>
  </r>
  <r>
    <x v="965"/>
    <n v="1"/>
    <n v="30"/>
    <n v="0"/>
    <n v="0.01"/>
    <n v="1"/>
    <n v="0"/>
    <n v="1"/>
    <n v="1"/>
    <n v="0"/>
  </r>
  <r>
    <x v="966"/>
    <n v="20"/>
    <n v="30"/>
    <n v="0"/>
    <n v="0.02"/>
    <n v="20"/>
    <n v="0"/>
    <n v="2"/>
    <n v="2"/>
    <n v="0"/>
  </r>
  <r>
    <x v="967"/>
    <n v="20"/>
    <n v="30"/>
    <n v="0"/>
    <n v="0.01"/>
    <n v="20"/>
    <n v="0"/>
    <n v="1"/>
    <n v="1"/>
    <n v="0"/>
  </r>
  <r>
    <x v="968"/>
    <n v="3"/>
    <n v="18"/>
    <n v="0"/>
    <n v="0.03"/>
    <n v="5"/>
    <n v="0"/>
    <n v="5"/>
    <n v="5"/>
    <n v="0"/>
  </r>
  <r>
    <x v="969"/>
    <n v="1"/>
    <n v="30"/>
    <n v="0"/>
    <n v="0.03"/>
    <n v="1"/>
    <n v="0"/>
    <n v="1"/>
    <n v="1"/>
    <n v="0"/>
  </r>
  <r>
    <x v="970"/>
    <n v="2"/>
    <n v="30"/>
    <n v="0"/>
    <n v="0.02"/>
    <n v="2"/>
    <n v="0"/>
    <n v="2"/>
    <n v="2"/>
    <n v="0"/>
  </r>
  <r>
    <x v="971"/>
    <n v="60"/>
    <n v="30"/>
    <n v="0"/>
    <n v="0.02"/>
    <n v="60"/>
    <n v="0"/>
    <n v="2"/>
    <n v="2"/>
    <n v="0"/>
  </r>
  <r>
    <x v="972"/>
    <n v="10"/>
    <n v="30"/>
    <n v="0"/>
    <n v="0.02"/>
    <n v="10"/>
    <n v="0"/>
    <n v="1"/>
    <n v="1"/>
    <n v="0"/>
  </r>
  <r>
    <x v="973"/>
    <n v="30"/>
    <n v="30"/>
    <n v="0"/>
    <n v="0.03"/>
    <n v="30"/>
    <n v="0"/>
    <n v="2"/>
    <n v="2"/>
    <n v="0"/>
  </r>
  <r>
    <x v="974"/>
    <n v="15"/>
    <n v="30"/>
    <n v="0"/>
    <n v="0.01"/>
    <n v="15"/>
    <n v="0"/>
    <n v="1"/>
    <n v="1"/>
    <n v="0"/>
  </r>
  <r>
    <x v="975"/>
    <n v="3"/>
    <n v="30"/>
    <n v="0"/>
    <n v="0.01"/>
    <n v="3"/>
    <n v="0"/>
    <n v="2"/>
    <n v="2"/>
    <n v="0"/>
  </r>
  <r>
    <x v="976"/>
    <n v="2"/>
    <n v="20"/>
    <n v="0"/>
    <n v="0.03"/>
    <n v="3"/>
    <n v="0"/>
    <n v="3"/>
    <n v="2"/>
    <n v="0"/>
  </r>
  <r>
    <x v="977"/>
    <n v="1"/>
    <n v="30"/>
    <n v="0"/>
    <n v="0.01"/>
    <n v="1"/>
    <n v="0"/>
    <n v="1"/>
    <n v="1"/>
    <n v="0"/>
  </r>
  <r>
    <x v="978"/>
    <n v="1"/>
    <n v="30"/>
    <n v="0"/>
    <n v="0.01"/>
    <n v="1"/>
    <n v="0"/>
    <n v="1"/>
    <n v="1"/>
    <n v="0"/>
  </r>
  <r>
    <x v="979"/>
    <n v="60"/>
    <n v="30"/>
    <n v="0"/>
    <n v="0.02"/>
    <n v="60"/>
    <n v="0"/>
    <n v="1"/>
    <n v="1"/>
    <n v="0"/>
  </r>
  <r>
    <x v="980"/>
    <n v="1"/>
    <n v="30"/>
    <n v="0"/>
    <n v="0.01"/>
    <n v="1"/>
    <n v="0"/>
    <n v="1"/>
    <n v="1"/>
    <n v="0"/>
  </r>
  <r>
    <x v="981"/>
    <n v="45"/>
    <n v="30"/>
    <n v="0"/>
    <n v="0.01"/>
    <n v="45"/>
    <n v="0"/>
    <n v="2"/>
    <n v="1"/>
    <n v="0"/>
  </r>
  <r>
    <x v="982"/>
    <n v="1"/>
    <n v="30"/>
    <n v="0"/>
    <n v="0.01"/>
    <n v="1"/>
    <n v="0"/>
    <n v="1"/>
    <n v="1"/>
    <n v="0"/>
  </r>
  <r>
    <x v="983"/>
    <n v="2"/>
    <n v="30"/>
    <n v="0"/>
    <n v="0.03"/>
    <n v="2"/>
    <n v="0"/>
    <n v="2"/>
    <n v="1"/>
    <n v="0"/>
  </r>
  <r>
    <x v="984"/>
    <n v="1"/>
    <n v="30"/>
    <n v="0"/>
    <n v="0"/>
    <n v="1"/>
    <n v="0"/>
    <n v="1"/>
    <n v="1"/>
    <n v="0"/>
  </r>
  <r>
    <x v="985"/>
    <n v="1"/>
    <n v="30"/>
    <n v="0"/>
    <n v="0.03"/>
    <n v="1"/>
    <n v="0"/>
    <n v="1"/>
    <n v="1"/>
    <n v="0"/>
  </r>
  <r>
    <x v="986"/>
    <n v="10"/>
    <n v="30"/>
    <n v="0"/>
    <n v="0.01"/>
    <n v="10"/>
    <n v="0"/>
    <n v="1"/>
    <n v="1"/>
    <n v="0"/>
  </r>
  <r>
    <x v="987"/>
    <n v="1"/>
    <n v="30"/>
    <n v="0"/>
    <n v="0.01"/>
    <n v="1"/>
    <n v="0"/>
    <n v="1"/>
    <n v="1"/>
    <n v="0"/>
  </r>
  <r>
    <x v="988"/>
    <n v="10"/>
    <n v="30"/>
    <n v="0"/>
    <n v="0.02"/>
    <n v="10"/>
    <n v="0"/>
    <n v="1"/>
    <n v="1"/>
    <n v="0"/>
  </r>
  <r>
    <x v="989"/>
    <n v="20"/>
    <n v="30"/>
    <n v="0"/>
    <n v="0.02"/>
    <n v="20"/>
    <n v="0"/>
    <n v="2"/>
    <n v="2"/>
    <n v="0"/>
  </r>
  <r>
    <x v="990"/>
    <n v="45"/>
    <n v="22"/>
    <n v="0"/>
    <n v="0.02"/>
    <n v="60"/>
    <n v="0"/>
    <n v="4"/>
    <n v="4"/>
    <n v="0"/>
  </r>
  <r>
    <x v="991"/>
    <n v="20"/>
    <n v="30"/>
    <n v="0"/>
    <n v="0.01"/>
    <n v="20"/>
    <n v="0"/>
    <n v="2"/>
    <n v="2"/>
    <n v="0"/>
  </r>
  <r>
    <x v="992"/>
    <n v="2"/>
    <n v="30"/>
    <n v="0"/>
    <n v="0.02"/>
    <n v="2"/>
    <n v="0"/>
    <n v="2"/>
    <n v="2"/>
    <n v="0"/>
  </r>
  <r>
    <x v="993"/>
    <n v="20"/>
    <n v="20"/>
    <n v="0"/>
    <n v="0.02"/>
    <n v="30"/>
    <n v="0"/>
    <n v="3"/>
    <n v="3"/>
    <n v="0"/>
  </r>
  <r>
    <x v="994"/>
    <n v="10"/>
    <n v="30"/>
    <n v="0"/>
    <n v="0.02"/>
    <n v="10"/>
    <n v="0"/>
    <n v="1"/>
    <n v="1"/>
    <n v="0"/>
  </r>
  <r>
    <x v="995"/>
    <n v="30"/>
    <n v="30"/>
    <n v="0"/>
    <n v="0.03"/>
    <n v="30"/>
    <n v="0"/>
    <n v="2"/>
    <n v="2"/>
    <n v="0"/>
  </r>
  <r>
    <x v="996"/>
    <n v="3"/>
    <n v="18"/>
    <n v="0"/>
    <n v="0.03"/>
    <n v="5"/>
    <n v="0"/>
    <n v="5"/>
    <n v="4"/>
    <n v="0"/>
  </r>
  <r>
    <x v="997"/>
    <n v="20"/>
    <n v="30"/>
    <n v="0"/>
    <n v="0.02"/>
    <n v="20"/>
    <n v="0"/>
    <n v="2"/>
    <n v="2"/>
    <n v="0"/>
  </r>
  <r>
    <x v="998"/>
    <n v="50"/>
    <n v="25"/>
    <n v="0"/>
    <n v="0.02"/>
    <n v="60"/>
    <n v="0"/>
    <n v="5"/>
    <n v="4"/>
    <n v="0"/>
  </r>
  <r>
    <x v="999"/>
    <n v="50"/>
    <n v="16"/>
    <n v="0"/>
    <n v="0.01"/>
    <n v="90"/>
    <n v="0"/>
    <n v="5"/>
    <n v="5"/>
    <n v="0"/>
  </r>
  <r>
    <x v="1000"/>
    <n v="16"/>
    <n v="24"/>
    <n v="0"/>
    <n v="0.03"/>
    <n v="20"/>
    <n v="0"/>
    <n v="2"/>
    <n v="2"/>
    <n v="0"/>
  </r>
  <r>
    <x v="1001"/>
    <n v="1"/>
    <n v="30"/>
    <n v="0"/>
    <n v="0.02"/>
    <n v="1"/>
    <n v="0"/>
    <n v="1"/>
    <n v="1"/>
    <n v="0"/>
  </r>
  <r>
    <x v="1002"/>
    <n v="1"/>
    <n v="30"/>
    <n v="0"/>
    <n v="0"/>
    <n v="1"/>
    <n v="0"/>
    <n v="1"/>
    <n v="1"/>
    <n v="0"/>
  </r>
  <r>
    <x v="1003"/>
    <n v="30"/>
    <n v="30"/>
    <n v="0"/>
    <n v="0.01"/>
    <n v="30"/>
    <n v="0"/>
    <n v="2"/>
    <n v="2"/>
    <n v="0"/>
  </r>
  <r>
    <x v="1004"/>
    <n v="41"/>
    <n v="18"/>
    <n v="0"/>
    <n v="0.01"/>
    <n v="66"/>
    <n v="0"/>
    <n v="10"/>
    <n v="8"/>
    <n v="0"/>
  </r>
  <r>
    <x v="1005"/>
    <n v="1"/>
    <n v="30"/>
    <n v="0"/>
    <n v="0.01"/>
    <n v="1"/>
    <n v="0"/>
    <n v="1"/>
    <n v="1"/>
    <n v="0"/>
  </r>
  <r>
    <x v="1006"/>
    <n v="1"/>
    <n v="30"/>
    <n v="0"/>
    <n v="0.01"/>
    <n v="1"/>
    <n v="0"/>
    <n v="1"/>
    <n v="1"/>
    <n v="0"/>
  </r>
  <r>
    <x v="1007"/>
    <n v="1"/>
    <n v="30"/>
    <n v="0"/>
    <n v="0.01"/>
    <n v="1"/>
    <n v="0"/>
    <n v="1"/>
    <n v="1"/>
    <n v="0"/>
  </r>
  <r>
    <x v="1008"/>
    <n v="70"/>
    <n v="30"/>
    <n v="0"/>
    <n v="0.02"/>
    <n v="70"/>
    <n v="0"/>
    <n v="4"/>
    <n v="3"/>
    <n v="0"/>
  </r>
  <r>
    <x v="1009"/>
    <n v="30"/>
    <n v="30"/>
    <n v="0"/>
    <n v="0.03"/>
    <n v="30"/>
    <n v="0"/>
    <n v="1"/>
    <n v="1"/>
    <n v="0"/>
  </r>
  <r>
    <x v="1010"/>
    <n v="28"/>
    <n v="20"/>
    <n v="0"/>
    <n v="0.02"/>
    <n v="42"/>
    <n v="0"/>
    <n v="3"/>
    <n v="3"/>
    <n v="0"/>
  </r>
  <r>
    <x v="1011"/>
    <n v="20"/>
    <n v="20"/>
    <n v="0"/>
    <n v="0"/>
    <n v="30"/>
    <n v="0"/>
    <n v="1"/>
    <n v="1"/>
    <n v="0"/>
  </r>
  <r>
    <x v="1012"/>
    <n v="14"/>
    <n v="28"/>
    <n v="0"/>
    <n v="0.02"/>
    <n v="15"/>
    <n v="0"/>
    <n v="1"/>
    <n v="1"/>
    <n v="0"/>
  </r>
  <r>
    <x v="1013"/>
    <n v="4"/>
    <n v="20"/>
    <n v="0"/>
    <n v="0.03"/>
    <n v="6"/>
    <n v="0"/>
    <n v="6"/>
    <n v="6"/>
    <n v="0"/>
  </r>
  <r>
    <x v="1014"/>
    <n v="120"/>
    <n v="20"/>
    <n v="0"/>
    <n v="0.02"/>
    <n v="180"/>
    <n v="0"/>
    <n v="5"/>
    <n v="4"/>
    <n v="0"/>
  </r>
  <r>
    <x v="1015"/>
    <n v="30"/>
    <n v="20"/>
    <n v="0"/>
    <n v="0.01"/>
    <n v="45"/>
    <n v="0"/>
    <n v="3"/>
    <n v="3"/>
    <n v="0"/>
  </r>
  <r>
    <x v="1016"/>
    <n v="1"/>
    <n v="30"/>
    <n v="0"/>
    <n v="0.02"/>
    <n v="1"/>
    <n v="0"/>
    <n v="1"/>
    <n v="1"/>
    <n v="0"/>
  </r>
  <r>
    <x v="1017"/>
    <n v="30"/>
    <n v="20"/>
    <n v="0"/>
    <n v="0.03"/>
    <n v="45"/>
    <n v="0"/>
    <n v="1"/>
    <n v="1"/>
    <n v="0"/>
  </r>
  <r>
    <x v="1018"/>
    <n v="60"/>
    <n v="25"/>
    <n v="0"/>
    <n v="0.02"/>
    <n v="70"/>
    <n v="0"/>
    <n v="4"/>
    <n v="3"/>
    <n v="0"/>
  </r>
  <r>
    <x v="1019"/>
    <n v="1"/>
    <n v="30"/>
    <n v="0"/>
    <n v="0.01"/>
    <n v="1"/>
    <n v="0"/>
    <n v="1"/>
    <n v="1"/>
    <n v="0"/>
  </r>
  <r>
    <x v="1020"/>
    <n v="1"/>
    <n v="30"/>
    <n v="0"/>
    <n v="0.02"/>
    <n v="1"/>
    <n v="0"/>
    <n v="1"/>
    <n v="1"/>
    <n v="0"/>
  </r>
  <r>
    <x v="1021"/>
    <n v="10"/>
    <n v="30"/>
    <n v="0"/>
    <n v="0.02"/>
    <n v="10"/>
    <n v="0"/>
    <n v="1"/>
    <n v="1"/>
    <n v="0"/>
  </r>
  <r>
    <x v="1022"/>
    <n v="2"/>
    <n v="30"/>
    <n v="0"/>
    <n v="0.01"/>
    <n v="2"/>
    <n v="0"/>
    <n v="2"/>
    <n v="2"/>
    <n v="0"/>
  </r>
  <r>
    <x v="1023"/>
    <n v="1"/>
    <n v="30"/>
    <n v="0"/>
    <n v="0.01"/>
    <n v="1"/>
    <n v="0"/>
    <n v="1"/>
    <n v="1"/>
    <n v="0"/>
  </r>
  <r>
    <x v="1024"/>
    <n v="20"/>
    <n v="30"/>
    <n v="0"/>
    <n v="0.03"/>
    <n v="20"/>
    <n v="0"/>
    <n v="2"/>
    <n v="2"/>
    <n v="0"/>
  </r>
  <r>
    <x v="1025"/>
    <n v="30"/>
    <n v="22"/>
    <n v="0"/>
    <n v="0.03"/>
    <n v="40"/>
    <n v="0"/>
    <n v="3"/>
    <n v="3"/>
    <n v="0"/>
  </r>
  <r>
    <x v="1026"/>
    <n v="30"/>
    <n v="22"/>
    <n v="0"/>
    <n v="0.02"/>
    <n v="40"/>
    <n v="0"/>
    <n v="3"/>
    <n v="3"/>
    <n v="0"/>
  </r>
  <r>
    <x v="1027"/>
    <n v="30"/>
    <n v="30"/>
    <n v="0"/>
    <n v="0.03"/>
    <n v="30"/>
    <n v="0"/>
    <n v="1"/>
    <n v="1"/>
    <n v="0"/>
  </r>
  <r>
    <x v="1028"/>
    <n v="45"/>
    <n v="22"/>
    <n v="0"/>
    <n v="0.03"/>
    <n v="60"/>
    <n v="0"/>
    <n v="1"/>
    <n v="1"/>
    <n v="0"/>
  </r>
  <r>
    <x v="1029"/>
    <n v="30"/>
    <n v="30"/>
    <n v="0"/>
    <n v="0.01"/>
    <n v="30"/>
    <n v="0"/>
    <n v="1"/>
    <n v="1"/>
    <n v="0"/>
  </r>
  <r>
    <x v="1030"/>
    <n v="5"/>
    <n v="18"/>
    <n v="0"/>
    <n v="0.03"/>
    <n v="8"/>
    <n v="0"/>
    <n v="8"/>
    <n v="7"/>
    <n v="0"/>
  </r>
  <r>
    <x v="1031"/>
    <n v="2"/>
    <n v="30"/>
    <n v="0"/>
    <n v="0.01"/>
    <n v="2"/>
    <n v="0"/>
    <n v="2"/>
    <n v="2"/>
    <n v="0"/>
  </r>
  <r>
    <x v="1032"/>
    <n v="4"/>
    <n v="17"/>
    <n v="0"/>
    <n v="0.03"/>
    <n v="7"/>
    <n v="0"/>
    <n v="7"/>
    <n v="7"/>
    <n v="0"/>
  </r>
  <r>
    <x v="1033"/>
    <n v="20"/>
    <n v="30"/>
    <n v="0"/>
    <n v="0.03"/>
    <n v="20"/>
    <n v="0"/>
    <n v="2"/>
    <n v="2"/>
    <n v="0"/>
  </r>
  <r>
    <x v="1034"/>
    <n v="20"/>
    <n v="30"/>
    <n v="0"/>
    <n v="0.02"/>
    <n v="20"/>
    <n v="0"/>
    <n v="1"/>
    <n v="1"/>
    <n v="0"/>
  </r>
  <r>
    <x v="1035"/>
    <n v="44"/>
    <n v="28"/>
    <n v="0"/>
    <n v="0.02"/>
    <n v="47"/>
    <n v="0"/>
    <n v="4"/>
    <n v="4"/>
    <n v="0"/>
  </r>
  <r>
    <x v="1036"/>
    <n v="1"/>
    <n v="30"/>
    <n v="0"/>
    <n v="0.03"/>
    <n v="1"/>
    <n v="0"/>
    <n v="1"/>
    <n v="1"/>
    <n v="0"/>
  </r>
  <r>
    <x v="1037"/>
    <n v="1"/>
    <n v="30"/>
    <n v="0"/>
    <n v="0.02"/>
    <n v="1"/>
    <n v="0"/>
    <n v="1"/>
    <n v="1"/>
    <n v="0"/>
  </r>
  <r>
    <x v="1038"/>
    <n v="2"/>
    <n v="30"/>
    <n v="0"/>
    <n v="0.01"/>
    <n v="2"/>
    <n v="0"/>
    <n v="2"/>
    <n v="2"/>
    <n v="0"/>
  </r>
  <r>
    <x v="1039"/>
    <n v="1"/>
    <n v="30"/>
    <n v="0"/>
    <n v="0.01"/>
    <n v="1"/>
    <n v="0"/>
    <n v="1"/>
    <n v="1"/>
    <n v="0"/>
  </r>
  <r>
    <x v="1040"/>
    <n v="30"/>
    <n v="30"/>
    <n v="0"/>
    <n v="0.02"/>
    <n v="30"/>
    <n v="0"/>
    <n v="2"/>
    <n v="2"/>
    <n v="0"/>
  </r>
  <r>
    <x v="1041"/>
    <n v="2"/>
    <n v="20"/>
    <n v="0"/>
    <n v="0.01"/>
    <n v="3"/>
    <n v="0"/>
    <n v="3"/>
    <n v="3"/>
    <n v="0"/>
  </r>
  <r>
    <x v="1042"/>
    <n v="14"/>
    <n v="30"/>
    <n v="0"/>
    <n v="0.03"/>
    <n v="14"/>
    <n v="0"/>
    <n v="2"/>
    <n v="2"/>
    <n v="0"/>
  </r>
  <r>
    <x v="1043"/>
    <n v="20"/>
    <n v="30"/>
    <n v="0"/>
    <n v="0.02"/>
    <n v="20"/>
    <n v="0"/>
    <n v="2"/>
    <n v="2"/>
    <n v="0"/>
  </r>
  <r>
    <x v="1044"/>
    <n v="20"/>
    <n v="30"/>
    <n v="0"/>
    <n v="0.01"/>
    <n v="20"/>
    <n v="0"/>
    <n v="2"/>
    <n v="2"/>
    <n v="0"/>
  </r>
  <r>
    <x v="1045"/>
    <n v="6"/>
    <n v="18"/>
    <n v="0"/>
    <n v="0.02"/>
    <n v="10"/>
    <n v="0"/>
    <n v="4"/>
    <n v="4"/>
    <n v="0"/>
  </r>
  <r>
    <x v="1046"/>
    <n v="3"/>
    <n v="30"/>
    <n v="0"/>
    <n v="0.02"/>
    <n v="3"/>
    <n v="0"/>
    <n v="3"/>
    <n v="3"/>
    <n v="0"/>
  </r>
  <r>
    <x v="1047"/>
    <n v="1"/>
    <n v="30"/>
    <n v="0"/>
    <n v="0.01"/>
    <n v="1"/>
    <n v="0"/>
    <n v="1"/>
    <n v="1"/>
    <n v="0"/>
  </r>
  <r>
    <x v="1048"/>
    <n v="15"/>
    <n v="30"/>
    <n v="0"/>
    <n v="0.01"/>
    <n v="15"/>
    <n v="0"/>
    <n v="1"/>
    <n v="1"/>
    <n v="0"/>
  </r>
  <r>
    <x v="1049"/>
    <n v="40"/>
    <n v="17"/>
    <n v="0"/>
    <n v="0.03"/>
    <n v="70"/>
    <n v="0"/>
    <n v="6"/>
    <n v="6"/>
    <n v="0"/>
  </r>
  <r>
    <x v="1050"/>
    <n v="20"/>
    <n v="30"/>
    <n v="0"/>
    <n v="0"/>
    <n v="20"/>
    <n v="0"/>
    <n v="1"/>
    <n v="1"/>
    <n v="0"/>
  </r>
  <r>
    <x v="1051"/>
    <n v="8"/>
    <n v="30"/>
    <n v="0"/>
    <n v="0.01"/>
    <n v="8"/>
    <n v="0"/>
    <n v="1"/>
    <n v="1"/>
    <n v="0"/>
  </r>
  <r>
    <x v="1052"/>
    <n v="30"/>
    <n v="30"/>
    <n v="0"/>
    <n v="0.02"/>
    <n v="30"/>
    <n v="0"/>
    <n v="1"/>
    <n v="1"/>
    <n v="0"/>
  </r>
  <r>
    <x v="1053"/>
    <n v="1"/>
    <n v="30"/>
    <n v="0"/>
    <n v="0.01"/>
    <n v="1"/>
    <n v="0"/>
    <n v="1"/>
    <n v="1"/>
    <n v="0"/>
  </r>
  <r>
    <x v="1054"/>
    <n v="2"/>
    <n v="20"/>
    <n v="0"/>
    <n v="0.02"/>
    <n v="3"/>
    <n v="0"/>
    <n v="3"/>
    <n v="1"/>
    <n v="0"/>
  </r>
  <r>
    <x v="1055"/>
    <n v="15"/>
    <n v="30"/>
    <n v="0"/>
    <n v="0.01"/>
    <n v="15"/>
    <n v="0"/>
    <n v="1"/>
    <n v="1"/>
    <n v="0"/>
  </r>
  <r>
    <x v="1056"/>
    <n v="20"/>
    <n v="30"/>
    <n v="0"/>
    <n v="0.03"/>
    <n v="20"/>
    <n v="0"/>
    <n v="2"/>
    <n v="2"/>
    <n v="0"/>
  </r>
  <r>
    <x v="1057"/>
    <n v="3"/>
    <n v="30"/>
    <n v="0"/>
    <n v="0.01"/>
    <n v="3"/>
    <n v="0"/>
    <n v="2"/>
    <n v="2"/>
    <n v="0"/>
  </r>
  <r>
    <x v="1058"/>
    <n v="37"/>
    <n v="27"/>
    <n v="0"/>
    <n v="0.01"/>
    <n v="40"/>
    <n v="0"/>
    <n v="4"/>
    <n v="3"/>
    <n v="0"/>
  </r>
  <r>
    <x v="1059"/>
    <n v="10"/>
    <n v="30"/>
    <n v="0"/>
    <n v="0.01"/>
    <n v="10"/>
    <n v="0"/>
    <n v="1"/>
    <n v="1"/>
    <n v="0"/>
  </r>
  <r>
    <x v="1060"/>
    <n v="1"/>
    <n v="30"/>
    <n v="0"/>
    <n v="0.02"/>
    <n v="1"/>
    <n v="0"/>
    <n v="1"/>
    <n v="1"/>
    <n v="0"/>
  </r>
  <r>
    <x v="1061"/>
    <n v="1"/>
    <n v="30"/>
    <n v="0"/>
    <n v="0.01"/>
    <n v="1"/>
    <n v="0"/>
    <n v="1"/>
    <n v="1"/>
    <n v="0"/>
  </r>
  <r>
    <x v="1062"/>
    <n v="3"/>
    <n v="30"/>
    <n v="0"/>
    <n v="0.02"/>
    <n v="3"/>
    <n v="0"/>
    <n v="3"/>
    <n v="3"/>
    <n v="0"/>
  </r>
  <r>
    <x v="1063"/>
    <n v="30"/>
    <n v="22"/>
    <n v="0"/>
    <n v="0.03"/>
    <n v="40"/>
    <n v="0"/>
    <n v="4"/>
    <n v="4"/>
    <n v="0"/>
  </r>
  <r>
    <x v="1064"/>
    <n v="6"/>
    <n v="30"/>
    <n v="0"/>
    <n v="0.02"/>
    <n v="6"/>
    <n v="0"/>
    <n v="1"/>
    <n v="1"/>
    <n v="0"/>
  </r>
  <r>
    <x v="1065"/>
    <n v="10"/>
    <n v="30"/>
    <n v="0"/>
    <n v="0.03"/>
    <n v="10"/>
    <n v="0"/>
    <n v="1"/>
    <n v="1"/>
    <n v="0"/>
  </r>
  <r>
    <x v="1066"/>
    <n v="1"/>
    <n v="30"/>
    <n v="0"/>
    <n v="0.01"/>
    <n v="1"/>
    <n v="0"/>
    <n v="1"/>
    <n v="1"/>
    <n v="0"/>
  </r>
  <r>
    <x v="1067"/>
    <n v="30"/>
    <n v="30"/>
    <n v="0"/>
    <n v="0.02"/>
    <n v="30"/>
    <n v="0"/>
    <n v="3"/>
    <n v="3"/>
    <n v="0"/>
  </r>
  <r>
    <x v="1068"/>
    <n v="100"/>
    <n v="30"/>
    <n v="0"/>
    <n v="0.01"/>
    <n v="100"/>
    <n v="0"/>
    <n v="1"/>
    <n v="1"/>
    <n v="0"/>
  </r>
  <r>
    <x v="1069"/>
    <n v="30"/>
    <n v="30"/>
    <n v="0"/>
    <n v="0.03"/>
    <n v="30"/>
    <n v="0"/>
    <n v="2"/>
    <n v="2"/>
    <n v="0"/>
  </r>
  <r>
    <x v="1070"/>
    <n v="90"/>
    <n v="30"/>
    <n v="0"/>
    <n v="0.02"/>
    <n v="90"/>
    <n v="0"/>
    <n v="3"/>
    <n v="3"/>
    <n v="0"/>
  </r>
  <r>
    <x v="1071"/>
    <n v="20"/>
    <n v="20"/>
    <n v="0"/>
    <n v="0.03"/>
    <n v="30"/>
    <n v="0"/>
    <n v="2"/>
    <n v="2"/>
    <n v="0"/>
  </r>
  <r>
    <x v="1072"/>
    <n v="30"/>
    <n v="30"/>
    <n v="0"/>
    <n v="0.03"/>
    <n v="30"/>
    <n v="0"/>
    <n v="2"/>
    <n v="2"/>
    <n v="0"/>
  </r>
  <r>
    <x v="1073"/>
    <n v="15"/>
    <n v="30"/>
    <n v="0"/>
    <n v="0.02"/>
    <n v="15"/>
    <n v="0"/>
    <n v="1"/>
    <n v="1"/>
    <n v="0"/>
  </r>
  <r>
    <x v="1074"/>
    <n v="30"/>
    <n v="30"/>
    <n v="0"/>
    <n v="0.01"/>
    <n v="30"/>
    <n v="0"/>
    <n v="1"/>
    <n v="1"/>
    <n v="0"/>
  </r>
  <r>
    <x v="1075"/>
    <n v="1"/>
    <n v="30"/>
    <n v="0"/>
    <n v="0.03"/>
    <n v="1"/>
    <n v="0"/>
    <n v="1"/>
    <n v="1"/>
    <n v="0"/>
  </r>
  <r>
    <x v="1076"/>
    <n v="1"/>
    <n v="30"/>
    <n v="0"/>
    <n v="0.01"/>
    <n v="1"/>
    <n v="0"/>
    <n v="1"/>
    <n v="1"/>
    <n v="0"/>
  </r>
  <r>
    <x v="1077"/>
    <n v="52"/>
    <n v="18"/>
    <n v="0"/>
    <n v="0.02"/>
    <n v="86"/>
    <n v="0"/>
    <n v="7"/>
    <n v="7"/>
    <n v="0"/>
  </r>
  <r>
    <x v="1078"/>
    <n v="1"/>
    <n v="30"/>
    <n v="0"/>
    <n v="0.01"/>
    <n v="1"/>
    <n v="0"/>
    <n v="1"/>
    <n v="1"/>
    <n v="0"/>
  </r>
  <r>
    <x v="1079"/>
    <n v="30"/>
    <n v="30"/>
    <n v="0"/>
    <n v="0.02"/>
    <n v="30"/>
    <n v="0"/>
    <n v="1"/>
    <n v="1"/>
    <n v="0"/>
  </r>
  <r>
    <x v="1080"/>
    <n v="1"/>
    <n v="30"/>
    <n v="0"/>
    <n v="0.01"/>
    <n v="1"/>
    <n v="0"/>
    <n v="1"/>
    <n v="1"/>
    <n v="0"/>
  </r>
  <r>
    <x v="1081"/>
    <n v="1"/>
    <n v="30"/>
    <n v="0"/>
    <n v="0.01"/>
    <n v="1"/>
    <n v="0"/>
    <n v="1"/>
    <n v="1"/>
    <n v="0"/>
  </r>
  <r>
    <x v="1082"/>
    <n v="1"/>
    <n v="30"/>
    <n v="0"/>
    <n v="0.01"/>
    <n v="1"/>
    <n v="0"/>
    <n v="1"/>
    <n v="1"/>
    <n v="0"/>
  </r>
  <r>
    <x v="1083"/>
    <n v="4"/>
    <n v="30"/>
    <n v="0"/>
    <n v="0.03"/>
    <n v="4"/>
    <n v="0"/>
    <n v="4"/>
    <n v="4"/>
    <n v="0"/>
  </r>
  <r>
    <x v="1084"/>
    <n v="2"/>
    <n v="30"/>
    <n v="0"/>
    <n v="0.01"/>
    <n v="2"/>
    <n v="0"/>
    <n v="2"/>
    <n v="2"/>
    <n v="0"/>
  </r>
  <r>
    <x v="1085"/>
    <n v="2"/>
    <n v="30"/>
    <n v="0"/>
    <n v="0.02"/>
    <n v="2"/>
    <n v="0"/>
    <n v="1"/>
    <n v="1"/>
    <n v="0"/>
  </r>
  <r>
    <x v="1086"/>
    <n v="1"/>
    <n v="30"/>
    <n v="0"/>
    <n v="0.01"/>
    <n v="1"/>
    <n v="0"/>
    <n v="1"/>
    <n v="1"/>
    <n v="0"/>
  </r>
  <r>
    <x v="1087"/>
    <n v="2"/>
    <n v="30"/>
    <n v="0"/>
    <n v="0.02"/>
    <n v="2"/>
    <n v="0"/>
    <n v="2"/>
    <n v="2"/>
    <n v="0"/>
  </r>
  <r>
    <x v="1088"/>
    <n v="45"/>
    <n v="22"/>
    <n v="0"/>
    <n v="0.02"/>
    <n v="60"/>
    <n v="0"/>
    <n v="3"/>
    <n v="3"/>
    <n v="0"/>
  </r>
  <r>
    <x v="1089"/>
    <n v="4"/>
    <n v="30"/>
    <n v="0"/>
    <n v="0"/>
    <n v="4"/>
    <n v="0"/>
    <n v="2"/>
    <n v="2"/>
    <n v="0"/>
  </r>
  <r>
    <x v="1090"/>
    <n v="1"/>
    <n v="30"/>
    <n v="0"/>
    <n v="0"/>
    <n v="1"/>
    <n v="0"/>
    <n v="1"/>
    <n v="1"/>
    <n v="0"/>
  </r>
  <r>
    <x v="1091"/>
    <n v="30"/>
    <n v="30"/>
    <n v="0"/>
    <n v="0.03"/>
    <n v="30"/>
    <n v="0"/>
    <n v="3"/>
    <n v="2"/>
    <n v="0"/>
  </r>
  <r>
    <x v="1092"/>
    <n v="10"/>
    <n v="30"/>
    <n v="0"/>
    <n v="0"/>
    <n v="10"/>
    <n v="0"/>
    <n v="1"/>
    <n v="1"/>
    <n v="0"/>
  </r>
  <r>
    <x v="1093"/>
    <n v="17"/>
    <n v="25"/>
    <n v="0"/>
    <n v="0.01"/>
    <n v="20"/>
    <n v="0"/>
    <n v="2"/>
    <n v="2"/>
    <n v="0"/>
  </r>
  <r>
    <x v="1094"/>
    <n v="15"/>
    <n v="30"/>
    <n v="0"/>
    <n v="0.03"/>
    <n v="15"/>
    <n v="0"/>
    <n v="1"/>
    <n v="1"/>
    <n v="0"/>
  </r>
  <r>
    <x v="1095"/>
    <n v="20"/>
    <n v="20"/>
    <n v="0"/>
    <n v="0.03"/>
    <n v="30"/>
    <n v="0"/>
    <n v="2"/>
    <n v="2"/>
    <n v="0"/>
  </r>
  <r>
    <x v="1096"/>
    <n v="63"/>
    <n v="17"/>
    <n v="0"/>
    <n v="0.01"/>
    <n v="110"/>
    <n v="0"/>
    <n v="4"/>
    <n v="4"/>
    <n v="0"/>
  </r>
  <r>
    <x v="1097"/>
    <n v="2"/>
    <n v="30"/>
    <n v="0"/>
    <n v="0.02"/>
    <n v="2"/>
    <n v="0"/>
    <n v="2"/>
    <n v="2"/>
    <n v="0"/>
  </r>
  <r>
    <x v="1098"/>
    <n v="30"/>
    <n v="30"/>
    <n v="0"/>
    <n v="0.01"/>
    <n v="30"/>
    <n v="0"/>
    <n v="3"/>
    <n v="3"/>
    <n v="0"/>
  </r>
  <r>
    <x v="1099"/>
    <n v="15"/>
    <n v="30"/>
    <n v="0"/>
    <n v="0"/>
    <n v="15"/>
    <n v="0"/>
    <n v="1"/>
    <n v="1"/>
    <n v="0"/>
  </r>
  <r>
    <x v="1100"/>
    <n v="20"/>
    <n v="30"/>
    <n v="0"/>
    <n v="0.03"/>
    <n v="20"/>
    <n v="0"/>
    <n v="2"/>
    <n v="2"/>
    <n v="0"/>
  </r>
  <r>
    <x v="1101"/>
    <n v="10"/>
    <n v="30"/>
    <n v="0"/>
    <n v="0.01"/>
    <n v="10"/>
    <n v="0"/>
    <n v="1"/>
    <n v="1"/>
    <n v="0"/>
  </r>
  <r>
    <x v="1102"/>
    <n v="15"/>
    <n v="30"/>
    <n v="0"/>
    <n v="0.02"/>
    <n v="15"/>
    <n v="0"/>
    <n v="1"/>
    <n v="1"/>
    <n v="0"/>
  </r>
  <r>
    <x v="1103"/>
    <n v="15"/>
    <n v="30"/>
    <n v="0"/>
    <n v="0.01"/>
    <n v="15"/>
    <n v="0"/>
    <n v="1"/>
    <n v="1"/>
    <n v="0"/>
  </r>
  <r>
    <x v="1104"/>
    <n v="10"/>
    <n v="30"/>
    <n v="0"/>
    <n v="0.01"/>
    <n v="10"/>
    <n v="0"/>
    <n v="1"/>
    <n v="1"/>
    <n v="0"/>
  </r>
  <r>
    <x v="1105"/>
    <n v="30"/>
    <n v="30"/>
    <n v="0"/>
    <n v="0.02"/>
    <n v="30"/>
    <n v="0"/>
    <n v="1"/>
    <n v="1"/>
    <n v="0"/>
  </r>
  <r>
    <x v="1106"/>
    <n v="30"/>
    <n v="18"/>
    <n v="0"/>
    <n v="0.01"/>
    <n v="50"/>
    <n v="0"/>
    <n v="2"/>
    <n v="2"/>
    <n v="0"/>
  </r>
  <r>
    <x v="1107"/>
    <n v="20"/>
    <n v="30"/>
    <n v="0"/>
    <n v="0.01"/>
    <n v="20"/>
    <n v="0"/>
    <n v="2"/>
    <n v="2"/>
    <n v="0"/>
  </r>
  <r>
    <x v="1108"/>
    <n v="30"/>
    <n v="30"/>
    <n v="0"/>
    <n v="0.01"/>
    <n v="30"/>
    <n v="0"/>
    <n v="2"/>
    <n v="2"/>
    <n v="0"/>
  </r>
  <r>
    <x v="1109"/>
    <n v="10"/>
    <n v="30"/>
    <n v="0"/>
    <n v="0.01"/>
    <n v="10"/>
    <n v="0"/>
    <n v="1"/>
    <n v="1"/>
    <n v="0"/>
  </r>
  <r>
    <x v="1110"/>
    <n v="25"/>
    <n v="25"/>
    <n v="0"/>
    <n v="0.02"/>
    <n v="30"/>
    <n v="0"/>
    <n v="3"/>
    <n v="3"/>
    <n v="0"/>
  </r>
  <r>
    <x v="1111"/>
    <n v="15"/>
    <n v="30"/>
    <n v="0"/>
    <n v="0.02"/>
    <n v="15"/>
    <n v="0"/>
    <n v="1"/>
    <n v="1"/>
    <n v="0"/>
  </r>
  <r>
    <x v="1112"/>
    <n v="30"/>
    <n v="30"/>
    <n v="0"/>
    <n v="0.03"/>
    <n v="30"/>
    <n v="0"/>
    <n v="2"/>
    <n v="2"/>
    <n v="0"/>
  </r>
  <r>
    <x v="1113"/>
    <n v="20"/>
    <n v="30"/>
    <n v="0"/>
    <n v="0.01"/>
    <n v="20"/>
    <n v="0"/>
    <n v="2"/>
    <n v="2"/>
    <n v="0"/>
  </r>
  <r>
    <x v="1114"/>
    <n v="30"/>
    <n v="30"/>
    <n v="0"/>
    <n v="0.01"/>
    <n v="30"/>
    <n v="0"/>
    <n v="2"/>
    <n v="2"/>
    <n v="0"/>
  </r>
  <r>
    <x v="1115"/>
    <n v="15"/>
    <n v="30"/>
    <n v="0"/>
    <n v="0.02"/>
    <n v="15"/>
    <n v="0"/>
    <n v="1"/>
    <n v="1"/>
    <n v="0"/>
  </r>
  <r>
    <x v="1116"/>
    <n v="30"/>
    <n v="22"/>
    <n v="0"/>
    <n v="0.03"/>
    <n v="40"/>
    <n v="0"/>
    <n v="2"/>
    <n v="2"/>
    <n v="0"/>
  </r>
  <r>
    <x v="1117"/>
    <n v="1"/>
    <n v="30"/>
    <n v="0"/>
    <n v="0.01"/>
    <n v="1"/>
    <n v="0"/>
    <n v="3"/>
    <n v="3"/>
    <n v="0"/>
  </r>
  <r>
    <x v="1118"/>
    <n v="10"/>
    <n v="30"/>
    <n v="0"/>
    <n v="0.02"/>
    <n v="10"/>
    <n v="0"/>
    <n v="1"/>
    <n v="1"/>
    <n v="0"/>
  </r>
  <r>
    <x v="1119"/>
    <n v="1"/>
    <n v="30"/>
    <n v="0"/>
    <n v="0.01"/>
    <n v="1"/>
    <n v="0"/>
    <n v="1"/>
    <n v="1"/>
    <n v="0"/>
  </r>
  <r>
    <x v="1120"/>
    <n v="1"/>
    <n v="30"/>
    <n v="0"/>
    <n v="0.01"/>
    <n v="1"/>
    <n v="0"/>
    <n v="1"/>
    <n v="1"/>
    <n v="0"/>
  </r>
  <r>
    <x v="1121"/>
    <n v="1"/>
    <n v="30"/>
    <n v="0"/>
    <n v="0.01"/>
    <n v="1"/>
    <n v="0"/>
    <n v="1"/>
    <n v="1"/>
    <n v="0"/>
  </r>
  <r>
    <x v="1122"/>
    <n v="1"/>
    <n v="30"/>
    <n v="0"/>
    <n v="0.01"/>
    <n v="1"/>
    <n v="0"/>
    <n v="1"/>
    <n v="1"/>
    <n v="0"/>
  </r>
  <r>
    <x v="1123"/>
    <n v="1"/>
    <n v="30"/>
    <n v="0"/>
    <n v="0.01"/>
    <n v="1"/>
    <n v="0"/>
    <n v="1"/>
    <n v="1"/>
    <n v="0"/>
  </r>
  <r>
    <x v="1124"/>
    <n v="1"/>
    <n v="30"/>
    <n v="0"/>
    <n v="0.02"/>
    <n v="1"/>
    <n v="0"/>
    <n v="1"/>
    <n v="1"/>
    <n v="0"/>
  </r>
  <r>
    <x v="1125"/>
    <n v="15"/>
    <n v="30"/>
    <n v="0"/>
    <n v="0.02"/>
    <n v="15"/>
    <n v="0"/>
    <n v="1"/>
    <n v="1"/>
    <n v="0"/>
  </r>
  <r>
    <x v="1126"/>
    <n v="60"/>
    <n v="20"/>
    <n v="0"/>
    <n v="0.02"/>
    <n v="90"/>
    <n v="0"/>
    <n v="3"/>
    <n v="3"/>
    <n v="0"/>
  </r>
  <r>
    <x v="1127"/>
    <n v="1"/>
    <n v="30"/>
    <n v="0"/>
    <n v="0.03"/>
    <n v="1"/>
    <n v="0"/>
    <n v="1"/>
    <n v="1"/>
    <n v="0"/>
  </r>
  <r>
    <x v="1128"/>
    <n v="2"/>
    <n v="30"/>
    <n v="0"/>
    <n v="0.03"/>
    <n v="2"/>
    <n v="0"/>
    <n v="2"/>
    <n v="2"/>
    <n v="0"/>
  </r>
  <r>
    <x v="1129"/>
    <n v="1"/>
    <n v="30"/>
    <n v="0"/>
    <n v="0.01"/>
    <n v="1"/>
    <n v="0"/>
    <n v="1"/>
    <n v="1"/>
    <n v="0"/>
  </r>
  <r>
    <x v="1130"/>
    <n v="3"/>
    <n v="30"/>
    <n v="0"/>
    <n v="0.02"/>
    <n v="3"/>
    <n v="0"/>
    <n v="3"/>
    <n v="3"/>
    <n v="0"/>
  </r>
  <r>
    <x v="1131"/>
    <n v="30"/>
    <n v="30"/>
    <n v="0"/>
    <n v="0.02"/>
    <n v="30"/>
    <n v="0"/>
    <n v="2"/>
    <n v="2"/>
    <n v="0"/>
  </r>
  <r>
    <x v="1132"/>
    <n v="3"/>
    <n v="22"/>
    <n v="0"/>
    <n v="0.02"/>
    <n v="4"/>
    <n v="0"/>
    <n v="4"/>
    <n v="4"/>
    <n v="0"/>
  </r>
  <r>
    <x v="1133"/>
    <n v="10"/>
    <n v="30"/>
    <n v="0"/>
    <n v="0.01"/>
    <n v="10"/>
    <n v="0"/>
    <n v="1"/>
    <n v="1"/>
    <n v="0"/>
  </r>
  <r>
    <x v="1134"/>
    <n v="10"/>
    <n v="30"/>
    <n v="0"/>
    <n v="0"/>
    <n v="10"/>
    <n v="0"/>
    <n v="1"/>
    <n v="1"/>
    <n v="0"/>
  </r>
  <r>
    <x v="1135"/>
    <n v="30"/>
    <n v="30"/>
    <n v="0"/>
    <n v="0.01"/>
    <n v="30"/>
    <n v="0"/>
    <n v="1"/>
    <n v="1"/>
    <n v="0"/>
  </r>
  <r>
    <x v="1136"/>
    <n v="10"/>
    <n v="30"/>
    <n v="0"/>
    <n v="0.02"/>
    <n v="10"/>
    <n v="0"/>
    <n v="1"/>
    <n v="1"/>
    <n v="0"/>
  </r>
  <r>
    <x v="1137"/>
    <n v="1"/>
    <n v="30"/>
    <n v="0"/>
    <n v="0.01"/>
    <n v="1"/>
    <n v="0"/>
    <n v="1"/>
    <n v="1"/>
    <n v="0"/>
  </r>
  <r>
    <x v="1138"/>
    <n v="10"/>
    <n v="30"/>
    <n v="0"/>
    <n v="0.01"/>
    <n v="10"/>
    <n v="0"/>
    <n v="1"/>
    <n v="1"/>
    <n v="0"/>
  </r>
  <r>
    <x v="1139"/>
    <n v="1"/>
    <n v="30"/>
    <n v="0"/>
    <n v="0.01"/>
    <n v="1"/>
    <n v="0"/>
    <n v="1"/>
    <n v="1"/>
    <n v="0"/>
  </r>
  <r>
    <x v="1140"/>
    <n v="8"/>
    <n v="16"/>
    <n v="0"/>
    <n v="0.01"/>
    <n v="15"/>
    <n v="0"/>
    <n v="7"/>
    <n v="7"/>
    <n v="0"/>
  </r>
  <r>
    <x v="1141"/>
    <n v="5"/>
    <n v="18"/>
    <n v="0"/>
    <n v="0.01"/>
    <n v="8"/>
    <n v="0"/>
    <n v="7"/>
    <n v="7"/>
    <n v="0"/>
  </r>
  <r>
    <x v="1142"/>
    <n v="4"/>
    <n v="24"/>
    <n v="0"/>
    <n v="0.03"/>
    <n v="5"/>
    <n v="0"/>
    <n v="4"/>
    <n v="4"/>
    <n v="0"/>
  </r>
  <r>
    <x v="1143"/>
    <n v="1"/>
    <n v="30"/>
    <n v="0"/>
    <n v="0"/>
    <n v="1"/>
    <n v="0"/>
    <n v="1"/>
    <n v="1"/>
    <n v="0"/>
  </r>
  <r>
    <x v="1144"/>
    <n v="1"/>
    <n v="30"/>
    <n v="0"/>
    <n v="0.01"/>
    <n v="1"/>
    <n v="0"/>
    <n v="1"/>
    <n v="1"/>
    <n v="0"/>
  </r>
  <r>
    <x v="1145"/>
    <n v="2"/>
    <n v="30"/>
    <n v="0"/>
    <n v="0.01"/>
    <n v="2"/>
    <n v="0"/>
    <n v="2"/>
    <n v="2"/>
    <n v="0"/>
  </r>
  <r>
    <x v="1146"/>
    <n v="1"/>
    <n v="30"/>
    <n v="0"/>
    <n v="0.01"/>
    <n v="1"/>
    <n v="0"/>
    <n v="1"/>
    <n v="1"/>
    <n v="0"/>
  </r>
  <r>
    <x v="1147"/>
    <n v="3"/>
    <n v="30"/>
    <n v="0"/>
    <n v="0.01"/>
    <n v="3"/>
    <n v="0"/>
    <n v="3"/>
    <n v="3"/>
    <n v="0"/>
  </r>
  <r>
    <x v="1148"/>
    <n v="96"/>
    <n v="26"/>
    <n v="0"/>
    <n v="0.01"/>
    <n v="107"/>
    <n v="0"/>
    <n v="9"/>
    <n v="8"/>
    <n v="0"/>
  </r>
  <r>
    <x v="1149"/>
    <n v="1"/>
    <n v="30"/>
    <n v="0"/>
    <n v="0.01"/>
    <n v="1"/>
    <n v="0"/>
    <n v="1"/>
    <n v="1"/>
    <n v="0"/>
  </r>
  <r>
    <x v="1150"/>
    <n v="1"/>
    <n v="30"/>
    <n v="0"/>
    <n v="0.03"/>
    <n v="1"/>
    <n v="0"/>
    <n v="1"/>
    <n v="1"/>
    <n v="0"/>
  </r>
  <r>
    <x v="1151"/>
    <n v="26"/>
    <n v="26"/>
    <n v="0"/>
    <n v="0"/>
    <n v="30"/>
    <n v="0"/>
    <n v="1"/>
    <n v="1"/>
    <n v="0"/>
  </r>
  <r>
    <x v="1152"/>
    <n v="3"/>
    <n v="30"/>
    <n v="0"/>
    <n v="0.03"/>
    <n v="3"/>
    <n v="0"/>
    <n v="3"/>
    <n v="3"/>
    <n v="0"/>
  </r>
  <r>
    <x v="1153"/>
    <n v="4"/>
    <n v="30"/>
    <n v="0"/>
    <n v="0.03"/>
    <n v="4"/>
    <n v="0"/>
    <n v="4"/>
    <n v="4"/>
    <n v="0"/>
  </r>
  <r>
    <x v="1154"/>
    <n v="7"/>
    <n v="26"/>
    <n v="0"/>
    <n v="0.02"/>
    <n v="8"/>
    <n v="0"/>
    <n v="3"/>
    <n v="3"/>
    <n v="0"/>
  </r>
  <r>
    <x v="1155"/>
    <n v="3"/>
    <n v="30"/>
    <n v="0"/>
    <n v="0.02"/>
    <n v="3"/>
    <n v="0"/>
    <n v="2"/>
    <n v="2"/>
    <n v="0"/>
  </r>
  <r>
    <x v="1156"/>
    <n v="3"/>
    <n v="30"/>
    <n v="0"/>
    <n v="0.03"/>
    <n v="3"/>
    <n v="0"/>
    <n v="3"/>
    <n v="3"/>
    <n v="0"/>
  </r>
  <r>
    <x v="1157"/>
    <n v="20"/>
    <n v="30"/>
    <n v="0"/>
    <n v="0.03"/>
    <n v="20"/>
    <n v="0"/>
    <n v="2"/>
    <n v="2"/>
    <n v="0"/>
  </r>
  <r>
    <x v="1158"/>
    <n v="20"/>
    <n v="30"/>
    <n v="0"/>
    <n v="0.03"/>
    <n v="20"/>
    <n v="0"/>
    <n v="2"/>
    <n v="2"/>
    <n v="0"/>
  </r>
  <r>
    <x v="1159"/>
    <n v="20"/>
    <n v="30"/>
    <n v="0"/>
    <n v="0.03"/>
    <n v="20"/>
    <n v="0"/>
    <n v="1"/>
    <n v="1"/>
    <n v="0"/>
  </r>
  <r>
    <x v="1160"/>
    <n v="10"/>
    <n v="30"/>
    <n v="0"/>
    <n v="0.01"/>
    <n v="10"/>
    <n v="0"/>
    <n v="1"/>
    <n v="1"/>
    <n v="0"/>
  </r>
  <r>
    <x v="1161"/>
    <n v="10"/>
    <n v="30"/>
    <n v="0"/>
    <n v="0.01"/>
    <n v="10"/>
    <n v="0"/>
    <n v="1"/>
    <n v="1"/>
    <n v="0"/>
  </r>
  <r>
    <x v="1162"/>
    <n v="15"/>
    <n v="30"/>
    <n v="0"/>
    <n v="0.01"/>
    <n v="15"/>
    <n v="0"/>
    <n v="1"/>
    <n v="1"/>
    <n v="0"/>
  </r>
  <r>
    <x v="1163"/>
    <n v="3"/>
    <n v="30"/>
    <n v="0"/>
    <n v="0.01"/>
    <n v="3"/>
    <n v="0"/>
    <n v="1"/>
    <n v="1"/>
    <n v="0"/>
  </r>
  <r>
    <x v="1164"/>
    <n v="2"/>
    <n v="20"/>
    <n v="0"/>
    <n v="0.02"/>
    <n v="3"/>
    <n v="0"/>
    <n v="3"/>
    <n v="3"/>
    <n v="0"/>
  </r>
  <r>
    <x v="1165"/>
    <n v="60"/>
    <n v="30"/>
    <n v="0"/>
    <n v="0.01"/>
    <n v="60"/>
    <n v="0"/>
    <n v="2"/>
    <n v="2"/>
    <n v="0"/>
  </r>
  <r>
    <x v="1166"/>
    <n v="210"/>
    <n v="30"/>
    <n v="0"/>
    <n v="0.03"/>
    <n v="210"/>
    <n v="0"/>
    <n v="7"/>
    <n v="6"/>
    <n v="0"/>
  </r>
  <r>
    <x v="1167"/>
    <n v="15"/>
    <n v="30"/>
    <n v="0"/>
    <n v="0.03"/>
    <n v="15"/>
    <n v="0"/>
    <n v="1"/>
    <n v="1"/>
    <n v="0"/>
  </r>
  <r>
    <x v="1168"/>
    <n v="1"/>
    <n v="30"/>
    <n v="0"/>
    <n v="0.01"/>
    <n v="1"/>
    <n v="0"/>
    <n v="1"/>
    <n v="1"/>
    <n v="0"/>
  </r>
  <r>
    <x v="1169"/>
    <n v="35"/>
    <n v="23"/>
    <n v="0"/>
    <n v="0.01"/>
    <n v="45"/>
    <n v="0"/>
    <n v="3"/>
    <n v="3"/>
    <n v="0"/>
  </r>
  <r>
    <x v="1170"/>
    <n v="28"/>
    <n v="30"/>
    <n v="0"/>
    <n v="0.03"/>
    <n v="28"/>
    <n v="0"/>
    <n v="2"/>
    <n v="2"/>
    <n v="0"/>
  </r>
  <r>
    <x v="1171"/>
    <n v="1"/>
    <n v="30"/>
    <n v="0"/>
    <n v="0"/>
    <n v="1"/>
    <n v="0"/>
    <n v="1"/>
    <n v="1"/>
    <n v="0"/>
  </r>
  <r>
    <x v="1172"/>
    <n v="1"/>
    <n v="30"/>
    <n v="0"/>
    <n v="0.01"/>
    <n v="1"/>
    <n v="0"/>
    <n v="1"/>
    <n v="1"/>
    <n v="0"/>
  </r>
  <r>
    <x v="1173"/>
    <n v="2"/>
    <n v="30"/>
    <n v="0"/>
    <n v="0.02"/>
    <n v="2"/>
    <n v="0"/>
    <n v="2"/>
    <n v="2"/>
    <n v="0"/>
  </r>
  <r>
    <x v="1174"/>
    <n v="3"/>
    <n v="22"/>
    <n v="0"/>
    <n v="0.02"/>
    <n v="4"/>
    <n v="0"/>
    <n v="4"/>
    <n v="4"/>
    <n v="0"/>
  </r>
  <r>
    <x v="1175"/>
    <n v="20"/>
    <n v="30"/>
    <n v="0"/>
    <n v="0.01"/>
    <n v="20"/>
    <n v="0"/>
    <n v="1"/>
    <n v="1"/>
    <n v="0"/>
  </r>
  <r>
    <x v="1176"/>
    <n v="60"/>
    <n v="24"/>
    <n v="0"/>
    <n v="0.02"/>
    <n v="75"/>
    <n v="0"/>
    <n v="3"/>
    <n v="3"/>
    <n v="0"/>
  </r>
  <r>
    <x v="1177"/>
    <n v="120"/>
    <n v="30"/>
    <n v="0"/>
    <n v="0.02"/>
    <n v="120"/>
    <n v="0"/>
    <n v="2"/>
    <n v="2"/>
    <n v="0"/>
  </r>
  <r>
    <x v="1178"/>
    <n v="1"/>
    <n v="30"/>
    <n v="0"/>
    <n v="0.01"/>
    <n v="1"/>
    <n v="0"/>
    <n v="1"/>
    <n v="1"/>
    <n v="0"/>
  </r>
  <r>
    <x v="1179"/>
    <n v="1"/>
    <n v="30"/>
    <n v="0"/>
    <n v="0.01"/>
    <n v="1"/>
    <n v="0"/>
    <n v="1"/>
    <n v="1"/>
    <n v="0"/>
  </r>
  <r>
    <x v="1180"/>
    <n v="1"/>
    <n v="30"/>
    <n v="0"/>
    <n v="0.02"/>
    <n v="1"/>
    <n v="0"/>
    <n v="1"/>
    <n v="1"/>
    <n v="0"/>
  </r>
  <r>
    <x v="1181"/>
    <n v="45"/>
    <n v="30"/>
    <n v="0"/>
    <n v="0.02"/>
    <n v="45"/>
    <n v="0"/>
    <n v="2"/>
    <n v="2"/>
    <n v="0"/>
  </r>
  <r>
    <x v="1182"/>
    <n v="2"/>
    <n v="20"/>
    <n v="0"/>
    <n v="0.03"/>
    <n v="3"/>
    <n v="0"/>
    <n v="2"/>
    <n v="2"/>
    <n v="0"/>
  </r>
  <r>
    <x v="1183"/>
    <n v="1"/>
    <n v="30"/>
    <n v="0"/>
    <n v="0.03"/>
    <n v="1"/>
    <n v="0"/>
    <n v="1"/>
    <n v="1"/>
    <n v="0"/>
  </r>
  <r>
    <x v="1184"/>
    <n v="30"/>
    <n v="30"/>
    <n v="0"/>
    <n v="0.03"/>
    <n v="30"/>
    <n v="0"/>
    <n v="1"/>
    <n v="1"/>
    <n v="0"/>
  </r>
  <r>
    <x v="1185"/>
    <n v="60"/>
    <n v="30"/>
    <n v="0"/>
    <n v="0.03"/>
    <n v="60"/>
    <n v="0"/>
    <n v="2"/>
    <n v="2"/>
    <n v="0"/>
  </r>
  <r>
    <x v="1186"/>
    <n v="75"/>
    <n v="30"/>
    <n v="0"/>
    <n v="0.02"/>
    <n v="75"/>
    <n v="0"/>
    <n v="3"/>
    <n v="3"/>
    <n v="0"/>
  </r>
  <r>
    <x v="1187"/>
    <n v="30"/>
    <n v="20"/>
    <n v="0"/>
    <n v="0.01"/>
    <n v="45"/>
    <n v="0"/>
    <n v="2"/>
    <n v="2"/>
    <n v="0"/>
  </r>
  <r>
    <x v="1188"/>
    <n v="74"/>
    <n v="24"/>
    <n v="0"/>
    <n v="0.01"/>
    <n v="90"/>
    <n v="0"/>
    <n v="2"/>
    <n v="2"/>
    <n v="0"/>
  </r>
  <r>
    <x v="1189"/>
    <n v="15"/>
    <n v="30"/>
    <n v="0"/>
    <n v="0"/>
    <n v="15"/>
    <n v="0"/>
    <n v="1"/>
    <n v="1"/>
    <n v="0"/>
  </r>
  <r>
    <x v="1190"/>
    <n v="3"/>
    <n v="30"/>
    <n v="0"/>
    <n v="0.03"/>
    <n v="3"/>
    <n v="0"/>
    <n v="3"/>
    <n v="3"/>
    <n v="0"/>
  </r>
  <r>
    <x v="1191"/>
    <n v="45"/>
    <n v="30"/>
    <n v="0"/>
    <n v="0.02"/>
    <n v="45"/>
    <n v="0"/>
    <n v="2"/>
    <n v="1"/>
    <n v="0"/>
  </r>
  <r>
    <x v="1192"/>
    <n v="20"/>
    <n v="30"/>
    <n v="0"/>
    <n v="0.01"/>
    <n v="20"/>
    <n v="0"/>
    <n v="2"/>
    <n v="2"/>
    <n v="0"/>
  </r>
  <r>
    <x v="1193"/>
    <n v="60"/>
    <n v="30"/>
    <n v="0"/>
    <n v="0.02"/>
    <n v="60"/>
    <n v="0"/>
    <n v="2"/>
    <n v="2"/>
    <n v="0"/>
  </r>
  <r>
    <x v="1194"/>
    <n v="1"/>
    <n v="30"/>
    <n v="0"/>
    <n v="0.01"/>
    <n v="1"/>
    <n v="0"/>
    <n v="1"/>
    <n v="1"/>
    <n v="0"/>
  </r>
  <r>
    <x v="1195"/>
    <n v="1"/>
    <n v="30"/>
    <n v="0"/>
    <n v="0.01"/>
    <n v="1"/>
    <n v="0"/>
    <n v="1"/>
    <n v="1"/>
    <n v="0"/>
  </r>
  <r>
    <x v="1196"/>
    <n v="10"/>
    <n v="30"/>
    <n v="0"/>
    <n v="0.01"/>
    <n v="10"/>
    <n v="0"/>
    <n v="1"/>
    <n v="1"/>
    <n v="0"/>
  </r>
  <r>
    <x v="1197"/>
    <n v="30"/>
    <n v="30"/>
    <n v="0"/>
    <n v="0.01"/>
    <n v="30"/>
    <n v="0"/>
    <n v="3"/>
    <n v="3"/>
    <n v="0"/>
  </r>
  <r>
    <x v="1198"/>
    <n v="20"/>
    <n v="30"/>
    <n v="0"/>
    <n v="0.02"/>
    <n v="20"/>
    <n v="0"/>
    <n v="2"/>
    <n v="2"/>
    <n v="0"/>
  </r>
  <r>
    <x v="1199"/>
    <n v="20"/>
    <n v="30"/>
    <n v="0"/>
    <n v="0"/>
    <n v="20"/>
    <n v="0"/>
    <n v="1"/>
    <n v="1"/>
    <n v="0"/>
  </r>
  <r>
    <x v="1200"/>
    <n v="10"/>
    <n v="30"/>
    <n v="0"/>
    <n v="0.02"/>
    <n v="10"/>
    <n v="0"/>
    <n v="1"/>
    <n v="1"/>
    <n v="0"/>
  </r>
  <r>
    <x v="1201"/>
    <n v="30"/>
    <n v="30"/>
    <n v="0"/>
    <n v="0.02"/>
    <n v="30"/>
    <n v="0"/>
    <n v="1"/>
    <n v="1"/>
    <n v="0"/>
  </r>
  <r>
    <x v="1202"/>
    <n v="41"/>
    <n v="21"/>
    <n v="0"/>
    <n v="0.01"/>
    <n v="56"/>
    <n v="0"/>
    <n v="2"/>
    <n v="2"/>
    <n v="0"/>
  </r>
  <r>
    <x v="1203"/>
    <n v="60"/>
    <n v="30"/>
    <n v="0"/>
    <n v="0.01"/>
    <n v="60"/>
    <n v="0"/>
    <n v="2"/>
    <n v="2"/>
    <n v="0"/>
  </r>
  <r>
    <x v="1204"/>
    <n v="1"/>
    <n v="30"/>
    <n v="0"/>
    <n v="0.01"/>
    <n v="1"/>
    <n v="0"/>
    <n v="1"/>
    <n v="1"/>
    <n v="0"/>
  </r>
  <r>
    <x v="1205"/>
    <n v="4"/>
    <n v="30"/>
    <n v="0"/>
    <n v="0.01"/>
    <n v="4"/>
    <n v="0"/>
    <n v="1"/>
    <n v="1"/>
    <n v="0"/>
  </r>
  <r>
    <x v="1206"/>
    <n v="10"/>
    <n v="30"/>
    <n v="0"/>
    <n v="0.01"/>
    <n v="10"/>
    <n v="0"/>
    <n v="1"/>
    <n v="1"/>
    <n v="0"/>
  </r>
  <r>
    <x v="1207"/>
    <n v="15"/>
    <n v="30"/>
    <n v="0"/>
    <n v="0.01"/>
    <n v="15"/>
    <n v="0"/>
    <n v="1"/>
    <n v="1"/>
    <n v="0"/>
  </r>
  <r>
    <x v="1208"/>
    <n v="2"/>
    <n v="30"/>
    <n v="0"/>
    <n v="0.01"/>
    <n v="2"/>
    <n v="0"/>
    <n v="2"/>
    <n v="2"/>
    <n v="0"/>
  </r>
  <r>
    <x v="1209"/>
    <n v="60"/>
    <n v="30"/>
    <n v="0"/>
    <n v="0.02"/>
    <n v="60"/>
    <n v="0"/>
    <n v="2"/>
    <n v="2"/>
    <n v="0"/>
  </r>
  <r>
    <x v="1210"/>
    <n v="30"/>
    <n v="30"/>
    <n v="0"/>
    <n v="0.01"/>
    <n v="30"/>
    <n v="0"/>
    <n v="1"/>
    <n v="1"/>
    <n v="0"/>
  </r>
  <r>
    <x v="1211"/>
    <n v="30"/>
    <n v="22"/>
    <n v="0"/>
    <n v="0.02"/>
    <n v="40"/>
    <n v="0"/>
    <n v="2"/>
    <n v="1"/>
    <n v="0"/>
  </r>
  <r>
    <x v="1212"/>
    <n v="10"/>
    <n v="30"/>
    <n v="0"/>
    <n v="0.01"/>
    <n v="10"/>
    <n v="0"/>
    <n v="1"/>
    <n v="1"/>
    <n v="0"/>
  </r>
  <r>
    <x v="1213"/>
    <n v="5"/>
    <n v="30"/>
    <n v="0"/>
    <n v="0.02"/>
    <n v="5"/>
    <n v="0"/>
    <n v="4"/>
    <n v="4"/>
    <n v="0"/>
  </r>
  <r>
    <x v="1214"/>
    <n v="15"/>
    <n v="30"/>
    <n v="0"/>
    <n v="0.01"/>
    <n v="15"/>
    <n v="0"/>
    <n v="1"/>
    <n v="1"/>
    <n v="0"/>
  </r>
  <r>
    <x v="1215"/>
    <n v="5"/>
    <n v="30"/>
    <n v="0"/>
    <n v="0"/>
    <n v="5"/>
    <n v="0"/>
    <n v="1"/>
    <n v="1"/>
    <n v="0"/>
  </r>
  <r>
    <x v="1216"/>
    <n v="20"/>
    <n v="30"/>
    <n v="0"/>
    <n v="0.01"/>
    <n v="20"/>
    <n v="0"/>
    <n v="1"/>
    <n v="1"/>
    <n v="0"/>
  </r>
  <r>
    <x v="1217"/>
    <n v="40"/>
    <n v="30"/>
    <n v="0"/>
    <n v="0.03"/>
    <n v="40"/>
    <n v="0"/>
    <n v="3"/>
    <n v="3"/>
    <n v="0"/>
  </r>
  <r>
    <x v="1218"/>
    <n v="3"/>
    <n v="22"/>
    <n v="0"/>
    <n v="0.02"/>
    <n v="4"/>
    <n v="0"/>
    <n v="4"/>
    <n v="3"/>
    <n v="0"/>
  </r>
  <r>
    <x v="1219"/>
    <n v="2"/>
    <n v="20"/>
    <n v="0"/>
    <n v="0.02"/>
    <n v="3"/>
    <n v="0"/>
    <n v="3"/>
    <n v="3"/>
    <n v="0"/>
  </r>
  <r>
    <x v="1220"/>
    <n v="10"/>
    <n v="30"/>
    <n v="0"/>
    <n v="0.01"/>
    <n v="10"/>
    <n v="0"/>
    <n v="1"/>
    <n v="1"/>
    <n v="0"/>
  </r>
  <r>
    <x v="1221"/>
    <n v="30"/>
    <n v="30"/>
    <n v="0"/>
    <n v="0.01"/>
    <n v="30"/>
    <n v="0"/>
    <n v="2"/>
    <n v="2"/>
    <n v="0"/>
  </r>
  <r>
    <x v="1222"/>
    <n v="2"/>
    <n v="30"/>
    <n v="0"/>
    <n v="0.01"/>
    <n v="2"/>
    <n v="0"/>
    <n v="2"/>
    <n v="2"/>
    <n v="0"/>
  </r>
  <r>
    <x v="1223"/>
    <n v="5"/>
    <n v="30"/>
    <n v="0"/>
    <n v="0.01"/>
    <n v="5"/>
    <n v="0"/>
    <n v="5"/>
    <n v="4"/>
    <n v="0"/>
  </r>
  <r>
    <x v="1224"/>
    <n v="15"/>
    <n v="22"/>
    <n v="0"/>
    <n v="0.02"/>
    <n v="20"/>
    <n v="0"/>
    <n v="2"/>
    <n v="2"/>
    <n v="0"/>
  </r>
  <r>
    <x v="1225"/>
    <n v="4"/>
    <n v="24"/>
    <n v="0"/>
    <n v="0.02"/>
    <n v="5"/>
    <n v="0"/>
    <n v="4"/>
    <n v="4"/>
    <n v="0"/>
  </r>
  <r>
    <x v="1226"/>
    <n v="1"/>
    <n v="30"/>
    <n v="0"/>
    <n v="0.03"/>
    <n v="1"/>
    <n v="0"/>
    <n v="1"/>
    <n v="1"/>
    <n v="0"/>
  </r>
  <r>
    <x v="1227"/>
    <n v="1"/>
    <n v="30"/>
    <n v="0"/>
    <n v="0.01"/>
    <n v="1"/>
    <n v="0"/>
    <n v="1"/>
    <n v="1"/>
    <n v="0"/>
  </r>
  <r>
    <x v="1228"/>
    <n v="1"/>
    <n v="30"/>
    <n v="0"/>
    <n v="0.01"/>
    <n v="1"/>
    <n v="0"/>
    <n v="1"/>
    <n v="1"/>
    <n v="0"/>
  </r>
  <r>
    <x v="1229"/>
    <n v="30"/>
    <n v="30"/>
    <n v="0"/>
    <n v="0.02"/>
    <n v="30"/>
    <n v="0"/>
    <n v="2"/>
    <n v="2"/>
    <n v="0"/>
  </r>
  <r>
    <x v="1230"/>
    <n v="6"/>
    <n v="30"/>
    <n v="0"/>
    <n v="0.02"/>
    <n v="6"/>
    <n v="0"/>
    <n v="6"/>
    <n v="5"/>
    <n v="0"/>
  </r>
  <r>
    <x v="1231"/>
    <n v="10"/>
    <n v="30"/>
    <n v="0"/>
    <n v="0.01"/>
    <n v="10"/>
    <n v="0"/>
    <n v="1"/>
    <n v="1"/>
    <n v="0"/>
  </r>
  <r>
    <x v="1232"/>
    <n v="6"/>
    <n v="30"/>
    <n v="0"/>
    <n v="0.01"/>
    <n v="6"/>
    <n v="0"/>
    <n v="2"/>
    <n v="2"/>
    <n v="0"/>
  </r>
  <r>
    <x v="1233"/>
    <n v="1"/>
    <n v="30"/>
    <n v="0"/>
    <n v="0.02"/>
    <n v="1"/>
    <n v="0"/>
    <n v="1"/>
    <n v="1"/>
    <n v="0"/>
  </r>
  <r>
    <x v="1234"/>
    <n v="40"/>
    <n v="24"/>
    <n v="0"/>
    <n v="0.03"/>
    <n v="50"/>
    <n v="0"/>
    <n v="3"/>
    <n v="3"/>
    <n v="0"/>
  </r>
  <r>
    <x v="1235"/>
    <n v="4"/>
    <n v="30"/>
    <n v="0"/>
    <n v="0.03"/>
    <n v="4"/>
    <n v="0"/>
    <n v="3"/>
    <n v="3"/>
    <n v="0"/>
  </r>
  <r>
    <x v="1236"/>
    <n v="1"/>
    <n v="30"/>
    <n v="0"/>
    <n v="0.01"/>
    <n v="1"/>
    <n v="0"/>
    <n v="1"/>
    <n v="1"/>
    <n v="0"/>
  </r>
  <r>
    <x v="1237"/>
    <n v="2"/>
    <n v="30"/>
    <n v="0"/>
    <n v="0.01"/>
    <n v="2"/>
    <n v="0"/>
    <n v="2"/>
    <n v="2"/>
    <n v="0"/>
  </r>
  <r>
    <x v="1238"/>
    <n v="15"/>
    <n v="30"/>
    <n v="0"/>
    <n v="0.02"/>
    <n v="15"/>
    <n v="0"/>
    <n v="1"/>
    <n v="1"/>
    <n v="0"/>
  </r>
  <r>
    <x v="1239"/>
    <n v="3"/>
    <n v="30"/>
    <n v="0"/>
    <n v="0.02"/>
    <n v="3"/>
    <n v="0"/>
    <n v="3"/>
    <n v="2"/>
    <n v="0"/>
  </r>
  <r>
    <x v="1240"/>
    <n v="10"/>
    <n v="30"/>
    <n v="0"/>
    <n v="0.03"/>
    <n v="10"/>
    <n v="0"/>
    <n v="1"/>
    <n v="1"/>
    <n v="0"/>
  </r>
  <r>
    <x v="1241"/>
    <n v="15"/>
    <n v="30"/>
    <n v="0"/>
    <n v="0.02"/>
    <n v="15"/>
    <n v="0"/>
    <n v="1"/>
    <n v="1"/>
    <n v="0"/>
  </r>
  <r>
    <x v="1242"/>
    <n v="10"/>
    <n v="30"/>
    <n v="0"/>
    <n v="0.01"/>
    <n v="10"/>
    <n v="0"/>
    <n v="1"/>
    <n v="1"/>
    <n v="0"/>
  </r>
  <r>
    <x v="1243"/>
    <n v="20"/>
    <n v="30"/>
    <n v="0"/>
    <n v="0.02"/>
    <n v="20"/>
    <n v="0"/>
    <n v="1"/>
    <n v="1"/>
    <n v="0"/>
  </r>
  <r>
    <x v="1244"/>
    <n v="20"/>
    <n v="20"/>
    <n v="0"/>
    <n v="0.02"/>
    <n v="30"/>
    <n v="0"/>
    <n v="3"/>
    <n v="3"/>
    <n v="0"/>
  </r>
  <r>
    <x v="1245"/>
    <n v="1"/>
    <n v="30"/>
    <n v="0"/>
    <n v="0.01"/>
    <n v="1"/>
    <n v="0"/>
    <n v="1"/>
    <n v="1"/>
    <n v="0"/>
  </r>
  <r>
    <x v="1246"/>
    <n v="1"/>
    <n v="30"/>
    <n v="0"/>
    <n v="0.03"/>
    <n v="1"/>
    <n v="0"/>
    <n v="1"/>
    <n v="1"/>
    <n v="0"/>
  </r>
  <r>
    <x v="1247"/>
    <n v="3"/>
    <n v="30"/>
    <n v="0"/>
    <n v="0.03"/>
    <n v="3"/>
    <n v="0"/>
    <n v="3"/>
    <n v="3"/>
    <n v="0"/>
  </r>
  <r>
    <x v="1248"/>
    <n v="2"/>
    <n v="30"/>
    <n v="0"/>
    <n v="0.03"/>
    <n v="2"/>
    <n v="0"/>
    <n v="2"/>
    <n v="2"/>
    <n v="0"/>
  </r>
  <r>
    <x v="1249"/>
    <n v="20"/>
    <n v="30"/>
    <n v="0"/>
    <n v="0.03"/>
    <n v="20"/>
    <n v="0"/>
    <n v="2"/>
    <n v="1"/>
    <n v="0"/>
  </r>
  <r>
    <x v="1250"/>
    <n v="60"/>
    <n v="22"/>
    <n v="0"/>
    <n v="0.03"/>
    <n v="80"/>
    <n v="0"/>
    <n v="3"/>
    <n v="3"/>
    <n v="0"/>
  </r>
  <r>
    <x v="1251"/>
    <n v="2"/>
    <n v="30"/>
    <n v="0"/>
    <n v="0.03"/>
    <n v="2"/>
    <n v="0"/>
    <n v="2"/>
    <n v="2"/>
    <n v="0"/>
  </r>
  <r>
    <x v="1252"/>
    <n v="1"/>
    <n v="30"/>
    <n v="0"/>
    <n v="0.01"/>
    <n v="1"/>
    <n v="0"/>
    <n v="1"/>
    <n v="1"/>
    <n v="0"/>
  </r>
  <r>
    <x v="1253"/>
    <n v="1"/>
    <n v="30"/>
    <n v="0"/>
    <n v="0.01"/>
    <n v="1"/>
    <n v="0"/>
    <n v="1"/>
    <n v="1"/>
    <n v="0"/>
  </r>
  <r>
    <x v="1254"/>
    <n v="1"/>
    <n v="30"/>
    <n v="0"/>
    <n v="0.01"/>
    <n v="1"/>
    <n v="0"/>
    <n v="1"/>
    <n v="1"/>
    <n v="0"/>
  </r>
  <r>
    <x v="1255"/>
    <n v="15"/>
    <n v="30"/>
    <n v="0"/>
    <n v="0"/>
    <n v="15"/>
    <n v="0"/>
    <n v="1"/>
    <n v="1"/>
    <n v="0"/>
  </r>
  <r>
    <x v="1256"/>
    <n v="30"/>
    <n v="30"/>
    <n v="0"/>
    <n v="0.02"/>
    <n v="30"/>
    <n v="0"/>
    <n v="2"/>
    <n v="2"/>
    <n v="0"/>
  </r>
  <r>
    <x v="1257"/>
    <n v="15"/>
    <n v="30"/>
    <n v="0"/>
    <n v="0.03"/>
    <n v="15"/>
    <n v="0"/>
    <n v="1"/>
    <n v="1"/>
    <n v="0"/>
  </r>
  <r>
    <x v="1258"/>
    <n v="120"/>
    <n v="30"/>
    <n v="0"/>
    <n v="0.01"/>
    <n v="120"/>
    <n v="0"/>
    <n v="1"/>
    <n v="1"/>
    <n v="0"/>
  </r>
  <r>
    <x v="1259"/>
    <n v="30"/>
    <n v="30"/>
    <n v="0"/>
    <n v="0.02"/>
    <n v="30"/>
    <n v="0"/>
    <n v="1"/>
    <n v="1"/>
    <n v="0"/>
  </r>
  <r>
    <x v="1260"/>
    <n v="100"/>
    <n v="27"/>
    <n v="0"/>
    <n v="0.01"/>
    <n v="110"/>
    <n v="0"/>
    <n v="6"/>
    <n v="5"/>
    <n v="0"/>
  </r>
  <r>
    <x v="1261"/>
    <n v="2"/>
    <n v="30"/>
    <n v="0"/>
    <n v="0.02"/>
    <n v="2"/>
    <n v="0"/>
    <n v="2"/>
    <n v="2"/>
    <n v="0"/>
  </r>
  <r>
    <x v="1262"/>
    <n v="45"/>
    <n v="22"/>
    <n v="0"/>
    <n v="0.01"/>
    <n v="60"/>
    <n v="0"/>
    <n v="3"/>
    <n v="3"/>
    <n v="0"/>
  </r>
  <r>
    <x v="1263"/>
    <n v="53"/>
    <n v="27"/>
    <n v="0"/>
    <n v="0.02"/>
    <n v="57"/>
    <n v="0"/>
    <n v="9"/>
    <n v="7"/>
    <n v="0"/>
  </r>
  <r>
    <x v="1264"/>
    <n v="10"/>
    <n v="30"/>
    <n v="0"/>
    <n v="0.01"/>
    <n v="10"/>
    <n v="0"/>
    <n v="1"/>
    <n v="1"/>
    <n v="0"/>
  </r>
  <r>
    <x v="1265"/>
    <n v="2"/>
    <n v="30"/>
    <n v="0"/>
    <n v="0.01"/>
    <n v="2"/>
    <n v="0"/>
    <n v="2"/>
    <n v="2"/>
    <n v="0"/>
  </r>
  <r>
    <x v="1266"/>
    <n v="10"/>
    <n v="30"/>
    <n v="0"/>
    <n v="0.02"/>
    <n v="10"/>
    <n v="0"/>
    <n v="1"/>
    <n v="1"/>
    <n v="0"/>
  </r>
  <r>
    <x v="495"/>
    <n v="19476"/>
    <n v="14895"/>
    <n v="3.4999999999999694"/>
    <n v="26.790000000000209"/>
    <n v="24099"/>
    <n v="0"/>
    <n v="2015"/>
    <n v="1727"/>
    <n v="0"/>
  </r>
  <r>
    <x v="496"/>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3">
  <r>
    <x v="0"/>
    <n v="3"/>
    <n v="4"/>
    <n v="0.08"/>
    <n v="0.55000000000000004"/>
    <n v="19"/>
    <n v="0"/>
    <n v="16"/>
    <n v="12"/>
    <n v="0"/>
  </r>
  <r>
    <x v="1"/>
    <n v="0"/>
    <n v="0"/>
    <n v="7.0000000000000007E-2"/>
    <n v="0.48"/>
    <n v="12"/>
    <n v="0"/>
    <n v="7"/>
    <n v="6"/>
    <n v="0"/>
  </r>
  <r>
    <x v="2"/>
    <n v="2"/>
    <n v="4"/>
    <n v="0.06"/>
    <n v="0.4"/>
    <n v="14"/>
    <n v="0"/>
    <n v="11"/>
    <n v="9"/>
    <n v="0"/>
  </r>
  <r>
    <x v="3"/>
    <n v="1"/>
    <n v="2"/>
    <n v="0.05"/>
    <n v="0.33"/>
    <n v="11"/>
    <n v="0"/>
    <n v="9"/>
    <n v="7"/>
    <n v="0"/>
  </r>
  <r>
    <x v="4"/>
    <n v="-3"/>
    <n v="0"/>
    <n v="0.05"/>
    <n v="0.35"/>
    <n v="7"/>
    <n v="0"/>
    <n v="5"/>
    <n v="5"/>
    <n v="0"/>
  </r>
  <r>
    <x v="5"/>
    <n v="-1"/>
    <n v="0"/>
    <n v="0.05"/>
    <n v="0.32"/>
    <n v="4"/>
    <n v="0"/>
    <n v="4"/>
    <n v="4"/>
    <n v="0"/>
  </r>
  <r>
    <x v="6"/>
    <n v="40"/>
    <n v="4"/>
    <n v="0.05"/>
    <n v="0.33"/>
    <n v="290"/>
    <n v="0"/>
    <n v="18"/>
    <n v="13"/>
    <n v="0"/>
  </r>
  <r>
    <x v="7"/>
    <n v="0"/>
    <n v="0"/>
    <n v="0.05"/>
    <n v="0.36"/>
    <n v="9"/>
    <n v="0"/>
    <n v="6"/>
    <n v="5"/>
    <n v="0"/>
  </r>
  <r>
    <x v="8"/>
    <n v="1"/>
    <n v="1"/>
    <n v="0.04"/>
    <n v="0.3"/>
    <n v="16"/>
    <n v="0"/>
    <n v="16"/>
    <n v="12"/>
    <n v="0"/>
  </r>
  <r>
    <x v="9"/>
    <n v="15"/>
    <n v="3"/>
    <n v="0.03"/>
    <n v="0.2"/>
    <n v="120"/>
    <n v="0"/>
    <n v="8"/>
    <n v="7"/>
    <n v="0"/>
  </r>
  <r>
    <x v="10"/>
    <n v="30"/>
    <n v="4"/>
    <n v="0.03"/>
    <n v="0.23"/>
    <n v="210"/>
    <n v="0"/>
    <n v="10"/>
    <n v="9"/>
    <n v="0"/>
  </r>
  <r>
    <x v="11"/>
    <n v="20"/>
    <n v="2"/>
    <n v="0.03"/>
    <n v="0.2"/>
    <n v="220"/>
    <n v="0"/>
    <n v="16"/>
    <n v="13"/>
    <n v="0"/>
  </r>
  <r>
    <x v="12"/>
    <n v="-14"/>
    <n v="0"/>
    <n v="0.03"/>
    <n v="0.22"/>
    <n v="105"/>
    <n v="0"/>
    <n v="4"/>
    <n v="3"/>
    <n v="0"/>
  </r>
  <r>
    <x v="13"/>
    <n v="0"/>
    <n v="0"/>
    <n v="0.02"/>
    <n v="0.15"/>
    <n v="50"/>
    <n v="0"/>
    <n v="3"/>
    <n v="3"/>
    <n v="0"/>
  </r>
  <r>
    <x v="14"/>
    <n v="0"/>
    <n v="0"/>
    <n v="0.02"/>
    <n v="0.12"/>
    <n v="60"/>
    <n v="0"/>
    <n v="3"/>
    <n v="3"/>
    <n v="0"/>
  </r>
  <r>
    <x v="15"/>
    <n v="-28"/>
    <n v="0"/>
    <n v="0.02"/>
    <n v="0.11"/>
    <n v="18"/>
    <n v="0"/>
    <n v="17"/>
    <n v="11"/>
    <n v="0"/>
  </r>
  <r>
    <x v="16"/>
    <n v="0"/>
    <n v="0"/>
    <n v="0.02"/>
    <n v="0.15"/>
    <n v="80"/>
    <n v="0"/>
    <n v="7"/>
    <n v="7"/>
    <n v="0"/>
  </r>
  <r>
    <x v="17"/>
    <n v="50"/>
    <n v="7"/>
    <n v="0.02"/>
    <n v="0.14000000000000001"/>
    <n v="190"/>
    <n v="0"/>
    <n v="12"/>
    <n v="9"/>
    <n v="0"/>
  </r>
  <r>
    <x v="18"/>
    <n v="-10"/>
    <n v="0"/>
    <n v="0.02"/>
    <n v="0.14000000000000001"/>
    <n v="20"/>
    <n v="0"/>
    <n v="2"/>
    <n v="2"/>
    <n v="0"/>
  </r>
  <r>
    <x v="19"/>
    <n v="-16"/>
    <n v="0"/>
    <n v="0.02"/>
    <n v="0.14000000000000001"/>
    <n v="20"/>
    <n v="0"/>
    <n v="19"/>
    <n v="14"/>
    <n v="0"/>
  </r>
  <r>
    <x v="20"/>
    <n v="-11"/>
    <n v="0"/>
    <n v="0.02"/>
    <n v="0.11"/>
    <n v="4"/>
    <n v="0"/>
    <n v="3"/>
    <n v="3"/>
    <n v="0"/>
  </r>
  <r>
    <x v="21"/>
    <n v="-5"/>
    <n v="0"/>
    <n v="0.02"/>
    <n v="0.14000000000000001"/>
    <n v="3"/>
    <n v="0"/>
    <n v="2"/>
    <n v="2"/>
    <n v="0"/>
  </r>
  <r>
    <x v="22"/>
    <n v="1"/>
    <n v="3"/>
    <n v="0.02"/>
    <n v="0.14000000000000001"/>
    <n v="8"/>
    <n v="0"/>
    <n v="7"/>
    <n v="7"/>
    <n v="0"/>
  </r>
  <r>
    <x v="23"/>
    <n v="-2"/>
    <n v="0"/>
    <n v="0.02"/>
    <n v="0.13"/>
    <n v="3"/>
    <n v="0"/>
    <n v="3"/>
    <n v="3"/>
    <n v="0"/>
  </r>
  <r>
    <x v="24"/>
    <n v="15"/>
    <n v="5"/>
    <n v="0.02"/>
    <n v="0.14000000000000001"/>
    <n v="90"/>
    <n v="0"/>
    <n v="5"/>
    <n v="5"/>
    <n v="0"/>
  </r>
  <r>
    <x v="25"/>
    <n v="10"/>
    <n v="5"/>
    <n v="0.02"/>
    <n v="0.13"/>
    <n v="60"/>
    <n v="0"/>
    <n v="3"/>
    <n v="3"/>
    <n v="0"/>
  </r>
  <r>
    <x v="26"/>
    <n v="1"/>
    <n v="2"/>
    <n v="0.02"/>
    <n v="0.12"/>
    <n v="13"/>
    <n v="0"/>
    <n v="13"/>
    <n v="10"/>
    <n v="0"/>
  </r>
  <r>
    <x v="27"/>
    <n v="-45"/>
    <n v="0"/>
    <n v="0.02"/>
    <n v="0.1"/>
    <n v="120"/>
    <n v="0"/>
    <n v="6"/>
    <n v="6"/>
    <n v="0"/>
  </r>
  <r>
    <x v="28"/>
    <n v="40"/>
    <n v="6"/>
    <n v="0.02"/>
    <n v="0.16"/>
    <n v="180"/>
    <n v="0"/>
    <n v="11"/>
    <n v="11"/>
    <n v="0"/>
  </r>
  <r>
    <x v="29"/>
    <n v="-45"/>
    <n v="0"/>
    <n v="0.02"/>
    <n v="0.13"/>
    <n v="90"/>
    <n v="0"/>
    <n v="6"/>
    <n v="5"/>
    <n v="0"/>
  </r>
  <r>
    <x v="30"/>
    <n v="0"/>
    <n v="0"/>
    <n v="0.02"/>
    <n v="0.17"/>
    <n v="9"/>
    <n v="0"/>
    <n v="9"/>
    <n v="9"/>
    <n v="0"/>
  </r>
  <r>
    <x v="31"/>
    <n v="0"/>
    <n v="0"/>
    <n v="0.02"/>
    <n v="0.13"/>
    <n v="2"/>
    <n v="0"/>
    <n v="2"/>
    <n v="2"/>
    <n v="0"/>
  </r>
  <r>
    <x v="32"/>
    <n v="1"/>
    <n v="1"/>
    <n v="0.02"/>
    <n v="0.14000000000000001"/>
    <n v="17"/>
    <n v="0"/>
    <n v="17"/>
    <n v="11"/>
    <n v="0"/>
  </r>
  <r>
    <x v="33"/>
    <n v="-12"/>
    <n v="0"/>
    <n v="0.02"/>
    <n v="0.12"/>
    <n v="4"/>
    <n v="0"/>
    <n v="4"/>
    <n v="4"/>
    <n v="0"/>
  </r>
  <r>
    <x v="34"/>
    <n v="0"/>
    <n v="0"/>
    <n v="0.02"/>
    <n v="0.12"/>
    <n v="2"/>
    <n v="0"/>
    <n v="2"/>
    <n v="2"/>
    <n v="0"/>
  </r>
  <r>
    <x v="35"/>
    <n v="0"/>
    <n v="0"/>
    <n v="0.02"/>
    <n v="0.12"/>
    <n v="4"/>
    <n v="0"/>
    <n v="4"/>
    <n v="4"/>
    <n v="0"/>
  </r>
  <r>
    <x v="36"/>
    <n v="50"/>
    <n v="5"/>
    <n v="0.02"/>
    <n v="0.14000000000000001"/>
    <n v="260"/>
    <n v="0"/>
    <n v="17"/>
    <n v="13"/>
    <n v="0"/>
  </r>
  <r>
    <x v="37"/>
    <n v="3"/>
    <n v="5"/>
    <n v="0.02"/>
    <n v="0.14000000000000001"/>
    <n v="16"/>
    <n v="0"/>
    <n v="13"/>
    <n v="11"/>
    <n v="0"/>
  </r>
  <r>
    <x v="38"/>
    <n v="0"/>
    <n v="0"/>
    <n v="0.02"/>
    <n v="0.12"/>
    <n v="105"/>
    <n v="0"/>
    <n v="3"/>
    <n v="3"/>
    <n v="0"/>
  </r>
  <r>
    <x v="39"/>
    <n v="-10"/>
    <n v="0"/>
    <n v="0.02"/>
    <n v="0.17"/>
    <n v="60"/>
    <n v="0"/>
    <n v="5"/>
    <n v="5"/>
    <n v="0"/>
  </r>
  <r>
    <x v="40"/>
    <n v="0"/>
    <n v="0"/>
    <n v="0.02"/>
    <n v="0.11"/>
    <n v="30"/>
    <n v="0"/>
    <n v="3"/>
    <n v="3"/>
    <n v="0"/>
  </r>
  <r>
    <x v="41"/>
    <n v="0"/>
    <n v="0"/>
    <n v="0.02"/>
    <n v="0.16"/>
    <n v="3"/>
    <n v="0"/>
    <n v="1"/>
    <n v="1"/>
    <n v="0"/>
  </r>
  <r>
    <x v="42"/>
    <n v="-10"/>
    <n v="0"/>
    <n v="0.02"/>
    <n v="0.16"/>
    <n v="110"/>
    <n v="0"/>
    <n v="10"/>
    <n v="10"/>
    <n v="0"/>
  </r>
  <r>
    <x v="43"/>
    <n v="-60"/>
    <n v="0"/>
    <n v="0.02"/>
    <n v="0.12"/>
    <n v="90"/>
    <n v="0"/>
    <n v="3"/>
    <n v="3"/>
    <n v="0"/>
  </r>
  <r>
    <x v="44"/>
    <n v="0"/>
    <n v="0"/>
    <n v="0.01"/>
    <n v="0.05"/>
    <n v="1"/>
    <n v="0"/>
    <n v="1"/>
    <n v="1"/>
    <n v="0"/>
  </r>
  <r>
    <x v="45"/>
    <n v="0"/>
    <n v="0"/>
    <n v="0.01"/>
    <n v="0.06"/>
    <n v="50"/>
    <n v="0"/>
    <n v="4"/>
    <n v="4"/>
    <n v="0"/>
  </r>
  <r>
    <x v="46"/>
    <n v="-15"/>
    <n v="0"/>
    <n v="0.01"/>
    <n v="0.04"/>
    <n v="60"/>
    <n v="0"/>
    <n v="3"/>
    <n v="3"/>
    <n v="0"/>
  </r>
  <r>
    <x v="47"/>
    <n v="1"/>
    <n v="6"/>
    <n v="0.01"/>
    <n v="0.04"/>
    <n v="5"/>
    <n v="0"/>
    <n v="7"/>
    <n v="6"/>
    <n v="0"/>
  </r>
  <r>
    <x v="48"/>
    <n v="0"/>
    <n v="0"/>
    <n v="0.01"/>
    <n v="0.05"/>
    <n v="1"/>
    <n v="0"/>
    <n v="1"/>
    <n v="1"/>
    <n v="0"/>
  </r>
  <r>
    <x v="49"/>
    <n v="0"/>
    <n v="0"/>
    <n v="0.01"/>
    <n v="0.08"/>
    <n v="4"/>
    <n v="0"/>
    <n v="4"/>
    <n v="4"/>
    <n v="0"/>
  </r>
  <r>
    <x v="50"/>
    <n v="0"/>
    <n v="0"/>
    <n v="0.01"/>
    <n v="0.09"/>
    <n v="50"/>
    <n v="0"/>
    <n v="5"/>
    <n v="5"/>
    <n v="0"/>
  </r>
  <r>
    <x v="51"/>
    <n v="0"/>
    <n v="0"/>
    <n v="0.01"/>
    <n v="0.05"/>
    <n v="4"/>
    <n v="0"/>
    <n v="4"/>
    <n v="3"/>
    <n v="0"/>
  </r>
  <r>
    <x v="52"/>
    <n v="-20"/>
    <n v="0"/>
    <n v="0.01"/>
    <n v="0.09"/>
    <n v="7"/>
    <n v="0"/>
    <n v="7"/>
    <n v="7"/>
    <n v="0"/>
  </r>
  <r>
    <x v="53"/>
    <n v="0"/>
    <n v="0"/>
    <n v="0.01"/>
    <n v="0.09"/>
    <n v="70"/>
    <n v="0"/>
    <n v="3"/>
    <n v="3"/>
    <n v="0"/>
  </r>
  <r>
    <x v="54"/>
    <n v="0"/>
    <n v="0"/>
    <n v="0.01"/>
    <n v="7.0000000000000007E-2"/>
    <n v="60"/>
    <n v="0"/>
    <n v="2"/>
    <n v="2"/>
    <n v="0"/>
  </r>
  <r>
    <x v="55"/>
    <n v="15"/>
    <n v="5"/>
    <n v="0.01"/>
    <n v="0.04"/>
    <n v="90"/>
    <n v="0"/>
    <n v="3"/>
    <n v="3"/>
    <n v="0"/>
  </r>
  <r>
    <x v="56"/>
    <n v="-5"/>
    <n v="0"/>
    <n v="0.01"/>
    <n v="0.05"/>
    <n v="1"/>
    <n v="0"/>
    <n v="1"/>
    <n v="1"/>
    <n v="0"/>
  </r>
  <r>
    <x v="57"/>
    <n v="1"/>
    <n v="5"/>
    <n v="0.01"/>
    <n v="0.04"/>
    <n v="6"/>
    <n v="0"/>
    <n v="6"/>
    <n v="5"/>
    <n v="0"/>
  </r>
  <r>
    <x v="58"/>
    <n v="-1"/>
    <n v="0"/>
    <n v="0.01"/>
    <n v="0.04"/>
    <n v="1"/>
    <n v="0"/>
    <n v="1"/>
    <n v="1"/>
    <n v="0"/>
  </r>
  <r>
    <x v="59"/>
    <n v="-1"/>
    <n v="0"/>
    <n v="0.01"/>
    <n v="0.05"/>
    <n v="1"/>
    <n v="0"/>
    <n v="1"/>
    <n v="1"/>
    <n v="0"/>
  </r>
  <r>
    <x v="60"/>
    <n v="-30"/>
    <n v="0"/>
    <n v="0.01"/>
    <n v="0.04"/>
    <n v="20"/>
    <n v="0"/>
    <n v="2"/>
    <n v="2"/>
    <n v="0"/>
  </r>
  <r>
    <x v="61"/>
    <n v="10"/>
    <n v="3"/>
    <n v="0.01"/>
    <n v="0.06"/>
    <n v="80"/>
    <n v="0"/>
    <n v="5"/>
    <n v="3"/>
    <n v="0"/>
  </r>
  <r>
    <x v="62"/>
    <n v="0"/>
    <n v="0"/>
    <n v="0.01"/>
    <n v="0.04"/>
    <n v="2"/>
    <n v="0"/>
    <n v="2"/>
    <n v="2"/>
    <n v="0"/>
  </r>
  <r>
    <x v="63"/>
    <n v="0"/>
    <n v="0"/>
    <n v="0.01"/>
    <n v="0.1"/>
    <n v="420"/>
    <n v="0"/>
    <n v="7"/>
    <n v="6"/>
    <n v="0"/>
  </r>
  <r>
    <x v="64"/>
    <n v="-8"/>
    <n v="0"/>
    <n v="0.01"/>
    <n v="0.06"/>
    <n v="5"/>
    <n v="0"/>
    <n v="5"/>
    <n v="5"/>
    <n v="0"/>
  </r>
  <r>
    <x v="65"/>
    <n v="0"/>
    <n v="0"/>
    <n v="0.01"/>
    <n v="0.05"/>
    <n v="5"/>
    <n v="0"/>
    <n v="3"/>
    <n v="3"/>
    <n v="0"/>
  </r>
  <r>
    <x v="66"/>
    <n v="-3"/>
    <n v="0"/>
    <n v="0.01"/>
    <n v="0.08"/>
    <n v="2"/>
    <n v="0"/>
    <n v="2"/>
    <n v="2"/>
    <n v="0"/>
  </r>
  <r>
    <x v="67"/>
    <n v="-2"/>
    <n v="0"/>
    <n v="0.01"/>
    <n v="0.04"/>
    <n v="1"/>
    <n v="0"/>
    <n v="1"/>
    <n v="1"/>
    <n v="0"/>
  </r>
  <r>
    <x v="68"/>
    <n v="0"/>
    <n v="0"/>
    <n v="0.01"/>
    <n v="0.1"/>
    <n v="1"/>
    <n v="0"/>
    <n v="1"/>
    <n v="1"/>
    <n v="0"/>
  </r>
  <r>
    <x v="69"/>
    <n v="0"/>
    <n v="0"/>
    <n v="0.01"/>
    <n v="0.06"/>
    <n v="5"/>
    <n v="0"/>
    <n v="5"/>
    <n v="3"/>
    <n v="0"/>
  </r>
  <r>
    <x v="70"/>
    <n v="-1"/>
    <n v="0"/>
    <n v="0.01"/>
    <n v="0.05"/>
    <n v="2"/>
    <n v="0"/>
    <n v="2"/>
    <n v="2"/>
    <n v="0"/>
  </r>
  <r>
    <x v="71"/>
    <n v="-20"/>
    <n v="0"/>
    <n v="0.01"/>
    <n v="7.0000000000000007E-2"/>
    <n v="30"/>
    <n v="0"/>
    <n v="2"/>
    <n v="2"/>
    <n v="0"/>
  </r>
  <r>
    <x v="72"/>
    <n v="0"/>
    <n v="0"/>
    <n v="0.01"/>
    <n v="0.04"/>
    <n v="10"/>
    <n v="0"/>
    <n v="1"/>
    <n v="1"/>
    <n v="0"/>
  </r>
  <r>
    <x v="73"/>
    <n v="0"/>
    <n v="0"/>
    <n v="0.01"/>
    <n v="0.03"/>
    <n v="4"/>
    <n v="0"/>
    <n v="1"/>
    <n v="1"/>
    <n v="0"/>
  </r>
  <r>
    <x v="74"/>
    <n v="0"/>
    <n v="0"/>
    <n v="0.01"/>
    <n v="0.05"/>
    <n v="20"/>
    <n v="0"/>
    <n v="1"/>
    <n v="1"/>
    <n v="0"/>
  </r>
  <r>
    <x v="75"/>
    <n v="7"/>
    <n v="4"/>
    <n v="0.01"/>
    <n v="0.06"/>
    <n v="49"/>
    <n v="0"/>
    <n v="4"/>
    <n v="4"/>
    <n v="0"/>
  </r>
  <r>
    <x v="76"/>
    <n v="-40"/>
    <n v="0"/>
    <n v="0.01"/>
    <n v="0.05"/>
    <n v="40"/>
    <n v="0"/>
    <n v="4"/>
    <n v="3"/>
    <n v="0"/>
  </r>
  <r>
    <x v="77"/>
    <n v="0"/>
    <n v="0"/>
    <n v="0.01"/>
    <n v="0.04"/>
    <n v="30"/>
    <n v="0"/>
    <n v="1"/>
    <n v="1"/>
    <n v="0"/>
  </r>
  <r>
    <x v="78"/>
    <n v="0"/>
    <n v="0"/>
    <n v="0.01"/>
    <n v="0.04"/>
    <n v="80"/>
    <n v="0"/>
    <n v="5"/>
    <n v="3"/>
    <n v="0"/>
  </r>
  <r>
    <x v="79"/>
    <n v="0"/>
    <n v="0"/>
    <n v="0.01"/>
    <n v="7.0000000000000007E-2"/>
    <n v="10"/>
    <n v="0"/>
    <n v="1"/>
    <n v="1"/>
    <n v="0"/>
  </r>
  <r>
    <x v="80"/>
    <n v="0"/>
    <n v="0"/>
    <n v="0.01"/>
    <n v="0.06"/>
    <n v="2"/>
    <n v="0"/>
    <n v="2"/>
    <n v="2"/>
    <n v="0"/>
  </r>
  <r>
    <x v="81"/>
    <n v="-116"/>
    <n v="0"/>
    <n v="0.01"/>
    <n v="7.0000000000000007E-2"/>
    <n v="61"/>
    <n v="0"/>
    <n v="10"/>
    <n v="9"/>
    <n v="0"/>
  </r>
  <r>
    <x v="82"/>
    <n v="0"/>
    <n v="0"/>
    <n v="0.01"/>
    <n v="0.04"/>
    <n v="2"/>
    <n v="0"/>
    <n v="2"/>
    <n v="2"/>
    <n v="0"/>
  </r>
  <r>
    <x v="83"/>
    <n v="-5"/>
    <n v="0"/>
    <n v="0.01"/>
    <n v="0.05"/>
    <n v="3"/>
    <n v="0"/>
    <n v="3"/>
    <n v="2"/>
    <n v="0"/>
  </r>
  <r>
    <x v="84"/>
    <n v="10"/>
    <n v="3"/>
    <n v="0.01"/>
    <n v="0.04"/>
    <n v="100"/>
    <n v="0"/>
    <n v="6"/>
    <n v="5"/>
    <n v="0"/>
  </r>
  <r>
    <x v="85"/>
    <n v="-30"/>
    <n v="0"/>
    <n v="0.01"/>
    <n v="0.06"/>
    <n v="90"/>
    <n v="0"/>
    <n v="4"/>
    <n v="3"/>
    <n v="0"/>
  </r>
  <r>
    <x v="86"/>
    <n v="0"/>
    <n v="0"/>
    <n v="0.01"/>
    <n v="0.05"/>
    <n v="20"/>
    <n v="0"/>
    <n v="1"/>
    <n v="1"/>
    <n v="0"/>
  </r>
  <r>
    <x v="87"/>
    <n v="10"/>
    <n v="4"/>
    <n v="0.01"/>
    <n v="0.05"/>
    <n v="70"/>
    <n v="0"/>
    <n v="2"/>
    <n v="2"/>
    <n v="0"/>
  </r>
  <r>
    <x v="88"/>
    <n v="0"/>
    <n v="0"/>
    <n v="0.01"/>
    <n v="0.06"/>
    <n v="1"/>
    <n v="0"/>
    <n v="1"/>
    <n v="1"/>
    <n v="0"/>
  </r>
  <r>
    <x v="89"/>
    <n v="-1"/>
    <n v="0"/>
    <n v="0.01"/>
    <n v="0.04"/>
    <n v="1"/>
    <n v="0"/>
    <n v="1"/>
    <n v="1"/>
    <n v="0"/>
  </r>
  <r>
    <x v="90"/>
    <n v="-2"/>
    <n v="0"/>
    <n v="0.01"/>
    <n v="7.0000000000000007E-2"/>
    <n v="2"/>
    <n v="0"/>
    <n v="2"/>
    <n v="2"/>
    <n v="0"/>
  </r>
  <r>
    <x v="91"/>
    <n v="-9"/>
    <n v="0"/>
    <n v="0.01"/>
    <n v="0.06"/>
    <n v="3"/>
    <n v="0"/>
    <n v="3"/>
    <n v="2"/>
    <n v="0"/>
  </r>
  <r>
    <x v="92"/>
    <n v="-8"/>
    <n v="0"/>
    <n v="0.01"/>
    <n v="0.05"/>
    <n v="5"/>
    <n v="0"/>
    <n v="5"/>
    <n v="5"/>
    <n v="0"/>
  </r>
  <r>
    <x v="93"/>
    <n v="0"/>
    <n v="0"/>
    <n v="0.01"/>
    <n v="0.06"/>
    <n v="3"/>
    <n v="0"/>
    <n v="3"/>
    <n v="3"/>
    <n v="0"/>
  </r>
  <r>
    <x v="94"/>
    <n v="0"/>
    <n v="0"/>
    <n v="0.01"/>
    <n v="0.04"/>
    <n v="3"/>
    <n v="0"/>
    <n v="3"/>
    <n v="3"/>
    <n v="0"/>
  </r>
  <r>
    <x v="95"/>
    <n v="-15"/>
    <n v="0"/>
    <n v="0.01"/>
    <n v="0.06"/>
    <n v="75"/>
    <n v="0"/>
    <n v="4"/>
    <n v="4"/>
    <n v="0"/>
  </r>
  <r>
    <x v="96"/>
    <n v="40"/>
    <n v="6"/>
    <n v="0.01"/>
    <n v="0.05"/>
    <n v="190"/>
    <n v="0"/>
    <n v="9"/>
    <n v="7"/>
    <n v="0"/>
  </r>
  <r>
    <x v="97"/>
    <n v="0"/>
    <n v="0"/>
    <n v="0.01"/>
    <n v="0.05"/>
    <n v="45"/>
    <n v="0"/>
    <n v="2"/>
    <n v="2"/>
    <n v="0"/>
  </r>
  <r>
    <x v="98"/>
    <n v="-3"/>
    <n v="0"/>
    <n v="0.01"/>
    <n v="0.04"/>
    <n v="1"/>
    <n v="0"/>
    <n v="1"/>
    <n v="1"/>
    <n v="0"/>
  </r>
  <r>
    <x v="99"/>
    <n v="-30"/>
    <n v="0"/>
    <n v="0.01"/>
    <n v="0.04"/>
    <n v="30"/>
    <n v="0"/>
    <n v="1"/>
    <n v="1"/>
    <n v="0"/>
  </r>
  <r>
    <x v="100"/>
    <n v="30"/>
    <n v="7"/>
    <n v="0.01"/>
    <n v="0.08"/>
    <n v="120"/>
    <n v="0"/>
    <n v="5"/>
    <n v="5"/>
    <n v="0"/>
  </r>
  <r>
    <x v="101"/>
    <n v="-70"/>
    <n v="0"/>
    <n v="0.01"/>
    <n v="0.09"/>
    <n v="170"/>
    <n v="0"/>
    <n v="11"/>
    <n v="9"/>
    <n v="0"/>
  </r>
  <r>
    <x v="102"/>
    <n v="0"/>
    <n v="0"/>
    <n v="0.01"/>
    <n v="0.05"/>
    <n v="8"/>
    <n v="0"/>
    <n v="1"/>
    <n v="1"/>
    <n v="0"/>
  </r>
  <r>
    <x v="103"/>
    <n v="1"/>
    <n v="6"/>
    <n v="0.01"/>
    <n v="0.04"/>
    <n v="5"/>
    <n v="0"/>
    <n v="5"/>
    <n v="5"/>
    <n v="0"/>
  </r>
  <r>
    <x v="104"/>
    <n v="13"/>
    <n v="6"/>
    <n v="0.01"/>
    <n v="7.0000000000000007E-2"/>
    <n v="60"/>
    <n v="0"/>
    <n v="6"/>
    <n v="6"/>
    <n v="0"/>
  </r>
  <r>
    <x v="105"/>
    <n v="0"/>
    <n v="0"/>
    <n v="0.01"/>
    <n v="7.0000000000000007E-2"/>
    <n v="40"/>
    <n v="0"/>
    <n v="4"/>
    <n v="4"/>
    <n v="0"/>
  </r>
  <r>
    <x v="106"/>
    <n v="10"/>
    <n v="3"/>
    <n v="0.01"/>
    <n v="0.06"/>
    <n v="90"/>
    <n v="0"/>
    <n v="2"/>
    <n v="2"/>
    <n v="0"/>
  </r>
  <r>
    <x v="107"/>
    <n v="-15"/>
    <n v="0"/>
    <n v="0.01"/>
    <n v="0.08"/>
    <n v="60"/>
    <n v="0"/>
    <n v="4"/>
    <n v="4"/>
    <n v="0"/>
  </r>
  <r>
    <x v="108"/>
    <n v="10"/>
    <n v="5"/>
    <n v="0.01"/>
    <n v="0.06"/>
    <n v="60"/>
    <n v="0"/>
    <n v="3"/>
    <n v="2"/>
    <n v="0"/>
  </r>
  <r>
    <x v="109"/>
    <n v="0"/>
    <n v="0"/>
    <n v="0.01"/>
    <n v="0.06"/>
    <n v="6"/>
    <n v="0"/>
    <n v="6"/>
    <n v="5"/>
    <n v="0"/>
  </r>
  <r>
    <x v="110"/>
    <n v="0"/>
    <n v="0"/>
    <n v="0.01"/>
    <n v="0.06"/>
    <n v="45"/>
    <n v="0"/>
    <n v="1"/>
    <n v="1"/>
    <n v="0"/>
  </r>
  <r>
    <x v="111"/>
    <n v="10"/>
    <n v="3"/>
    <n v="0.01"/>
    <n v="7.0000000000000007E-2"/>
    <n v="80"/>
    <n v="0"/>
    <n v="6"/>
    <n v="5"/>
    <n v="0"/>
  </r>
  <r>
    <x v="112"/>
    <n v="0"/>
    <n v="0"/>
    <n v="0.01"/>
    <n v="0.05"/>
    <n v="110"/>
    <n v="0"/>
    <n v="4"/>
    <n v="3"/>
    <n v="0"/>
  </r>
  <r>
    <x v="113"/>
    <n v="-34"/>
    <n v="0"/>
    <n v="0.01"/>
    <n v="0.08"/>
    <n v="39"/>
    <n v="0"/>
    <n v="7"/>
    <n v="7"/>
    <n v="0"/>
  </r>
  <r>
    <x v="114"/>
    <n v="1"/>
    <n v="7"/>
    <n v="0.01"/>
    <n v="0.05"/>
    <n v="4"/>
    <n v="0"/>
    <n v="4"/>
    <n v="4"/>
    <n v="0"/>
  </r>
  <r>
    <x v="115"/>
    <n v="1"/>
    <n v="7"/>
    <n v="0.01"/>
    <n v="0.06"/>
    <n v="4"/>
    <n v="0"/>
    <n v="4"/>
    <n v="3"/>
    <n v="0"/>
  </r>
  <r>
    <x v="116"/>
    <n v="0"/>
    <n v="0"/>
    <n v="0.01"/>
    <n v="0.05"/>
    <n v="6"/>
    <n v="0"/>
    <n v="6"/>
    <n v="5"/>
    <n v="0"/>
  </r>
  <r>
    <x v="117"/>
    <n v="10"/>
    <n v="6"/>
    <n v="0.01"/>
    <n v="0.06"/>
    <n v="50"/>
    <n v="0"/>
    <n v="3"/>
    <n v="3"/>
    <n v="0"/>
  </r>
  <r>
    <x v="118"/>
    <n v="-4"/>
    <n v="0"/>
    <n v="0.01"/>
    <n v="0.05"/>
    <n v="2"/>
    <n v="0"/>
    <n v="2"/>
    <n v="2"/>
    <n v="0"/>
  </r>
  <r>
    <x v="119"/>
    <n v="-1"/>
    <n v="0"/>
    <n v="0.01"/>
    <n v="0.09"/>
    <n v="1"/>
    <n v="0"/>
    <n v="1"/>
    <n v="1"/>
    <n v="0"/>
  </r>
  <r>
    <x v="120"/>
    <n v="50"/>
    <n v="3"/>
    <n v="0.01"/>
    <n v="0.04"/>
    <n v="429"/>
    <n v="0"/>
    <n v="13"/>
    <n v="8"/>
    <n v="0"/>
  </r>
  <r>
    <x v="121"/>
    <n v="10"/>
    <n v="7"/>
    <n v="0.01"/>
    <n v="0.06"/>
    <n v="40"/>
    <n v="0"/>
    <n v="3"/>
    <n v="2"/>
    <n v="0"/>
  </r>
  <r>
    <x v="122"/>
    <n v="0"/>
    <n v="0"/>
    <n v="0.01"/>
    <n v="0.04"/>
    <n v="20"/>
    <n v="0"/>
    <n v="1"/>
    <n v="1"/>
    <n v="0"/>
  </r>
  <r>
    <x v="123"/>
    <n v="10"/>
    <n v="4"/>
    <n v="0.01"/>
    <n v="7.0000000000000007E-2"/>
    <n v="70"/>
    <n v="0"/>
    <n v="4"/>
    <n v="4"/>
    <n v="0"/>
  </r>
  <r>
    <x v="124"/>
    <n v="15"/>
    <n v="7"/>
    <n v="0.01"/>
    <n v="0.05"/>
    <n v="60"/>
    <n v="0"/>
    <n v="3"/>
    <n v="3"/>
    <n v="0"/>
  </r>
  <r>
    <x v="125"/>
    <n v="0"/>
    <n v="0"/>
    <n v="0.01"/>
    <n v="0.04"/>
    <n v="2"/>
    <n v="0"/>
    <n v="2"/>
    <n v="2"/>
    <n v="0"/>
  </r>
  <r>
    <x v="126"/>
    <n v="0"/>
    <n v="0"/>
    <n v="0.01"/>
    <n v="0.04"/>
    <n v="45"/>
    <n v="0"/>
    <n v="2"/>
    <n v="1"/>
    <n v="0"/>
  </r>
  <r>
    <x v="127"/>
    <n v="-1"/>
    <n v="0"/>
    <n v="0.01"/>
    <n v="0.04"/>
    <n v="4"/>
    <n v="0"/>
    <n v="4"/>
    <n v="4"/>
    <n v="0"/>
  </r>
  <r>
    <x v="128"/>
    <n v="-2"/>
    <n v="0"/>
    <n v="0.01"/>
    <n v="0.04"/>
    <n v="2"/>
    <n v="0"/>
    <n v="2"/>
    <n v="2"/>
    <n v="0"/>
  </r>
  <r>
    <x v="129"/>
    <n v="0"/>
    <n v="0"/>
    <n v="0.01"/>
    <n v="0.1"/>
    <n v="7"/>
    <n v="0"/>
    <n v="7"/>
    <n v="6"/>
    <n v="0"/>
  </r>
  <r>
    <x v="130"/>
    <n v="-13"/>
    <n v="0"/>
    <n v="0.01"/>
    <n v="7.0000000000000007E-2"/>
    <n v="4"/>
    <n v="0"/>
    <n v="4"/>
    <n v="4"/>
    <n v="0"/>
  </r>
  <r>
    <x v="131"/>
    <n v="0"/>
    <n v="0"/>
    <n v="0.01"/>
    <n v="0.04"/>
    <n v="2"/>
    <n v="0"/>
    <n v="2"/>
    <n v="2"/>
    <n v="0"/>
  </r>
  <r>
    <x v="132"/>
    <n v="-1"/>
    <n v="0"/>
    <n v="0.01"/>
    <n v="0.04"/>
    <n v="2"/>
    <n v="0"/>
    <n v="2"/>
    <n v="2"/>
    <n v="0"/>
  </r>
  <r>
    <x v="133"/>
    <n v="-1"/>
    <n v="0"/>
    <n v="0.01"/>
    <n v="0.05"/>
    <n v="7"/>
    <n v="0"/>
    <n v="7"/>
    <n v="5"/>
    <n v="0"/>
  </r>
  <r>
    <x v="134"/>
    <n v="0"/>
    <n v="0"/>
    <n v="0.01"/>
    <n v="0.05"/>
    <n v="3"/>
    <n v="0"/>
    <n v="3"/>
    <n v="3"/>
    <n v="0"/>
  </r>
  <r>
    <x v="135"/>
    <n v="15"/>
    <n v="7"/>
    <n v="0.01"/>
    <n v="0.06"/>
    <n v="60"/>
    <n v="0"/>
    <n v="3"/>
    <n v="3"/>
    <n v="0"/>
  </r>
  <r>
    <x v="136"/>
    <n v="0"/>
    <n v="0"/>
    <n v="0.01"/>
    <n v="0.04"/>
    <n v="1"/>
    <n v="0"/>
    <n v="1"/>
    <n v="1"/>
    <n v="0"/>
  </r>
  <r>
    <x v="137"/>
    <n v="10"/>
    <n v="7"/>
    <n v="0.01"/>
    <n v="0.05"/>
    <n v="40"/>
    <n v="0"/>
    <n v="2"/>
    <n v="2"/>
    <n v="0"/>
  </r>
  <r>
    <x v="138"/>
    <n v="-60"/>
    <n v="0"/>
    <n v="0.01"/>
    <n v="0.06"/>
    <n v="60"/>
    <n v="0"/>
    <n v="4"/>
    <n v="4"/>
    <n v="0"/>
  </r>
  <r>
    <x v="139"/>
    <n v="0"/>
    <n v="0"/>
    <n v="0.01"/>
    <n v="0.04"/>
    <n v="2"/>
    <n v="0"/>
    <n v="1"/>
    <n v="1"/>
    <n v="0"/>
  </r>
  <r>
    <x v="140"/>
    <n v="-90"/>
    <n v="0"/>
    <n v="0.01"/>
    <n v="0.05"/>
    <n v="40"/>
    <n v="0"/>
    <n v="2"/>
    <n v="2"/>
    <n v="0"/>
  </r>
  <r>
    <x v="141"/>
    <n v="-3"/>
    <n v="0"/>
    <n v="0.01"/>
    <n v="0.06"/>
    <n v="3"/>
    <n v="0"/>
    <n v="3"/>
    <n v="3"/>
    <n v="0"/>
  </r>
  <r>
    <x v="142"/>
    <n v="-3"/>
    <n v="0"/>
    <n v="0.01"/>
    <n v="0.05"/>
    <n v="1"/>
    <n v="0"/>
    <n v="1"/>
    <n v="1"/>
    <n v="0"/>
  </r>
  <r>
    <x v="143"/>
    <n v="0"/>
    <n v="0"/>
    <n v="0.01"/>
    <n v="0.04"/>
    <n v="5"/>
    <n v="0"/>
    <n v="5"/>
    <n v="4"/>
    <n v="0"/>
  </r>
  <r>
    <x v="144"/>
    <n v="-210"/>
    <n v="0"/>
    <n v="0.01"/>
    <n v="0.04"/>
    <n v="20"/>
    <n v="0"/>
    <n v="2"/>
    <n v="2"/>
    <n v="0"/>
  </r>
  <r>
    <x v="145"/>
    <n v="-10"/>
    <n v="0"/>
    <n v="0.01"/>
    <n v="0.08"/>
    <n v="2"/>
    <n v="0"/>
    <n v="2"/>
    <n v="2"/>
    <n v="0"/>
  </r>
  <r>
    <x v="146"/>
    <n v="-3"/>
    <n v="0"/>
    <n v="0.01"/>
    <n v="0.04"/>
    <n v="3"/>
    <n v="0"/>
    <n v="3"/>
    <n v="3"/>
    <n v="0"/>
  </r>
  <r>
    <x v="147"/>
    <n v="-1"/>
    <n v="0"/>
    <n v="0.01"/>
    <n v="0.05"/>
    <n v="2"/>
    <n v="0"/>
    <n v="2"/>
    <n v="2"/>
    <n v="0"/>
  </r>
  <r>
    <x v="148"/>
    <n v="-225"/>
    <n v="0"/>
    <n v="0.01"/>
    <n v="0.05"/>
    <n v="43"/>
    <n v="0"/>
    <n v="7"/>
    <n v="7"/>
    <n v="0"/>
  </r>
  <r>
    <x v="149"/>
    <n v="0"/>
    <n v="0"/>
    <n v="0.01"/>
    <n v="0.06"/>
    <n v="40"/>
    <n v="0"/>
    <n v="2"/>
    <n v="2"/>
    <n v="0"/>
  </r>
  <r>
    <x v="150"/>
    <n v="0"/>
    <n v="0"/>
    <n v="0.01"/>
    <n v="0.04"/>
    <n v="75"/>
    <n v="0"/>
    <n v="5"/>
    <n v="3"/>
    <n v="0"/>
  </r>
  <r>
    <x v="151"/>
    <n v="-2"/>
    <n v="0"/>
    <n v="0.01"/>
    <n v="0.04"/>
    <n v="3"/>
    <n v="0"/>
    <n v="3"/>
    <n v="3"/>
    <n v="0"/>
  </r>
  <r>
    <x v="152"/>
    <n v="23"/>
    <n v="6"/>
    <n v="0.01"/>
    <n v="0.09"/>
    <n v="110"/>
    <n v="0"/>
    <n v="22"/>
    <n v="15"/>
    <n v="0"/>
  </r>
  <r>
    <x v="153"/>
    <n v="0"/>
    <n v="0"/>
    <n v="0.01"/>
    <n v="7.0000000000000007E-2"/>
    <n v="5"/>
    <n v="0"/>
    <n v="5"/>
    <n v="5"/>
    <n v="0"/>
  </r>
  <r>
    <x v="154"/>
    <n v="1"/>
    <n v="6"/>
    <n v="0.01"/>
    <n v="0.09"/>
    <n v="5"/>
    <n v="0"/>
    <n v="1"/>
    <n v="1"/>
    <n v="0"/>
  </r>
  <r>
    <x v="155"/>
    <n v="-20"/>
    <n v="0"/>
    <n v="0.01"/>
    <n v="0.03"/>
    <n v="40"/>
    <n v="0"/>
    <n v="3"/>
    <n v="3"/>
    <n v="0"/>
  </r>
  <r>
    <x v="156"/>
    <n v="0"/>
    <n v="0"/>
    <n v="0.01"/>
    <n v="0.06"/>
    <n v="75"/>
    <n v="0"/>
    <n v="4"/>
    <n v="4"/>
    <n v="0"/>
  </r>
  <r>
    <x v="157"/>
    <n v="7"/>
    <n v="7"/>
    <n v="0.01"/>
    <n v="7.0000000000000007E-2"/>
    <n v="30"/>
    <n v="0"/>
    <n v="3"/>
    <n v="3"/>
    <n v="0"/>
  </r>
  <r>
    <x v="158"/>
    <n v="1"/>
    <n v="6"/>
    <n v="0.01"/>
    <n v="0.03"/>
    <n v="5"/>
    <n v="0"/>
    <n v="5"/>
    <n v="5"/>
    <n v="0"/>
  </r>
  <r>
    <x v="159"/>
    <n v="0"/>
    <n v="0"/>
    <n v="0.01"/>
    <n v="0.04"/>
    <n v="30"/>
    <n v="0"/>
    <n v="1"/>
    <n v="1"/>
    <n v="0"/>
  </r>
  <r>
    <x v="160"/>
    <n v="20"/>
    <n v="7"/>
    <n v="0.01"/>
    <n v="0.09"/>
    <n v="80"/>
    <n v="0"/>
    <n v="3"/>
    <n v="3"/>
    <n v="0"/>
  </r>
  <r>
    <x v="161"/>
    <n v="-5"/>
    <n v="0"/>
    <n v="0.01"/>
    <n v="0.05"/>
    <n v="25"/>
    <n v="0"/>
    <n v="2"/>
    <n v="2"/>
    <n v="0"/>
  </r>
  <r>
    <x v="162"/>
    <n v="10"/>
    <n v="4"/>
    <n v="0.01"/>
    <n v="0.08"/>
    <n v="70"/>
    <n v="0"/>
    <n v="5"/>
    <n v="4"/>
    <n v="0"/>
  </r>
  <r>
    <x v="163"/>
    <n v="-165"/>
    <n v="0"/>
    <n v="0.01"/>
    <n v="7.0000000000000007E-2"/>
    <n v="60"/>
    <n v="0"/>
    <n v="4"/>
    <n v="4"/>
    <n v="0"/>
  </r>
  <r>
    <x v="164"/>
    <n v="0"/>
    <n v="0"/>
    <n v="0.01"/>
    <n v="0.04"/>
    <n v="2"/>
    <n v="0"/>
    <n v="2"/>
    <n v="2"/>
    <n v="0"/>
  </r>
  <r>
    <x v="165"/>
    <n v="0"/>
    <n v="0"/>
    <n v="0.01"/>
    <n v="7.0000000000000007E-2"/>
    <n v="80"/>
    <n v="0"/>
    <n v="7"/>
    <n v="7"/>
    <n v="0"/>
  </r>
  <r>
    <x v="166"/>
    <n v="0"/>
    <n v="0"/>
    <n v="0.01"/>
    <n v="0.04"/>
    <n v="1"/>
    <n v="0"/>
    <n v="1"/>
    <n v="1"/>
    <n v="0"/>
  </r>
  <r>
    <x v="167"/>
    <n v="-1"/>
    <n v="0"/>
    <n v="0.01"/>
    <n v="0.08"/>
    <n v="2"/>
    <n v="0"/>
    <n v="2"/>
    <n v="2"/>
    <n v="0"/>
  </r>
  <r>
    <x v="168"/>
    <n v="-8"/>
    <n v="0"/>
    <n v="0.01"/>
    <n v="0.06"/>
    <n v="11"/>
    <n v="0"/>
    <n v="11"/>
    <n v="10"/>
    <n v="0"/>
  </r>
  <r>
    <x v="169"/>
    <n v="10"/>
    <n v="3"/>
    <n v="0.01"/>
    <n v="0.05"/>
    <n v="90"/>
    <n v="0"/>
    <n v="7"/>
    <n v="7"/>
    <n v="0"/>
  </r>
  <r>
    <x v="170"/>
    <n v="-2"/>
    <n v="0"/>
    <n v="0.01"/>
    <n v="0.04"/>
    <n v="1"/>
    <n v="0"/>
    <n v="1"/>
    <n v="1"/>
    <n v="0"/>
  </r>
  <r>
    <x v="171"/>
    <n v="0"/>
    <n v="0"/>
    <n v="0.01"/>
    <n v="0.05"/>
    <n v="45"/>
    <n v="0"/>
    <n v="3"/>
    <n v="3"/>
    <n v="0"/>
  </r>
  <r>
    <x v="172"/>
    <n v="20"/>
    <n v="7"/>
    <n v="0.01"/>
    <n v="0.05"/>
    <n v="80"/>
    <n v="0"/>
    <n v="4"/>
    <n v="4"/>
    <n v="0"/>
  </r>
  <r>
    <x v="173"/>
    <n v="0"/>
    <n v="0"/>
    <n v="0.01"/>
    <n v="0.05"/>
    <n v="1"/>
    <n v="0"/>
    <n v="1"/>
    <n v="1"/>
    <n v="0"/>
  </r>
  <r>
    <x v="174"/>
    <n v="0"/>
    <n v="0"/>
    <n v="0"/>
    <n v="0.01"/>
    <n v="2"/>
    <n v="0"/>
    <n v="2"/>
    <n v="2"/>
    <n v="0"/>
  </r>
  <r>
    <x v="175"/>
    <n v="30"/>
    <n v="6"/>
    <n v="0"/>
    <n v="0.01"/>
    <n v="150"/>
    <n v="0"/>
    <n v="5"/>
    <n v="5"/>
    <n v="0"/>
  </r>
  <r>
    <x v="176"/>
    <n v="1"/>
    <n v="7"/>
    <n v="0"/>
    <n v="0.01"/>
    <n v="4"/>
    <n v="0"/>
    <n v="3"/>
    <n v="3"/>
    <n v="0"/>
  </r>
  <r>
    <x v="177"/>
    <n v="0"/>
    <n v="0"/>
    <n v="0"/>
    <n v="0.01"/>
    <n v="10"/>
    <n v="0"/>
    <n v="1"/>
    <n v="1"/>
    <n v="0"/>
  </r>
  <r>
    <x v="178"/>
    <n v="-1"/>
    <n v="0"/>
    <n v="0"/>
    <n v="0.01"/>
    <n v="1"/>
    <n v="0"/>
    <n v="1"/>
    <n v="1"/>
    <n v="0"/>
  </r>
  <r>
    <x v="179"/>
    <n v="-4"/>
    <n v="0"/>
    <n v="0"/>
    <n v="0.02"/>
    <n v="2"/>
    <n v="0"/>
    <n v="2"/>
    <n v="2"/>
    <n v="0"/>
  </r>
  <r>
    <x v="180"/>
    <n v="-5"/>
    <n v="0"/>
    <n v="0"/>
    <n v="0"/>
    <n v="1"/>
    <n v="0"/>
    <n v="1"/>
    <n v="1"/>
    <n v="0"/>
  </r>
  <r>
    <x v="181"/>
    <n v="-1"/>
    <n v="0"/>
    <n v="0"/>
    <n v="0"/>
    <n v="2"/>
    <n v="0"/>
    <n v="2"/>
    <n v="2"/>
    <n v="0"/>
  </r>
  <r>
    <x v="182"/>
    <n v="-10"/>
    <n v="0"/>
    <n v="0"/>
    <n v="0.02"/>
    <n v="1"/>
    <n v="0"/>
    <n v="1"/>
    <n v="1"/>
    <n v="0"/>
  </r>
  <r>
    <x v="183"/>
    <n v="-6"/>
    <n v="0"/>
    <n v="0"/>
    <n v="0"/>
    <n v="2"/>
    <n v="0"/>
    <n v="2"/>
    <n v="2"/>
    <n v="0"/>
  </r>
  <r>
    <x v="184"/>
    <n v="-5"/>
    <n v="0"/>
    <n v="0"/>
    <n v="0.02"/>
    <n v="4"/>
    <n v="0"/>
    <n v="3"/>
    <n v="3"/>
    <n v="0"/>
  </r>
  <r>
    <x v="185"/>
    <n v="-3"/>
    <n v="0"/>
    <n v="0"/>
    <n v="0"/>
    <n v="2"/>
    <n v="0"/>
    <n v="2"/>
    <n v="2"/>
    <n v="0"/>
  </r>
  <r>
    <x v="186"/>
    <n v="0"/>
    <n v="0"/>
    <n v="0"/>
    <n v="0.01"/>
    <n v="1"/>
    <n v="0"/>
    <n v="1"/>
    <n v="1"/>
    <n v="0"/>
  </r>
  <r>
    <x v="187"/>
    <n v="-40"/>
    <n v="0"/>
    <n v="0"/>
    <n v="0.02"/>
    <n v="40"/>
    <n v="0"/>
    <n v="2"/>
    <n v="2"/>
    <n v="0"/>
  </r>
  <r>
    <x v="188"/>
    <n v="0"/>
    <n v="0"/>
    <n v="0"/>
    <n v="0.01"/>
    <n v="2"/>
    <n v="0"/>
    <n v="2"/>
    <n v="2"/>
    <n v="0"/>
  </r>
  <r>
    <x v="189"/>
    <n v="0"/>
    <n v="0"/>
    <n v="0"/>
    <n v="0.03"/>
    <n v="20"/>
    <n v="0"/>
    <n v="1"/>
    <n v="1"/>
    <n v="0"/>
  </r>
  <r>
    <x v="190"/>
    <n v="0"/>
    <n v="0"/>
    <n v="0"/>
    <n v="0.01"/>
    <n v="20"/>
    <n v="0"/>
    <n v="1"/>
    <n v="1"/>
    <n v="0"/>
  </r>
  <r>
    <x v="191"/>
    <n v="0"/>
    <n v="0"/>
    <n v="0"/>
    <n v="0.03"/>
    <n v="100"/>
    <n v="0"/>
    <n v="5"/>
    <n v="4"/>
    <n v="0"/>
  </r>
  <r>
    <x v="192"/>
    <n v="0"/>
    <n v="0"/>
    <n v="0"/>
    <n v="0.03"/>
    <n v="220"/>
    <n v="0"/>
    <n v="9"/>
    <n v="6"/>
    <n v="0"/>
  </r>
  <r>
    <x v="193"/>
    <n v="70"/>
    <n v="2"/>
    <n v="0"/>
    <n v="0.02"/>
    <n v="854"/>
    <n v="0"/>
    <n v="26"/>
    <n v="18"/>
    <n v="0"/>
  </r>
  <r>
    <x v="194"/>
    <n v="-56"/>
    <n v="0"/>
    <n v="0"/>
    <n v="0.02"/>
    <n v="30"/>
    <n v="0"/>
    <n v="2"/>
    <n v="2"/>
    <n v="0"/>
  </r>
  <r>
    <x v="195"/>
    <n v="-3"/>
    <n v="0"/>
    <n v="0"/>
    <n v="0"/>
    <n v="1"/>
    <n v="0"/>
    <n v="1"/>
    <n v="1"/>
    <n v="0"/>
  </r>
  <r>
    <x v="196"/>
    <n v="0"/>
    <n v="0"/>
    <n v="0"/>
    <n v="0.02"/>
    <n v="15"/>
    <n v="0"/>
    <n v="1"/>
    <n v="1"/>
    <n v="0"/>
  </r>
  <r>
    <x v="197"/>
    <n v="-10"/>
    <n v="0"/>
    <n v="0"/>
    <n v="0.01"/>
    <n v="2"/>
    <n v="0"/>
    <n v="2"/>
    <n v="2"/>
    <n v="0"/>
  </r>
  <r>
    <x v="198"/>
    <n v="0"/>
    <n v="0"/>
    <n v="0"/>
    <n v="0.01"/>
    <n v="1"/>
    <n v="0"/>
    <n v="1"/>
    <n v="1"/>
    <n v="0"/>
  </r>
  <r>
    <x v="199"/>
    <n v="-11"/>
    <n v="0"/>
    <n v="0"/>
    <n v="0.01"/>
    <n v="2"/>
    <n v="0"/>
    <n v="2"/>
    <n v="2"/>
    <n v="0"/>
  </r>
  <r>
    <x v="200"/>
    <n v="-2"/>
    <n v="0"/>
    <n v="0"/>
    <n v="0.01"/>
    <n v="2"/>
    <n v="0"/>
    <n v="2"/>
    <n v="2"/>
    <n v="0"/>
  </r>
  <r>
    <x v="201"/>
    <n v="-1"/>
    <n v="0"/>
    <n v="0"/>
    <n v="0.01"/>
    <n v="1"/>
    <n v="0"/>
    <n v="1"/>
    <n v="1"/>
    <n v="0"/>
  </r>
  <r>
    <x v="202"/>
    <n v="-14"/>
    <n v="0"/>
    <n v="0"/>
    <n v="0.01"/>
    <n v="1"/>
    <n v="0"/>
    <n v="1"/>
    <n v="1"/>
    <n v="0"/>
  </r>
  <r>
    <x v="203"/>
    <n v="-11"/>
    <n v="0"/>
    <n v="0"/>
    <n v="0.02"/>
    <n v="1"/>
    <n v="0"/>
    <n v="1"/>
    <n v="1"/>
    <n v="0"/>
  </r>
  <r>
    <x v="204"/>
    <n v="-5"/>
    <n v="0"/>
    <n v="0"/>
    <n v="0.02"/>
    <n v="1"/>
    <n v="0"/>
    <n v="1"/>
    <n v="1"/>
    <n v="0"/>
  </r>
  <r>
    <x v="205"/>
    <n v="-14"/>
    <n v="0"/>
    <n v="0"/>
    <n v="0.01"/>
    <n v="1"/>
    <n v="0"/>
    <n v="1"/>
    <n v="1"/>
    <n v="0"/>
  </r>
  <r>
    <x v="206"/>
    <n v="-6"/>
    <n v="0"/>
    <n v="0"/>
    <n v="0.02"/>
    <n v="1"/>
    <n v="0"/>
    <n v="1"/>
    <n v="1"/>
    <n v="0"/>
  </r>
  <r>
    <x v="207"/>
    <n v="-6"/>
    <n v="0"/>
    <n v="0"/>
    <n v="0.02"/>
    <n v="1"/>
    <n v="0"/>
    <n v="1"/>
    <n v="1"/>
    <n v="0"/>
  </r>
  <r>
    <x v="208"/>
    <n v="-1"/>
    <n v="0"/>
    <n v="0"/>
    <n v="0.01"/>
    <n v="1"/>
    <n v="0"/>
    <n v="1"/>
    <n v="1"/>
    <n v="0"/>
  </r>
  <r>
    <x v="209"/>
    <n v="-8"/>
    <n v="0"/>
    <n v="0"/>
    <n v="0.02"/>
    <n v="3"/>
    <n v="0"/>
    <n v="3"/>
    <n v="3"/>
    <n v="0"/>
  </r>
  <r>
    <x v="210"/>
    <n v="0"/>
    <n v="0"/>
    <n v="0"/>
    <n v="0"/>
    <n v="15"/>
    <n v="0"/>
    <n v="1"/>
    <n v="1"/>
    <n v="0"/>
  </r>
  <r>
    <x v="211"/>
    <n v="-15"/>
    <n v="0"/>
    <n v="0"/>
    <n v="0.01"/>
    <n v="15"/>
    <n v="0"/>
    <n v="1"/>
    <n v="1"/>
    <n v="0"/>
  </r>
  <r>
    <x v="212"/>
    <n v="-10"/>
    <n v="0"/>
    <n v="0"/>
    <n v="0.01"/>
    <n v="10"/>
    <n v="0"/>
    <n v="1"/>
    <n v="1"/>
    <n v="0"/>
  </r>
  <r>
    <x v="213"/>
    <n v="0"/>
    <n v="0"/>
    <n v="0"/>
    <n v="0.03"/>
    <n v="30"/>
    <n v="0"/>
    <n v="2"/>
    <n v="2"/>
    <n v="0"/>
  </r>
  <r>
    <x v="214"/>
    <n v="0"/>
    <n v="0"/>
    <n v="0"/>
    <n v="0.01"/>
    <n v="1"/>
    <n v="0"/>
    <n v="1"/>
    <n v="1"/>
    <n v="0"/>
  </r>
  <r>
    <x v="215"/>
    <n v="0"/>
    <n v="0"/>
    <n v="0"/>
    <n v="0.01"/>
    <n v="1"/>
    <n v="0"/>
    <n v="1"/>
    <n v="1"/>
    <n v="0"/>
  </r>
  <r>
    <x v="216"/>
    <n v="-4"/>
    <n v="0"/>
    <n v="0"/>
    <n v="0.03"/>
    <n v="2"/>
    <n v="0"/>
    <n v="2"/>
    <n v="2"/>
    <n v="0"/>
  </r>
  <r>
    <x v="217"/>
    <n v="0"/>
    <n v="0"/>
    <n v="0"/>
    <n v="0.02"/>
    <n v="2"/>
    <n v="0"/>
    <n v="2"/>
    <n v="2"/>
    <n v="0"/>
  </r>
  <r>
    <x v="218"/>
    <n v="-3"/>
    <n v="0"/>
    <n v="0"/>
    <n v="0.02"/>
    <n v="1"/>
    <n v="0"/>
    <n v="1"/>
    <n v="1"/>
    <n v="0"/>
  </r>
  <r>
    <x v="219"/>
    <n v="-10"/>
    <n v="0"/>
    <n v="0"/>
    <n v="0.01"/>
    <n v="3"/>
    <n v="0"/>
    <n v="3"/>
    <n v="3"/>
    <n v="0"/>
  </r>
  <r>
    <x v="220"/>
    <n v="-2"/>
    <n v="0"/>
    <n v="0"/>
    <n v="0.03"/>
    <n v="2"/>
    <n v="0"/>
    <n v="2"/>
    <n v="2"/>
    <n v="0"/>
  </r>
  <r>
    <x v="221"/>
    <n v="-1"/>
    <n v="0"/>
    <n v="0"/>
    <n v="0"/>
    <n v="1"/>
    <n v="0"/>
    <n v="1"/>
    <n v="1"/>
    <n v="0"/>
  </r>
  <r>
    <x v="222"/>
    <n v="0"/>
    <n v="0"/>
    <n v="0"/>
    <n v="0.01"/>
    <n v="2"/>
    <n v="0"/>
    <n v="2"/>
    <n v="2"/>
    <n v="0"/>
  </r>
  <r>
    <x v="223"/>
    <n v="-1"/>
    <n v="0"/>
    <n v="0"/>
    <n v="0.03"/>
    <n v="2"/>
    <n v="0"/>
    <n v="4"/>
    <n v="4"/>
    <n v="0"/>
  </r>
  <r>
    <x v="224"/>
    <n v="0"/>
    <n v="0"/>
    <n v="0"/>
    <n v="0.01"/>
    <n v="1"/>
    <n v="0"/>
    <n v="1"/>
    <n v="1"/>
    <n v="0"/>
  </r>
  <r>
    <x v="225"/>
    <n v="0"/>
    <n v="0"/>
    <n v="0"/>
    <n v="0"/>
    <n v="20"/>
    <n v="0"/>
    <n v="1"/>
    <n v="1"/>
    <n v="0"/>
  </r>
  <r>
    <x v="226"/>
    <n v="-112"/>
    <n v="0"/>
    <n v="0"/>
    <n v="0.01"/>
    <n v="140"/>
    <n v="0"/>
    <n v="3"/>
    <n v="3"/>
    <n v="0"/>
  </r>
  <r>
    <x v="227"/>
    <n v="-6"/>
    <n v="0"/>
    <n v="0"/>
    <n v="0.01"/>
    <n v="1"/>
    <n v="0"/>
    <n v="1"/>
    <n v="1"/>
    <n v="0"/>
  </r>
  <r>
    <x v="228"/>
    <n v="0"/>
    <n v="0"/>
    <n v="0"/>
    <n v="0.01"/>
    <n v="2"/>
    <n v="0"/>
    <n v="2"/>
    <n v="2"/>
    <n v="0"/>
  </r>
  <r>
    <x v="229"/>
    <n v="-17"/>
    <n v="0"/>
    <n v="0"/>
    <n v="0.03"/>
    <n v="3"/>
    <n v="0"/>
    <n v="3"/>
    <n v="3"/>
    <n v="0"/>
  </r>
  <r>
    <x v="230"/>
    <n v="-5"/>
    <n v="0"/>
    <n v="0"/>
    <n v="0.02"/>
    <n v="2"/>
    <n v="0"/>
    <n v="2"/>
    <n v="2"/>
    <n v="0"/>
  </r>
  <r>
    <x v="231"/>
    <n v="-2"/>
    <n v="0"/>
    <n v="0"/>
    <n v="0.02"/>
    <n v="1"/>
    <n v="0"/>
    <n v="1"/>
    <n v="1"/>
    <n v="0"/>
  </r>
  <r>
    <x v="232"/>
    <n v="0"/>
    <n v="0"/>
    <n v="0"/>
    <n v="0.02"/>
    <n v="1"/>
    <n v="0"/>
    <n v="1"/>
    <n v="1"/>
    <n v="0"/>
  </r>
  <r>
    <x v="233"/>
    <n v="0"/>
    <n v="0"/>
    <n v="0"/>
    <n v="0.02"/>
    <n v="2"/>
    <n v="0"/>
    <n v="2"/>
    <n v="2"/>
    <n v="0"/>
  </r>
  <r>
    <x v="234"/>
    <n v="-6"/>
    <n v="0"/>
    <n v="0"/>
    <n v="0.03"/>
    <n v="2"/>
    <n v="0"/>
    <n v="2"/>
    <n v="2"/>
    <n v="0"/>
  </r>
  <r>
    <x v="235"/>
    <n v="-10"/>
    <n v="0"/>
    <n v="0"/>
    <n v="0.01"/>
    <n v="10"/>
    <n v="0"/>
    <n v="1"/>
    <n v="1"/>
    <n v="0"/>
  </r>
  <r>
    <x v="236"/>
    <n v="-1"/>
    <n v="0"/>
    <n v="0"/>
    <n v="0"/>
    <n v="1"/>
    <n v="0"/>
    <n v="1"/>
    <n v="1"/>
    <n v="0"/>
  </r>
  <r>
    <x v="237"/>
    <n v="-30"/>
    <n v="0"/>
    <n v="0"/>
    <n v="0.03"/>
    <n v="20"/>
    <n v="0"/>
    <n v="2"/>
    <n v="2"/>
    <n v="0"/>
  </r>
  <r>
    <x v="238"/>
    <n v="0"/>
    <n v="0"/>
    <n v="0"/>
    <n v="0.01"/>
    <n v="15"/>
    <n v="0"/>
    <n v="1"/>
    <n v="1"/>
    <n v="0"/>
  </r>
  <r>
    <x v="239"/>
    <n v="-10"/>
    <n v="0"/>
    <n v="0"/>
    <n v="0.03"/>
    <n v="20"/>
    <n v="0"/>
    <n v="2"/>
    <n v="2"/>
    <n v="0"/>
  </r>
  <r>
    <x v="240"/>
    <n v="0"/>
    <n v="0"/>
    <n v="0"/>
    <n v="0.01"/>
    <n v="1"/>
    <n v="0"/>
    <n v="1"/>
    <n v="1"/>
    <n v="0"/>
  </r>
  <r>
    <x v="241"/>
    <n v="0"/>
    <n v="0"/>
    <n v="0"/>
    <n v="0.02"/>
    <n v="2"/>
    <n v="0"/>
    <n v="2"/>
    <n v="2"/>
    <n v="0"/>
  </r>
  <r>
    <x v="242"/>
    <n v="0"/>
    <n v="0"/>
    <n v="0"/>
    <n v="0.01"/>
    <n v="15"/>
    <n v="0"/>
    <n v="1"/>
    <n v="1"/>
    <n v="0"/>
  </r>
  <r>
    <x v="243"/>
    <n v="-1"/>
    <n v="0"/>
    <n v="0"/>
    <n v="0"/>
    <n v="1"/>
    <n v="0"/>
    <n v="1"/>
    <n v="1"/>
    <n v="0"/>
  </r>
  <r>
    <x v="244"/>
    <n v="-2"/>
    <n v="0"/>
    <n v="0"/>
    <n v="0.01"/>
    <n v="1"/>
    <n v="0"/>
    <n v="1"/>
    <n v="1"/>
    <n v="0"/>
  </r>
  <r>
    <x v="245"/>
    <n v="-6"/>
    <n v="0"/>
    <n v="0"/>
    <n v="0"/>
    <n v="4"/>
    <n v="0"/>
    <n v="2"/>
    <n v="2"/>
    <n v="0"/>
  </r>
  <r>
    <x v="246"/>
    <n v="-10"/>
    <n v="0"/>
    <n v="0"/>
    <n v="0.02"/>
    <n v="20"/>
    <n v="0"/>
    <n v="1"/>
    <n v="1"/>
    <n v="0"/>
  </r>
  <r>
    <x v="247"/>
    <n v="-8"/>
    <n v="0"/>
    <n v="0"/>
    <n v="0.02"/>
    <n v="3"/>
    <n v="0"/>
    <n v="3"/>
    <n v="3"/>
    <n v="0"/>
  </r>
  <r>
    <x v="248"/>
    <n v="0"/>
    <n v="0"/>
    <n v="0"/>
    <n v="0.02"/>
    <n v="30"/>
    <n v="0"/>
    <n v="2"/>
    <n v="2"/>
    <n v="0"/>
  </r>
  <r>
    <x v="249"/>
    <n v="-2"/>
    <n v="0"/>
    <n v="0"/>
    <n v="0.03"/>
    <n v="1"/>
    <n v="0"/>
    <n v="1"/>
    <n v="1"/>
    <n v="0"/>
  </r>
  <r>
    <x v="250"/>
    <n v="0"/>
    <n v="0"/>
    <n v="0"/>
    <n v="0.01"/>
    <n v="15"/>
    <n v="0"/>
    <n v="1"/>
    <n v="1"/>
    <n v="0"/>
  </r>
  <r>
    <x v="251"/>
    <n v="0"/>
    <n v="0"/>
    <n v="0"/>
    <n v="0"/>
    <n v="3"/>
    <n v="0"/>
    <n v="3"/>
    <n v="2"/>
    <n v="0"/>
  </r>
  <r>
    <x v="252"/>
    <n v="-1"/>
    <n v="0"/>
    <n v="0"/>
    <n v="0"/>
    <n v="1"/>
    <n v="0"/>
    <n v="1"/>
    <n v="1"/>
    <n v="0"/>
  </r>
  <r>
    <x v="253"/>
    <n v="-2"/>
    <n v="0"/>
    <n v="0"/>
    <n v="0"/>
    <n v="1"/>
    <n v="0"/>
    <n v="1"/>
    <n v="1"/>
    <n v="0"/>
  </r>
  <r>
    <x v="254"/>
    <n v="0"/>
    <n v="0"/>
    <n v="0"/>
    <n v="0.01"/>
    <n v="2"/>
    <n v="0"/>
    <n v="2"/>
    <n v="2"/>
    <n v="0"/>
  </r>
  <r>
    <x v="255"/>
    <n v="-7"/>
    <n v="0"/>
    <n v="0"/>
    <n v="0.02"/>
    <n v="1"/>
    <n v="0"/>
    <n v="1"/>
    <n v="1"/>
    <n v="0"/>
  </r>
  <r>
    <x v="256"/>
    <n v="-4"/>
    <n v="0"/>
    <n v="0"/>
    <n v="0"/>
    <n v="1"/>
    <n v="0"/>
    <n v="1"/>
    <n v="1"/>
    <n v="0"/>
  </r>
  <r>
    <x v="257"/>
    <n v="-3"/>
    <n v="0"/>
    <n v="0"/>
    <n v="0.01"/>
    <n v="1"/>
    <n v="0"/>
    <n v="1"/>
    <n v="1"/>
    <n v="0"/>
  </r>
  <r>
    <x v="258"/>
    <n v="-2"/>
    <n v="0"/>
    <n v="0"/>
    <n v="0.01"/>
    <n v="2"/>
    <n v="0"/>
    <n v="2"/>
    <n v="2"/>
    <n v="0"/>
  </r>
  <r>
    <x v="259"/>
    <n v="-1"/>
    <n v="0"/>
    <n v="0"/>
    <n v="0.02"/>
    <n v="1"/>
    <n v="0"/>
    <n v="1"/>
    <n v="1"/>
    <n v="0"/>
  </r>
  <r>
    <x v="260"/>
    <n v="-3"/>
    <n v="0"/>
    <n v="0"/>
    <n v="0.01"/>
    <n v="1"/>
    <n v="0"/>
    <n v="1"/>
    <n v="1"/>
    <n v="0"/>
  </r>
  <r>
    <x v="261"/>
    <n v="1"/>
    <n v="7"/>
    <n v="0"/>
    <n v="0.03"/>
    <n v="4"/>
    <n v="0"/>
    <n v="4"/>
    <n v="4"/>
    <n v="0"/>
  </r>
  <r>
    <x v="262"/>
    <n v="0"/>
    <n v="0"/>
    <n v="0"/>
    <n v="0.02"/>
    <n v="2"/>
    <n v="0"/>
    <n v="2"/>
    <n v="2"/>
    <n v="0"/>
  </r>
  <r>
    <x v="263"/>
    <n v="-1"/>
    <n v="0"/>
    <n v="0"/>
    <n v="0.01"/>
    <n v="1"/>
    <n v="0"/>
    <n v="1"/>
    <n v="1"/>
    <n v="0"/>
  </r>
  <r>
    <x v="264"/>
    <n v="0"/>
    <n v="0"/>
    <n v="0"/>
    <n v="0.01"/>
    <n v="1"/>
    <n v="0"/>
    <n v="1"/>
    <n v="1"/>
    <n v="0"/>
  </r>
  <r>
    <x v="265"/>
    <n v="-13"/>
    <n v="0"/>
    <n v="0"/>
    <n v="0.02"/>
    <n v="2"/>
    <n v="0"/>
    <n v="2"/>
    <n v="2"/>
    <n v="0"/>
  </r>
  <r>
    <x v="266"/>
    <n v="0"/>
    <n v="0"/>
    <n v="0"/>
    <n v="0.01"/>
    <n v="1"/>
    <n v="0"/>
    <n v="1"/>
    <n v="1"/>
    <n v="0"/>
  </r>
  <r>
    <x v="267"/>
    <n v="-1"/>
    <n v="0"/>
    <n v="0"/>
    <n v="0.01"/>
    <n v="1"/>
    <n v="0"/>
    <n v="1"/>
    <n v="1"/>
    <n v="0"/>
  </r>
  <r>
    <x v="268"/>
    <n v="-2"/>
    <n v="0"/>
    <n v="0"/>
    <n v="0.02"/>
    <n v="1"/>
    <n v="0"/>
    <n v="1"/>
    <n v="1"/>
    <n v="0"/>
  </r>
  <r>
    <x v="269"/>
    <n v="-9"/>
    <n v="0"/>
    <n v="0"/>
    <n v="0.01"/>
    <n v="2"/>
    <n v="0"/>
    <n v="2"/>
    <n v="2"/>
    <n v="0"/>
  </r>
  <r>
    <x v="270"/>
    <n v="-30"/>
    <n v="0"/>
    <n v="0"/>
    <n v="0.01"/>
    <n v="60"/>
    <n v="0"/>
    <n v="2"/>
    <n v="2"/>
    <n v="0"/>
  </r>
  <r>
    <x v="271"/>
    <n v="-120"/>
    <n v="0"/>
    <n v="0"/>
    <n v="0.03"/>
    <n v="120"/>
    <n v="0"/>
    <n v="3"/>
    <n v="3"/>
    <n v="0"/>
  </r>
  <r>
    <x v="272"/>
    <n v="0"/>
    <n v="0"/>
    <n v="0"/>
    <n v="0.01"/>
    <n v="1"/>
    <n v="0"/>
    <n v="1"/>
    <n v="1"/>
    <n v="0"/>
  </r>
  <r>
    <x v="273"/>
    <n v="0"/>
    <n v="0"/>
    <n v="0"/>
    <n v="0.03"/>
    <n v="1"/>
    <n v="0"/>
    <n v="1"/>
    <n v="1"/>
    <n v="0"/>
  </r>
  <r>
    <x v="274"/>
    <n v="-2"/>
    <n v="0"/>
    <n v="0"/>
    <n v="0.01"/>
    <n v="4"/>
    <n v="0"/>
    <n v="2"/>
    <n v="2"/>
    <n v="0"/>
  </r>
  <r>
    <x v="275"/>
    <n v="-10"/>
    <n v="0"/>
    <n v="0"/>
    <n v="0"/>
    <n v="4"/>
    <n v="0"/>
    <n v="1"/>
    <n v="1"/>
    <n v="0"/>
  </r>
  <r>
    <x v="276"/>
    <n v="-2"/>
    <n v="0"/>
    <n v="0"/>
    <n v="0.03"/>
    <n v="1"/>
    <n v="0"/>
    <n v="1"/>
    <n v="1"/>
    <n v="0"/>
  </r>
  <r>
    <x v="277"/>
    <n v="-1"/>
    <n v="0"/>
    <n v="0"/>
    <n v="0.03"/>
    <n v="2"/>
    <n v="0"/>
    <n v="2"/>
    <n v="2"/>
    <n v="0"/>
  </r>
  <r>
    <x v="278"/>
    <n v="-2"/>
    <n v="0"/>
    <n v="0"/>
    <n v="0.02"/>
    <n v="1"/>
    <n v="0"/>
    <n v="1"/>
    <n v="1"/>
    <n v="0"/>
  </r>
  <r>
    <x v="279"/>
    <n v="-1"/>
    <n v="0"/>
    <n v="0"/>
    <n v="0.02"/>
    <n v="1"/>
    <n v="0"/>
    <n v="1"/>
    <n v="1"/>
    <n v="0"/>
  </r>
  <r>
    <x v="280"/>
    <n v="0"/>
    <n v="0"/>
    <n v="0"/>
    <n v="0.01"/>
    <n v="2"/>
    <n v="0"/>
    <n v="2"/>
    <n v="1"/>
    <n v="0"/>
  </r>
  <r>
    <x v="281"/>
    <n v="0"/>
    <n v="0"/>
    <n v="0"/>
    <n v="0.01"/>
    <n v="78"/>
    <n v="0"/>
    <n v="4"/>
    <n v="3"/>
    <n v="0"/>
  </r>
  <r>
    <x v="282"/>
    <n v="0"/>
    <n v="0"/>
    <n v="0"/>
    <n v="0.03"/>
    <n v="4"/>
    <n v="0"/>
    <n v="4"/>
    <n v="4"/>
    <n v="0"/>
  </r>
  <r>
    <x v="283"/>
    <n v="-15"/>
    <n v="0"/>
    <n v="0"/>
    <n v="0.01"/>
    <n v="1"/>
    <n v="0"/>
    <n v="1"/>
    <n v="1"/>
    <n v="0"/>
  </r>
  <r>
    <x v="284"/>
    <n v="-14"/>
    <n v="0"/>
    <n v="0"/>
    <n v="0"/>
    <n v="1"/>
    <n v="0"/>
    <n v="1"/>
    <n v="1"/>
    <n v="0"/>
  </r>
  <r>
    <x v="285"/>
    <n v="-2"/>
    <n v="0"/>
    <n v="0"/>
    <n v="0.01"/>
    <n v="1"/>
    <n v="0"/>
    <n v="1"/>
    <n v="1"/>
    <n v="0"/>
  </r>
  <r>
    <x v="286"/>
    <n v="0"/>
    <n v="0"/>
    <n v="0"/>
    <n v="0.01"/>
    <n v="10"/>
    <n v="0"/>
    <n v="1"/>
    <n v="1"/>
    <n v="0"/>
  </r>
  <r>
    <x v="287"/>
    <n v="-1"/>
    <n v="0"/>
    <n v="0"/>
    <n v="0"/>
    <n v="1"/>
    <n v="0"/>
    <n v="1"/>
    <n v="1"/>
    <n v="0"/>
  </r>
  <r>
    <x v="288"/>
    <n v="1"/>
    <n v="2"/>
    <n v="0"/>
    <n v="0.01"/>
    <n v="11"/>
    <n v="0"/>
    <n v="3"/>
    <n v="3"/>
    <n v="0"/>
  </r>
  <r>
    <x v="289"/>
    <n v="-2"/>
    <n v="0"/>
    <n v="0"/>
    <n v="0.01"/>
    <n v="1"/>
    <n v="0"/>
    <n v="1"/>
    <n v="1"/>
    <n v="0"/>
  </r>
  <r>
    <x v="290"/>
    <n v="0"/>
    <n v="0"/>
    <n v="0"/>
    <n v="0.03"/>
    <n v="1"/>
    <n v="0"/>
    <n v="1"/>
    <n v="1"/>
    <n v="0"/>
  </r>
  <r>
    <x v="291"/>
    <n v="0"/>
    <n v="0"/>
    <n v="0"/>
    <n v="0.01"/>
    <n v="1"/>
    <n v="0"/>
    <n v="1"/>
    <n v="1"/>
    <n v="0"/>
  </r>
  <r>
    <x v="292"/>
    <n v="0"/>
    <n v="0"/>
    <n v="0"/>
    <n v="0.03"/>
    <n v="2"/>
    <n v="0"/>
    <n v="2"/>
    <n v="2"/>
    <n v="0"/>
  </r>
  <r>
    <x v="293"/>
    <n v="0"/>
    <n v="0"/>
    <n v="0"/>
    <n v="0"/>
    <n v="1"/>
    <n v="0"/>
    <n v="1"/>
    <n v="1"/>
    <n v="0"/>
  </r>
  <r>
    <x v="294"/>
    <n v="-1"/>
    <n v="0"/>
    <n v="0"/>
    <n v="0"/>
    <n v="1"/>
    <n v="0"/>
    <n v="1"/>
    <n v="1"/>
    <n v="0"/>
  </r>
  <r>
    <x v="295"/>
    <n v="0"/>
    <n v="0"/>
    <n v="0"/>
    <n v="0.01"/>
    <n v="1"/>
    <n v="0"/>
    <n v="1"/>
    <n v="1"/>
    <n v="0"/>
  </r>
  <r>
    <x v="296"/>
    <n v="0"/>
    <n v="0"/>
    <n v="0"/>
    <n v="0.03"/>
    <n v="50"/>
    <n v="0"/>
    <n v="4"/>
    <n v="3"/>
    <n v="0"/>
  </r>
  <r>
    <x v="297"/>
    <n v="10"/>
    <n v="7"/>
    <n v="0"/>
    <n v="0.03"/>
    <n v="40"/>
    <n v="0"/>
    <n v="2"/>
    <n v="2"/>
    <n v="0"/>
  </r>
  <r>
    <x v="298"/>
    <n v="-15"/>
    <n v="0"/>
    <n v="0"/>
    <n v="0.02"/>
    <n v="30"/>
    <n v="0"/>
    <n v="2"/>
    <n v="2"/>
    <n v="0"/>
  </r>
  <r>
    <x v="299"/>
    <n v="-21"/>
    <n v="0"/>
    <n v="0"/>
    <n v="0"/>
    <n v="3"/>
    <n v="0"/>
    <n v="1"/>
    <n v="1"/>
    <n v="0"/>
  </r>
  <r>
    <x v="300"/>
    <n v="0"/>
    <n v="0"/>
    <n v="0"/>
    <n v="0.02"/>
    <n v="4"/>
    <n v="0"/>
    <n v="1"/>
    <n v="1"/>
    <n v="0"/>
  </r>
  <r>
    <x v="301"/>
    <n v="0"/>
    <n v="0"/>
    <n v="0"/>
    <n v="0.03"/>
    <n v="1"/>
    <n v="0"/>
    <n v="1"/>
    <n v="1"/>
    <n v="0"/>
  </r>
  <r>
    <x v="302"/>
    <n v="-10"/>
    <n v="0"/>
    <n v="0"/>
    <n v="0.01"/>
    <n v="10"/>
    <n v="0"/>
    <n v="1"/>
    <n v="1"/>
    <n v="0"/>
  </r>
  <r>
    <x v="303"/>
    <n v="-1"/>
    <n v="0"/>
    <n v="0"/>
    <n v="0"/>
    <n v="7"/>
    <n v="0"/>
    <n v="4"/>
    <n v="4"/>
    <n v="0"/>
  </r>
  <r>
    <x v="304"/>
    <n v="-1"/>
    <n v="0"/>
    <n v="0"/>
    <n v="0.01"/>
    <n v="1"/>
    <n v="0"/>
    <n v="1"/>
    <n v="1"/>
    <n v="0"/>
  </r>
  <r>
    <x v="305"/>
    <n v="0"/>
    <n v="0"/>
    <n v="0"/>
    <n v="0"/>
    <n v="1"/>
    <n v="0"/>
    <n v="1"/>
    <n v="1"/>
    <n v="0"/>
  </r>
  <r>
    <x v="306"/>
    <n v="-13"/>
    <n v="0"/>
    <n v="0"/>
    <n v="0.02"/>
    <n v="5"/>
    <n v="0"/>
    <n v="1"/>
    <n v="1"/>
    <n v="0"/>
  </r>
  <r>
    <x v="307"/>
    <n v="1"/>
    <n v="3"/>
    <n v="0"/>
    <n v="0.02"/>
    <n v="10"/>
    <n v="0"/>
    <n v="5"/>
    <n v="5"/>
    <n v="0"/>
  </r>
  <r>
    <x v="308"/>
    <n v="2"/>
    <n v="6"/>
    <n v="0"/>
    <n v="0.01"/>
    <n v="9"/>
    <n v="0"/>
    <n v="5"/>
    <n v="5"/>
    <n v="0"/>
  </r>
  <r>
    <x v="309"/>
    <n v="0"/>
    <n v="0"/>
    <n v="0"/>
    <n v="0"/>
    <n v="20"/>
    <n v="0"/>
    <n v="1"/>
    <n v="1"/>
    <n v="0"/>
  </r>
  <r>
    <x v="310"/>
    <n v="1"/>
    <n v="7"/>
    <n v="0"/>
    <n v="0.03"/>
    <n v="4"/>
    <n v="0"/>
    <n v="4"/>
    <n v="4"/>
    <n v="0"/>
  </r>
  <r>
    <x v="311"/>
    <n v="-15"/>
    <n v="0"/>
    <n v="0"/>
    <n v="0.01"/>
    <n v="15"/>
    <n v="0"/>
    <n v="1"/>
    <n v="1"/>
    <n v="0"/>
  </r>
  <r>
    <x v="312"/>
    <n v="0"/>
    <n v="0"/>
    <n v="0"/>
    <n v="0.02"/>
    <n v="10"/>
    <n v="0"/>
    <n v="1"/>
    <n v="1"/>
    <n v="0"/>
  </r>
  <r>
    <x v="313"/>
    <n v="0"/>
    <n v="0"/>
    <n v="0"/>
    <n v="0.02"/>
    <n v="24"/>
    <n v="0"/>
    <n v="1"/>
    <n v="1"/>
    <n v="0"/>
  </r>
  <r>
    <x v="314"/>
    <n v="0"/>
    <n v="0"/>
    <n v="0"/>
    <n v="0.03"/>
    <n v="1"/>
    <n v="0"/>
    <n v="1"/>
    <n v="1"/>
    <n v="0"/>
  </r>
  <r>
    <x v="315"/>
    <n v="-1"/>
    <n v="0"/>
    <n v="0"/>
    <n v="0.02"/>
    <n v="1"/>
    <n v="0"/>
    <n v="1"/>
    <n v="1"/>
    <n v="0"/>
  </r>
  <r>
    <x v="316"/>
    <n v="0"/>
    <n v="0"/>
    <n v="0"/>
    <n v="0.02"/>
    <n v="3"/>
    <n v="0"/>
    <n v="3"/>
    <n v="3"/>
    <n v="0"/>
  </r>
  <r>
    <x v="317"/>
    <n v="-6"/>
    <n v="0"/>
    <n v="0"/>
    <n v="0.01"/>
    <n v="6"/>
    <n v="0"/>
    <n v="1"/>
    <n v="1"/>
    <n v="0"/>
  </r>
  <r>
    <x v="318"/>
    <n v="-1"/>
    <n v="0"/>
    <n v="0"/>
    <n v="0.02"/>
    <n v="1"/>
    <n v="0"/>
    <n v="1"/>
    <n v="1"/>
    <n v="0"/>
  </r>
  <r>
    <x v="319"/>
    <n v="-10"/>
    <n v="0"/>
    <n v="0"/>
    <n v="0.03"/>
    <n v="20"/>
    <n v="0"/>
    <n v="2"/>
    <n v="2"/>
    <n v="0"/>
  </r>
  <r>
    <x v="320"/>
    <n v="0"/>
    <n v="0"/>
    <n v="0"/>
    <n v="0.01"/>
    <n v="10"/>
    <n v="0"/>
    <n v="1"/>
    <n v="1"/>
    <n v="0"/>
  </r>
  <r>
    <x v="321"/>
    <n v="0"/>
    <n v="0"/>
    <n v="0"/>
    <n v="0.01"/>
    <n v="1"/>
    <n v="0"/>
    <n v="1"/>
    <n v="1"/>
    <n v="0"/>
  </r>
  <r>
    <x v="322"/>
    <n v="0"/>
    <n v="0"/>
    <n v="0"/>
    <n v="0.03"/>
    <n v="15"/>
    <n v="0"/>
    <n v="1"/>
    <n v="1"/>
    <n v="0"/>
  </r>
  <r>
    <x v="323"/>
    <n v="15"/>
    <n v="7"/>
    <n v="0"/>
    <n v="0.02"/>
    <n v="60"/>
    <n v="0"/>
    <n v="2"/>
    <n v="2"/>
    <n v="0"/>
  </r>
  <r>
    <x v="324"/>
    <n v="0"/>
    <n v="0"/>
    <n v="0"/>
    <n v="0.03"/>
    <n v="1"/>
    <n v="0"/>
    <n v="1"/>
    <n v="1"/>
    <n v="0"/>
  </r>
  <r>
    <x v="325"/>
    <n v="-10"/>
    <n v="0"/>
    <n v="0"/>
    <n v="0.01"/>
    <n v="10"/>
    <n v="0"/>
    <n v="1"/>
    <n v="1"/>
    <n v="0"/>
  </r>
  <r>
    <x v="326"/>
    <n v="-10"/>
    <n v="0"/>
    <n v="0"/>
    <n v="0.01"/>
    <n v="10"/>
    <n v="0"/>
    <n v="1"/>
    <n v="1"/>
    <n v="0"/>
  </r>
  <r>
    <x v="327"/>
    <n v="0"/>
    <n v="0"/>
    <n v="0"/>
    <n v="0.02"/>
    <n v="150"/>
    <n v="0"/>
    <n v="7"/>
    <n v="7"/>
    <n v="0"/>
  </r>
  <r>
    <x v="328"/>
    <n v="0"/>
    <n v="0"/>
    <n v="0"/>
    <n v="0"/>
    <n v="10"/>
    <n v="0"/>
    <n v="1"/>
    <n v="1"/>
    <n v="0"/>
  </r>
  <r>
    <x v="329"/>
    <n v="0"/>
    <n v="0"/>
    <n v="0"/>
    <n v="0.01"/>
    <n v="30"/>
    <n v="0"/>
    <n v="1"/>
    <n v="1"/>
    <n v="0"/>
  </r>
  <r>
    <x v="330"/>
    <n v="-6"/>
    <n v="0"/>
    <n v="0"/>
    <n v="0"/>
    <n v="1"/>
    <n v="0"/>
    <n v="1"/>
    <n v="1"/>
    <n v="0"/>
  </r>
  <r>
    <x v="331"/>
    <n v="0"/>
    <n v="0"/>
    <n v="0"/>
    <n v="0.01"/>
    <n v="2"/>
    <n v="0"/>
    <n v="2"/>
    <n v="2"/>
    <n v="0"/>
  </r>
  <r>
    <x v="332"/>
    <n v="-1"/>
    <n v="0"/>
    <n v="0"/>
    <n v="0"/>
    <n v="2"/>
    <n v="0"/>
    <n v="1"/>
    <n v="1"/>
    <n v="0"/>
  </r>
  <r>
    <x v="333"/>
    <n v="-84"/>
    <n v="0"/>
    <n v="0"/>
    <n v="0"/>
    <n v="20"/>
    <n v="0"/>
    <n v="2"/>
    <n v="2"/>
    <n v="0"/>
  </r>
  <r>
    <x v="334"/>
    <n v="0"/>
    <n v="0"/>
    <n v="0"/>
    <n v="0.01"/>
    <n v="10"/>
    <n v="0"/>
    <n v="4"/>
    <n v="4"/>
    <n v="0"/>
  </r>
  <r>
    <x v="335"/>
    <n v="0"/>
    <n v="0"/>
    <n v="0"/>
    <n v="0.01"/>
    <n v="6"/>
    <n v="0"/>
    <n v="4"/>
    <n v="4"/>
    <n v="0"/>
  </r>
  <r>
    <x v="336"/>
    <n v="-4"/>
    <n v="0"/>
    <n v="0"/>
    <n v="0"/>
    <n v="1"/>
    <n v="0"/>
    <n v="1"/>
    <n v="1"/>
    <n v="0"/>
  </r>
  <r>
    <x v="337"/>
    <n v="0"/>
    <n v="0"/>
    <n v="0"/>
    <n v="0.02"/>
    <n v="4"/>
    <n v="0"/>
    <n v="4"/>
    <n v="3"/>
    <n v="0"/>
  </r>
  <r>
    <x v="338"/>
    <n v="-6"/>
    <n v="0"/>
    <n v="0"/>
    <n v="0.01"/>
    <n v="1"/>
    <n v="0"/>
    <n v="1"/>
    <n v="1"/>
    <n v="0"/>
  </r>
  <r>
    <x v="339"/>
    <n v="0"/>
    <n v="0"/>
    <n v="0"/>
    <n v="0.01"/>
    <n v="1"/>
    <n v="0"/>
    <n v="1"/>
    <n v="1"/>
    <n v="0"/>
  </r>
  <r>
    <x v="340"/>
    <n v="0"/>
    <n v="0"/>
    <n v="0"/>
    <n v="0.02"/>
    <n v="1"/>
    <n v="0"/>
    <n v="1"/>
    <n v="1"/>
    <n v="0"/>
  </r>
  <r>
    <x v="341"/>
    <n v="-1"/>
    <n v="0"/>
    <n v="0"/>
    <n v="0.01"/>
    <n v="1"/>
    <n v="0"/>
    <n v="1"/>
    <n v="1"/>
    <n v="0"/>
  </r>
  <r>
    <x v="342"/>
    <n v="-9"/>
    <n v="0"/>
    <n v="0"/>
    <n v="0.01"/>
    <n v="2"/>
    <n v="0"/>
    <n v="2"/>
    <n v="2"/>
    <n v="0"/>
  </r>
  <r>
    <x v="343"/>
    <n v="-3"/>
    <n v="0"/>
    <n v="0"/>
    <n v="0.03"/>
    <n v="2"/>
    <n v="0"/>
    <n v="2"/>
    <n v="2"/>
    <n v="0"/>
  </r>
  <r>
    <x v="344"/>
    <n v="-4"/>
    <n v="0"/>
    <n v="0"/>
    <n v="0.01"/>
    <n v="2"/>
    <n v="0"/>
    <n v="2"/>
    <n v="2"/>
    <n v="0"/>
  </r>
  <r>
    <x v="345"/>
    <n v="-4"/>
    <n v="0"/>
    <n v="0"/>
    <n v="0.01"/>
    <n v="4"/>
    <n v="0"/>
    <n v="4"/>
    <n v="4"/>
    <n v="0"/>
  </r>
  <r>
    <x v="346"/>
    <n v="0"/>
    <n v="0"/>
    <n v="0"/>
    <n v="0.02"/>
    <n v="2"/>
    <n v="0"/>
    <n v="2"/>
    <n v="2"/>
    <n v="0"/>
  </r>
  <r>
    <x v="347"/>
    <n v="0"/>
    <n v="0"/>
    <n v="0"/>
    <n v="0.01"/>
    <n v="1"/>
    <n v="0"/>
    <n v="1"/>
    <n v="1"/>
    <n v="0"/>
  </r>
  <r>
    <x v="348"/>
    <n v="-3"/>
    <n v="0"/>
    <n v="0"/>
    <n v="0"/>
    <n v="1"/>
    <n v="0"/>
    <n v="1"/>
    <n v="1"/>
    <n v="0"/>
  </r>
  <r>
    <x v="349"/>
    <n v="-6"/>
    <n v="0"/>
    <n v="0"/>
    <n v="0"/>
    <n v="1"/>
    <n v="0"/>
    <n v="1"/>
    <n v="1"/>
    <n v="0"/>
  </r>
  <r>
    <x v="350"/>
    <n v="-2"/>
    <n v="0"/>
    <n v="0"/>
    <n v="0.02"/>
    <n v="2"/>
    <n v="0"/>
    <n v="2"/>
    <n v="2"/>
    <n v="0"/>
  </r>
  <r>
    <x v="351"/>
    <n v="-12"/>
    <n v="0"/>
    <n v="0"/>
    <n v="0"/>
    <n v="15"/>
    <n v="0"/>
    <n v="1"/>
    <n v="1"/>
    <n v="0"/>
  </r>
  <r>
    <x v="352"/>
    <n v="0"/>
    <n v="0"/>
    <n v="0"/>
    <n v="0.02"/>
    <n v="1"/>
    <n v="0"/>
    <n v="1"/>
    <n v="1"/>
    <n v="0"/>
  </r>
  <r>
    <x v="353"/>
    <n v="-45"/>
    <n v="0"/>
    <n v="0"/>
    <n v="0.03"/>
    <n v="45"/>
    <n v="0"/>
    <n v="1"/>
    <n v="1"/>
    <n v="0"/>
  </r>
  <r>
    <x v="354"/>
    <n v="10"/>
    <n v="7"/>
    <n v="0"/>
    <n v="0.02"/>
    <n v="40"/>
    <n v="0"/>
    <n v="4"/>
    <n v="4"/>
    <n v="0"/>
  </r>
  <r>
    <x v="355"/>
    <n v="0"/>
    <n v="0"/>
    <n v="0"/>
    <n v="0.02"/>
    <n v="20"/>
    <n v="0"/>
    <n v="2"/>
    <n v="2"/>
    <n v="0"/>
  </r>
  <r>
    <x v="356"/>
    <n v="0"/>
    <n v="0"/>
    <n v="0"/>
    <n v="0.01"/>
    <n v="10"/>
    <n v="0"/>
    <n v="1"/>
    <n v="1"/>
    <n v="0"/>
  </r>
  <r>
    <x v="357"/>
    <n v="-1"/>
    <n v="0"/>
    <n v="0"/>
    <n v="0.03"/>
    <n v="3"/>
    <n v="0"/>
    <n v="3"/>
    <n v="3"/>
    <n v="0"/>
  </r>
  <r>
    <x v="358"/>
    <n v="0"/>
    <n v="0"/>
    <n v="0"/>
    <n v="0.02"/>
    <n v="4"/>
    <n v="0"/>
    <n v="4"/>
    <n v="4"/>
    <n v="0"/>
  </r>
  <r>
    <x v="359"/>
    <n v="10"/>
    <n v="4"/>
    <n v="0"/>
    <n v="0.03"/>
    <n v="70"/>
    <n v="0"/>
    <n v="5"/>
    <n v="4"/>
    <n v="0"/>
  </r>
  <r>
    <x v="360"/>
    <n v="0"/>
    <n v="0"/>
    <n v="0"/>
    <n v="0.01"/>
    <n v="1"/>
    <n v="0"/>
    <n v="1"/>
    <n v="1"/>
    <n v="0"/>
  </r>
  <r>
    <x v="361"/>
    <n v="-2"/>
    <n v="0"/>
    <n v="0"/>
    <n v="0.01"/>
    <n v="2"/>
    <n v="0"/>
    <n v="1"/>
    <n v="1"/>
    <n v="0"/>
  </r>
  <r>
    <x v="362"/>
    <n v="0"/>
    <n v="0"/>
    <n v="0"/>
    <n v="0.01"/>
    <n v="1"/>
    <n v="0"/>
    <n v="1"/>
    <n v="1"/>
    <n v="0"/>
  </r>
  <r>
    <x v="363"/>
    <n v="-22"/>
    <n v="0"/>
    <n v="0"/>
    <n v="0.01"/>
    <n v="1"/>
    <n v="0"/>
    <n v="1"/>
    <n v="1"/>
    <n v="0"/>
  </r>
  <r>
    <x v="364"/>
    <n v="-12"/>
    <n v="0"/>
    <n v="0"/>
    <n v="0.02"/>
    <n v="2"/>
    <n v="0"/>
    <n v="2"/>
    <n v="2"/>
    <n v="0"/>
  </r>
  <r>
    <x v="365"/>
    <n v="-138"/>
    <n v="0"/>
    <n v="0"/>
    <n v="0"/>
    <n v="3"/>
    <n v="0"/>
    <n v="1"/>
    <n v="1"/>
    <n v="0"/>
  </r>
  <r>
    <x v="366"/>
    <n v="-99"/>
    <n v="0"/>
    <n v="0"/>
    <n v="0"/>
    <n v="9"/>
    <n v="0"/>
    <n v="5"/>
    <n v="4"/>
    <n v="0"/>
  </r>
  <r>
    <x v="367"/>
    <n v="-155"/>
    <n v="0"/>
    <n v="0"/>
    <n v="0.01"/>
    <n v="15"/>
    <n v="0"/>
    <n v="3"/>
    <n v="2"/>
    <n v="0"/>
  </r>
  <r>
    <x v="368"/>
    <n v="0"/>
    <n v="0"/>
    <n v="0"/>
    <n v="0.01"/>
    <n v="2"/>
    <n v="0"/>
    <n v="2"/>
    <n v="2"/>
    <n v="0"/>
  </r>
  <r>
    <x v="369"/>
    <n v="-7"/>
    <n v="0"/>
    <n v="0"/>
    <n v="0.01"/>
    <n v="1"/>
    <n v="0"/>
    <n v="1"/>
    <n v="1"/>
    <n v="0"/>
  </r>
  <r>
    <x v="370"/>
    <n v="-2"/>
    <n v="0"/>
    <n v="0"/>
    <n v="0.03"/>
    <n v="2"/>
    <n v="0"/>
    <n v="2"/>
    <n v="2"/>
    <n v="0"/>
  </r>
  <r>
    <x v="371"/>
    <n v="-11"/>
    <n v="0"/>
    <n v="0"/>
    <n v="0.01"/>
    <n v="1"/>
    <n v="0"/>
    <n v="1"/>
    <n v="1"/>
    <n v="0"/>
  </r>
  <r>
    <x v="372"/>
    <n v="-5"/>
    <n v="0"/>
    <n v="0"/>
    <n v="0.01"/>
    <n v="1"/>
    <n v="0"/>
    <n v="1"/>
    <n v="1"/>
    <n v="0"/>
  </r>
  <r>
    <x v="373"/>
    <n v="-1"/>
    <n v="0"/>
    <n v="0"/>
    <n v="0.01"/>
    <n v="1"/>
    <n v="0"/>
    <n v="1"/>
    <n v="1"/>
    <n v="0"/>
  </r>
  <r>
    <x v="374"/>
    <n v="-3"/>
    <n v="0"/>
    <n v="0"/>
    <n v="0.01"/>
    <n v="1"/>
    <n v="0"/>
    <n v="1"/>
    <n v="1"/>
    <n v="0"/>
  </r>
  <r>
    <x v="375"/>
    <n v="-45"/>
    <n v="0"/>
    <n v="0"/>
    <n v="0.02"/>
    <n v="15"/>
    <n v="0"/>
    <n v="1"/>
    <n v="1"/>
    <n v="0"/>
  </r>
  <r>
    <x v="376"/>
    <n v="-1"/>
    <n v="0"/>
    <n v="0"/>
    <n v="0"/>
    <n v="1"/>
    <n v="0"/>
    <n v="1"/>
    <n v="1"/>
    <n v="0"/>
  </r>
  <r>
    <x v="377"/>
    <n v="0"/>
    <n v="0"/>
    <n v="0"/>
    <n v="0.02"/>
    <n v="1"/>
    <n v="0"/>
    <n v="1"/>
    <n v="1"/>
    <n v="0"/>
  </r>
  <r>
    <x v="378"/>
    <n v="-2"/>
    <n v="0"/>
    <n v="0"/>
    <n v="0.01"/>
    <n v="1"/>
    <n v="0"/>
    <n v="1"/>
    <n v="1"/>
    <n v="0"/>
  </r>
  <r>
    <x v="379"/>
    <n v="0"/>
    <n v="0"/>
    <n v="0"/>
    <n v="0.01"/>
    <n v="1"/>
    <n v="0"/>
    <n v="1"/>
    <n v="1"/>
    <n v="0"/>
  </r>
  <r>
    <x v="380"/>
    <n v="-3"/>
    <n v="0"/>
    <n v="0"/>
    <n v="0.02"/>
    <n v="1"/>
    <n v="0"/>
    <n v="1"/>
    <n v="1"/>
    <n v="0"/>
  </r>
  <r>
    <x v="381"/>
    <n v="10"/>
    <n v="7"/>
    <n v="0"/>
    <n v="0.03"/>
    <n v="40"/>
    <n v="0"/>
    <n v="3"/>
    <n v="3"/>
    <n v="0"/>
  </r>
  <r>
    <x v="382"/>
    <n v="-14"/>
    <n v="0"/>
    <n v="0"/>
    <n v="0.01"/>
    <n v="1"/>
    <n v="0"/>
    <n v="1"/>
    <n v="1"/>
    <n v="0"/>
  </r>
  <r>
    <x v="383"/>
    <n v="0"/>
    <n v="0"/>
    <n v="0"/>
    <n v="0.03"/>
    <n v="1"/>
    <n v="0"/>
    <n v="1"/>
    <n v="1"/>
    <n v="0"/>
  </r>
  <r>
    <x v="384"/>
    <n v="0"/>
    <n v="0"/>
    <n v="0"/>
    <n v="0.02"/>
    <n v="1"/>
    <n v="0"/>
    <n v="1"/>
    <n v="1"/>
    <n v="0"/>
  </r>
  <r>
    <x v="385"/>
    <n v="-1"/>
    <n v="0"/>
    <n v="0"/>
    <n v="0.02"/>
    <n v="1"/>
    <n v="0"/>
    <n v="1"/>
    <n v="1"/>
    <n v="0"/>
  </r>
  <r>
    <x v="386"/>
    <n v="-30"/>
    <n v="0"/>
    <n v="0"/>
    <n v="0.01"/>
    <n v="30"/>
    <n v="0"/>
    <n v="3"/>
    <n v="3"/>
    <n v="0"/>
  </r>
  <r>
    <x v="387"/>
    <n v="1"/>
    <n v="7"/>
    <n v="0"/>
    <n v="0.03"/>
    <n v="4"/>
    <n v="0"/>
    <n v="4"/>
    <n v="4"/>
    <n v="0"/>
  </r>
  <r>
    <x v="388"/>
    <n v="0"/>
    <n v="0"/>
    <n v="0"/>
    <n v="0.01"/>
    <n v="1"/>
    <n v="0"/>
    <n v="1"/>
    <n v="1"/>
    <n v="0"/>
  </r>
  <r>
    <x v="389"/>
    <n v="-13"/>
    <n v="0"/>
    <n v="0"/>
    <n v="0.02"/>
    <n v="2"/>
    <n v="0"/>
    <n v="2"/>
    <n v="2"/>
    <n v="0"/>
  </r>
  <r>
    <x v="390"/>
    <n v="-3"/>
    <n v="0"/>
    <n v="0"/>
    <n v="0.01"/>
    <n v="2"/>
    <n v="0"/>
    <n v="2"/>
    <n v="2"/>
    <n v="0"/>
  </r>
  <r>
    <x v="391"/>
    <n v="-5"/>
    <n v="0"/>
    <n v="0"/>
    <n v="0.01"/>
    <n v="1"/>
    <n v="0"/>
    <n v="1"/>
    <n v="1"/>
    <n v="0"/>
  </r>
  <r>
    <x v="392"/>
    <n v="0"/>
    <n v="0"/>
    <n v="0"/>
    <n v="0.02"/>
    <n v="3"/>
    <n v="0"/>
    <n v="3"/>
    <n v="3"/>
    <n v="0"/>
  </r>
  <r>
    <x v="393"/>
    <n v="-115"/>
    <n v="0"/>
    <n v="0"/>
    <n v="0"/>
    <n v="51"/>
    <n v="0"/>
    <n v="3"/>
    <n v="3"/>
    <n v="0"/>
  </r>
  <r>
    <x v="394"/>
    <n v="-81"/>
    <n v="0"/>
    <n v="0"/>
    <n v="0.01"/>
    <n v="81"/>
    <n v="0"/>
    <n v="3"/>
    <n v="3"/>
    <n v="0"/>
  </r>
  <r>
    <x v="395"/>
    <n v="6"/>
    <n v="2"/>
    <n v="0"/>
    <n v="0"/>
    <n v="85"/>
    <n v="0"/>
    <n v="5"/>
    <n v="5"/>
    <n v="0"/>
  </r>
  <r>
    <x v="396"/>
    <n v="-45"/>
    <n v="0"/>
    <n v="0"/>
    <n v="0.01"/>
    <n v="90"/>
    <n v="0"/>
    <n v="6"/>
    <n v="5"/>
    <n v="0"/>
  </r>
  <r>
    <x v="397"/>
    <n v="-2"/>
    <n v="0"/>
    <n v="0"/>
    <n v="0"/>
    <n v="1"/>
    <n v="0"/>
    <n v="1"/>
    <n v="1"/>
    <n v="0"/>
  </r>
  <r>
    <x v="398"/>
    <n v="0"/>
    <n v="0"/>
    <n v="0"/>
    <n v="0"/>
    <n v="3"/>
    <n v="0"/>
    <n v="3"/>
    <n v="2"/>
    <n v="0"/>
  </r>
  <r>
    <x v="399"/>
    <n v="-3"/>
    <n v="0"/>
    <n v="0"/>
    <n v="0.03"/>
    <n v="2"/>
    <n v="0"/>
    <n v="1"/>
    <n v="1"/>
    <n v="0"/>
  </r>
  <r>
    <x v="400"/>
    <n v="-4"/>
    <n v="0"/>
    <n v="0"/>
    <n v="0.02"/>
    <n v="4"/>
    <n v="0"/>
    <n v="4"/>
    <n v="3"/>
    <n v="0"/>
  </r>
  <r>
    <x v="401"/>
    <n v="-20"/>
    <n v="0"/>
    <n v="0"/>
    <n v="0.01"/>
    <n v="4"/>
    <n v="0"/>
    <n v="2"/>
    <n v="2"/>
    <n v="0"/>
  </r>
  <r>
    <x v="402"/>
    <n v="0"/>
    <n v="0"/>
    <n v="0"/>
    <n v="0.01"/>
    <n v="1"/>
    <n v="0"/>
    <n v="1"/>
    <n v="1"/>
    <n v="0"/>
  </r>
  <r>
    <x v="403"/>
    <n v="0"/>
    <n v="0"/>
    <n v="0"/>
    <n v="0.01"/>
    <n v="60"/>
    <n v="0"/>
    <n v="2"/>
    <n v="2"/>
    <n v="0"/>
  </r>
  <r>
    <x v="404"/>
    <n v="0"/>
    <n v="0"/>
    <n v="0"/>
    <n v="0.03"/>
    <n v="1"/>
    <n v="0"/>
    <n v="1"/>
    <n v="1"/>
    <n v="0"/>
  </r>
  <r>
    <x v="405"/>
    <n v="-30"/>
    <n v="0"/>
    <n v="0"/>
    <n v="0.02"/>
    <n v="45"/>
    <n v="0"/>
    <n v="3"/>
    <n v="3"/>
    <n v="0"/>
  </r>
  <r>
    <x v="406"/>
    <n v="0"/>
    <n v="0"/>
    <n v="0"/>
    <n v="0.01"/>
    <n v="10"/>
    <n v="0"/>
    <n v="1"/>
    <n v="1"/>
    <n v="0"/>
  </r>
  <r>
    <x v="407"/>
    <n v="-1"/>
    <n v="0"/>
    <n v="0"/>
    <n v="0.02"/>
    <n v="1"/>
    <n v="0"/>
    <n v="1"/>
    <n v="1"/>
    <n v="0"/>
  </r>
  <r>
    <x v="408"/>
    <n v="0"/>
    <n v="0"/>
    <n v="0"/>
    <n v="0.03"/>
    <n v="1"/>
    <n v="0"/>
    <n v="1"/>
    <n v="1"/>
    <n v="0"/>
  </r>
  <r>
    <x v="409"/>
    <n v="0"/>
    <n v="0"/>
    <n v="0"/>
    <n v="0.02"/>
    <n v="2"/>
    <n v="0"/>
    <n v="2"/>
    <n v="2"/>
    <n v="0"/>
  </r>
  <r>
    <x v="410"/>
    <n v="0"/>
    <n v="0"/>
    <n v="0"/>
    <n v="0.01"/>
    <n v="2"/>
    <n v="0"/>
    <n v="2"/>
    <n v="2"/>
    <n v="0"/>
  </r>
  <r>
    <x v="411"/>
    <n v="-7"/>
    <n v="0"/>
    <n v="0"/>
    <n v="0.01"/>
    <n v="1"/>
    <n v="0"/>
    <n v="1"/>
    <n v="1"/>
    <n v="0"/>
  </r>
  <r>
    <x v="412"/>
    <n v="-1"/>
    <n v="0"/>
    <n v="0"/>
    <n v="0.01"/>
    <n v="1"/>
    <n v="0"/>
    <n v="1"/>
    <n v="1"/>
    <n v="0"/>
  </r>
  <r>
    <x v="413"/>
    <n v="0"/>
    <n v="0"/>
    <n v="0"/>
    <n v="0.02"/>
    <n v="2"/>
    <n v="0"/>
    <n v="1"/>
    <n v="1"/>
    <n v="0"/>
  </r>
  <r>
    <x v="414"/>
    <n v="30"/>
    <n v="5"/>
    <n v="0"/>
    <n v="0.03"/>
    <n v="180"/>
    <n v="0"/>
    <n v="3"/>
    <n v="3"/>
    <n v="0"/>
  </r>
  <r>
    <x v="415"/>
    <n v="0"/>
    <n v="0"/>
    <n v="0"/>
    <n v="0.01"/>
    <n v="1"/>
    <n v="0"/>
    <n v="1"/>
    <n v="1"/>
    <n v="0"/>
  </r>
  <r>
    <x v="416"/>
    <n v="-2"/>
    <n v="0"/>
    <n v="0"/>
    <n v="0.01"/>
    <n v="36"/>
    <n v="0"/>
    <n v="9"/>
    <n v="7"/>
    <n v="0"/>
  </r>
  <r>
    <x v="417"/>
    <n v="0"/>
    <n v="0"/>
    <n v="0"/>
    <n v="0.01"/>
    <n v="2"/>
    <n v="0"/>
    <n v="2"/>
    <n v="2"/>
    <n v="0"/>
  </r>
  <r>
    <x v="418"/>
    <n v="0"/>
    <n v="0"/>
    <n v="0"/>
    <n v="0.01"/>
    <n v="1"/>
    <n v="0"/>
    <n v="1"/>
    <n v="1"/>
    <n v="0"/>
  </r>
  <r>
    <x v="419"/>
    <n v="-4"/>
    <n v="0"/>
    <n v="0"/>
    <n v="0.01"/>
    <n v="1"/>
    <n v="0"/>
    <n v="1"/>
    <n v="1"/>
    <n v="0"/>
  </r>
  <r>
    <x v="420"/>
    <n v="-7"/>
    <n v="0"/>
    <n v="0"/>
    <n v="0.01"/>
    <n v="2"/>
    <n v="0"/>
    <n v="2"/>
    <n v="2"/>
    <n v="0"/>
  </r>
  <r>
    <x v="421"/>
    <n v="0"/>
    <n v="0"/>
    <n v="0"/>
    <n v="0"/>
    <n v="1"/>
    <n v="0"/>
    <n v="1"/>
    <n v="1"/>
    <n v="0"/>
  </r>
  <r>
    <x v="422"/>
    <n v="-6"/>
    <n v="0"/>
    <n v="0"/>
    <n v="0"/>
    <n v="1"/>
    <n v="0"/>
    <n v="1"/>
    <n v="1"/>
    <n v="0"/>
  </r>
  <r>
    <x v="423"/>
    <n v="-9"/>
    <n v="0"/>
    <n v="0"/>
    <n v="0.03"/>
    <n v="2"/>
    <n v="0"/>
    <n v="2"/>
    <n v="2"/>
    <n v="0"/>
  </r>
  <r>
    <x v="424"/>
    <n v="-3"/>
    <n v="0"/>
    <n v="0"/>
    <n v="0.03"/>
    <n v="5"/>
    <n v="0"/>
    <n v="5"/>
    <n v="5"/>
    <n v="0"/>
  </r>
  <r>
    <x v="425"/>
    <n v="-2"/>
    <n v="0"/>
    <n v="0"/>
    <n v="0.01"/>
    <n v="2"/>
    <n v="0"/>
    <n v="2"/>
    <n v="2"/>
    <n v="0"/>
  </r>
  <r>
    <x v="426"/>
    <n v="-39"/>
    <n v="0"/>
    <n v="0"/>
    <n v="0"/>
    <n v="35"/>
    <n v="0"/>
    <n v="5"/>
    <n v="5"/>
    <n v="0"/>
  </r>
  <r>
    <x v="427"/>
    <n v="-6"/>
    <n v="0"/>
    <n v="0"/>
    <n v="0.01"/>
    <n v="3"/>
    <n v="0"/>
    <n v="3"/>
    <n v="3"/>
    <n v="0"/>
  </r>
  <r>
    <x v="428"/>
    <n v="0"/>
    <n v="0"/>
    <n v="0"/>
    <n v="0"/>
    <n v="1"/>
    <n v="0"/>
    <n v="1"/>
    <n v="1"/>
    <n v="0"/>
  </r>
  <r>
    <x v="429"/>
    <n v="-1"/>
    <n v="0"/>
    <n v="0"/>
    <n v="0.03"/>
    <n v="1"/>
    <n v="0"/>
    <n v="1"/>
    <n v="1"/>
    <n v="0"/>
  </r>
  <r>
    <x v="430"/>
    <n v="-11"/>
    <n v="0"/>
    <n v="0"/>
    <n v="0.02"/>
    <n v="5"/>
    <n v="0"/>
    <n v="5"/>
    <n v="5"/>
    <n v="0"/>
  </r>
  <r>
    <x v="431"/>
    <n v="-67"/>
    <n v="0"/>
    <n v="0"/>
    <n v="0.01"/>
    <n v="5"/>
    <n v="0"/>
    <n v="5"/>
    <n v="5"/>
    <n v="0"/>
  </r>
  <r>
    <x v="432"/>
    <n v="-2"/>
    <n v="0"/>
    <n v="0"/>
    <n v="0.01"/>
    <n v="1"/>
    <n v="0"/>
    <n v="1"/>
    <n v="1"/>
    <n v="0"/>
  </r>
  <r>
    <x v="433"/>
    <n v="0"/>
    <n v="0"/>
    <n v="0"/>
    <n v="0.02"/>
    <n v="3"/>
    <n v="0"/>
    <n v="3"/>
    <n v="3"/>
    <n v="0"/>
  </r>
  <r>
    <x v="434"/>
    <n v="9"/>
    <n v="7"/>
    <n v="0"/>
    <n v="0.03"/>
    <n v="36"/>
    <n v="0"/>
    <n v="4"/>
    <n v="4"/>
    <n v="0"/>
  </r>
  <r>
    <x v="435"/>
    <n v="-15"/>
    <n v="0"/>
    <n v="0"/>
    <n v="0"/>
    <n v="1"/>
    <n v="0"/>
    <n v="1"/>
    <n v="1"/>
    <n v="0"/>
  </r>
  <r>
    <x v="436"/>
    <n v="0"/>
    <n v="0"/>
    <n v="0"/>
    <n v="0.03"/>
    <n v="1"/>
    <n v="0"/>
    <n v="1"/>
    <n v="1"/>
    <n v="0"/>
  </r>
  <r>
    <x v="437"/>
    <n v="1"/>
    <n v="1"/>
    <n v="0"/>
    <n v="0.02"/>
    <n v="22"/>
    <n v="0"/>
    <n v="6"/>
    <n v="6"/>
    <n v="0"/>
  </r>
  <r>
    <x v="438"/>
    <n v="0"/>
    <n v="0"/>
    <n v="0"/>
    <n v="0.02"/>
    <n v="20"/>
    <n v="0"/>
    <n v="2"/>
    <n v="2"/>
    <n v="0"/>
  </r>
  <r>
    <x v="439"/>
    <n v="0"/>
    <n v="0"/>
    <n v="0"/>
    <n v="0"/>
    <n v="1"/>
    <n v="0"/>
    <n v="1"/>
    <n v="1"/>
    <n v="0"/>
  </r>
  <r>
    <x v="440"/>
    <n v="-1"/>
    <n v="0"/>
    <n v="0"/>
    <n v="0"/>
    <n v="1"/>
    <n v="0"/>
    <n v="1"/>
    <n v="1"/>
    <n v="0"/>
  </r>
  <r>
    <x v="441"/>
    <n v="-1"/>
    <n v="0"/>
    <n v="0"/>
    <n v="0.01"/>
    <n v="10"/>
    <n v="0"/>
    <n v="1"/>
    <n v="1"/>
    <n v="0"/>
  </r>
  <r>
    <x v="442"/>
    <n v="0"/>
    <n v="0"/>
    <n v="0"/>
    <n v="0.03"/>
    <n v="1"/>
    <n v="0"/>
    <n v="1"/>
    <n v="1"/>
    <n v="0"/>
  </r>
  <r>
    <x v="443"/>
    <n v="0"/>
    <n v="0"/>
    <n v="0"/>
    <n v="0.02"/>
    <n v="3"/>
    <n v="0"/>
    <n v="2"/>
    <n v="2"/>
    <n v="0"/>
  </r>
  <r>
    <x v="444"/>
    <n v="-43"/>
    <n v="0"/>
    <n v="0"/>
    <n v="0"/>
    <n v="55"/>
    <n v="0"/>
    <n v="5"/>
    <n v="5"/>
    <n v="0"/>
  </r>
  <r>
    <x v="445"/>
    <n v="0"/>
    <n v="0"/>
    <n v="0"/>
    <n v="0.01"/>
    <n v="10"/>
    <n v="0"/>
    <n v="1"/>
    <n v="1"/>
    <n v="0"/>
  </r>
  <r>
    <x v="446"/>
    <n v="0"/>
    <n v="0"/>
    <n v="0"/>
    <n v="0.01"/>
    <n v="2"/>
    <n v="0"/>
    <n v="2"/>
    <n v="2"/>
    <n v="0"/>
  </r>
  <r>
    <x v="447"/>
    <n v="0"/>
    <n v="0"/>
    <n v="0"/>
    <n v="0.01"/>
    <n v="1"/>
    <n v="0"/>
    <n v="1"/>
    <n v="1"/>
    <n v="0"/>
  </r>
  <r>
    <x v="448"/>
    <n v="0"/>
    <n v="0"/>
    <n v="0"/>
    <n v="0.01"/>
    <n v="1"/>
    <n v="0"/>
    <n v="1"/>
    <n v="1"/>
    <n v="0"/>
  </r>
  <r>
    <x v="449"/>
    <n v="-8"/>
    <n v="0"/>
    <n v="0"/>
    <n v="0.02"/>
    <n v="1"/>
    <n v="0"/>
    <n v="1"/>
    <n v="1"/>
    <n v="0"/>
  </r>
  <r>
    <x v="450"/>
    <n v="-60"/>
    <n v="0"/>
    <n v="0"/>
    <n v="0.03"/>
    <n v="80"/>
    <n v="0"/>
    <n v="5"/>
    <n v="5"/>
    <n v="0"/>
  </r>
  <r>
    <x v="451"/>
    <n v="0"/>
    <n v="0"/>
    <n v="0"/>
    <n v="0.02"/>
    <n v="30"/>
    <n v="0"/>
    <n v="1"/>
    <n v="1"/>
    <n v="0"/>
  </r>
  <r>
    <x v="452"/>
    <n v="0"/>
    <n v="0"/>
    <n v="0"/>
    <n v="0"/>
    <n v="10"/>
    <n v="0"/>
    <n v="1"/>
    <n v="1"/>
    <n v="0"/>
  </r>
  <r>
    <x v="453"/>
    <n v="0"/>
    <n v="0"/>
    <n v="0"/>
    <n v="0.01"/>
    <n v="2"/>
    <n v="0"/>
    <n v="2"/>
    <n v="2"/>
    <n v="0"/>
  </r>
  <r>
    <x v="454"/>
    <n v="-17"/>
    <n v="0"/>
    <n v="0"/>
    <n v="0.02"/>
    <n v="46"/>
    <n v="0"/>
    <n v="7"/>
    <n v="6"/>
    <n v="0"/>
  </r>
  <r>
    <x v="455"/>
    <n v="-10"/>
    <n v="0"/>
    <n v="0"/>
    <n v="0.01"/>
    <n v="10"/>
    <n v="0"/>
    <n v="1"/>
    <n v="1"/>
    <n v="0"/>
  </r>
  <r>
    <x v="456"/>
    <n v="-2"/>
    <n v="0"/>
    <n v="0"/>
    <n v="0.03"/>
    <n v="30"/>
    <n v="0"/>
    <n v="3"/>
    <n v="3"/>
    <n v="0"/>
  </r>
  <r>
    <x v="457"/>
    <n v="-10"/>
    <n v="0"/>
    <n v="0"/>
    <n v="0.01"/>
    <n v="10"/>
    <n v="0"/>
    <n v="1"/>
    <n v="1"/>
    <n v="0"/>
  </r>
  <r>
    <x v="458"/>
    <n v="0"/>
    <n v="0"/>
    <n v="0"/>
    <n v="0.02"/>
    <n v="1"/>
    <n v="0"/>
    <n v="1"/>
    <n v="1"/>
    <n v="0"/>
  </r>
  <r>
    <x v="459"/>
    <n v="0"/>
    <n v="0"/>
    <n v="0"/>
    <n v="0"/>
    <n v="1"/>
    <n v="0"/>
    <n v="1"/>
    <n v="1"/>
    <n v="0"/>
  </r>
  <r>
    <x v="460"/>
    <n v="0"/>
    <n v="0"/>
    <n v="0"/>
    <n v="0"/>
    <n v="1"/>
    <n v="0"/>
    <n v="1"/>
    <n v="1"/>
    <n v="0"/>
  </r>
  <r>
    <x v="461"/>
    <n v="-4"/>
    <n v="0"/>
    <n v="0"/>
    <n v="0.01"/>
    <n v="2"/>
    <n v="0"/>
    <n v="2"/>
    <n v="2"/>
    <n v="0"/>
  </r>
  <r>
    <x v="462"/>
    <n v="0"/>
    <n v="0"/>
    <n v="0"/>
    <n v="0.01"/>
    <n v="1"/>
    <n v="0"/>
    <n v="1"/>
    <n v="1"/>
    <n v="0"/>
  </r>
  <r>
    <x v="463"/>
    <n v="-11"/>
    <n v="0"/>
    <n v="0"/>
    <n v="0.02"/>
    <n v="3"/>
    <n v="0"/>
    <n v="2"/>
    <n v="2"/>
    <n v="0"/>
  </r>
  <r>
    <x v="464"/>
    <n v="-1"/>
    <n v="0"/>
    <n v="0"/>
    <n v="0.01"/>
    <n v="1"/>
    <n v="0"/>
    <n v="1"/>
    <n v="1"/>
    <n v="0"/>
  </r>
  <r>
    <x v="465"/>
    <n v="0"/>
    <n v="0"/>
    <n v="0"/>
    <n v="0.01"/>
    <n v="10"/>
    <n v="0"/>
    <n v="1"/>
    <n v="1"/>
    <n v="0"/>
  </r>
  <r>
    <x v="466"/>
    <n v="-4"/>
    <n v="0"/>
    <n v="0"/>
    <n v="0.01"/>
    <n v="2"/>
    <n v="0"/>
    <n v="2"/>
    <n v="2"/>
    <n v="0"/>
  </r>
  <r>
    <x v="467"/>
    <n v="0"/>
    <n v="0"/>
    <n v="0"/>
    <n v="0.01"/>
    <n v="2"/>
    <n v="0"/>
    <n v="2"/>
    <n v="1"/>
    <n v="0"/>
  </r>
  <r>
    <x v="468"/>
    <n v="0"/>
    <n v="0"/>
    <n v="0"/>
    <n v="0.03"/>
    <n v="2"/>
    <n v="0"/>
    <n v="2"/>
    <n v="2"/>
    <n v="0"/>
  </r>
  <r>
    <x v="469"/>
    <n v="-10"/>
    <n v="0"/>
    <n v="0"/>
    <n v="0.01"/>
    <n v="10"/>
    <n v="0"/>
    <n v="1"/>
    <n v="1"/>
    <n v="0"/>
  </r>
  <r>
    <x v="470"/>
    <n v="-30"/>
    <n v="0"/>
    <n v="0"/>
    <n v="0.01"/>
    <n v="37"/>
    <n v="0"/>
    <n v="5"/>
    <n v="5"/>
    <n v="0"/>
  </r>
  <r>
    <x v="471"/>
    <n v="0"/>
    <n v="0"/>
    <n v="0"/>
    <n v="0.03"/>
    <n v="30"/>
    <n v="0"/>
    <n v="2"/>
    <n v="2"/>
    <n v="0"/>
  </r>
  <r>
    <x v="472"/>
    <n v="-15"/>
    <n v="0"/>
    <n v="0"/>
    <n v="0.03"/>
    <n v="45"/>
    <n v="0"/>
    <n v="2"/>
    <n v="2"/>
    <n v="0"/>
  </r>
  <r>
    <x v="473"/>
    <n v="0"/>
    <n v="0"/>
    <n v="0"/>
    <n v="0.03"/>
    <n v="2"/>
    <n v="0"/>
    <n v="2"/>
    <n v="2"/>
    <n v="0"/>
  </r>
  <r>
    <x v="474"/>
    <n v="-5"/>
    <n v="0"/>
    <n v="0"/>
    <n v="0"/>
    <n v="5"/>
    <n v="0"/>
    <n v="2"/>
    <n v="2"/>
    <n v="0"/>
  </r>
  <r>
    <x v="475"/>
    <n v="0"/>
    <n v="0"/>
    <n v="0"/>
    <n v="0.03"/>
    <n v="105"/>
    <n v="0"/>
    <n v="1"/>
    <n v="1"/>
    <n v="0"/>
  </r>
  <r>
    <x v="476"/>
    <n v="0"/>
    <n v="0"/>
    <n v="0"/>
    <n v="0.03"/>
    <n v="40"/>
    <n v="0"/>
    <n v="2"/>
    <n v="2"/>
    <n v="0"/>
  </r>
  <r>
    <x v="477"/>
    <n v="0"/>
    <n v="0"/>
    <n v="0"/>
    <n v="0.01"/>
    <n v="15"/>
    <n v="0"/>
    <n v="1"/>
    <n v="1"/>
    <n v="0"/>
  </r>
  <r>
    <x v="478"/>
    <n v="-1"/>
    <n v="0"/>
    <n v="0"/>
    <n v="0.03"/>
    <n v="4"/>
    <n v="0"/>
    <n v="4"/>
    <n v="3"/>
    <n v="0"/>
  </r>
  <r>
    <x v="479"/>
    <n v="0"/>
    <n v="0"/>
    <n v="0"/>
    <n v="0.03"/>
    <n v="2"/>
    <n v="0"/>
    <n v="1"/>
    <n v="1"/>
    <n v="0"/>
  </r>
  <r>
    <x v="480"/>
    <n v="0"/>
    <n v="0"/>
    <n v="0"/>
    <n v="0.01"/>
    <n v="10"/>
    <n v="0"/>
    <n v="1"/>
    <n v="1"/>
    <n v="0"/>
  </r>
  <r>
    <x v="481"/>
    <n v="0"/>
    <n v="0"/>
    <n v="0"/>
    <n v="0.03"/>
    <n v="10"/>
    <n v="0"/>
    <n v="1"/>
    <n v="1"/>
    <n v="0"/>
  </r>
  <r>
    <x v="482"/>
    <n v="-15"/>
    <n v="0"/>
    <n v="0"/>
    <n v="0.01"/>
    <n v="15"/>
    <n v="0"/>
    <n v="1"/>
    <n v="1"/>
    <n v="0"/>
  </r>
  <r>
    <x v="483"/>
    <n v="0"/>
    <n v="0"/>
    <n v="0"/>
    <n v="0.03"/>
    <n v="2"/>
    <n v="0"/>
    <n v="2"/>
    <n v="2"/>
    <n v="0"/>
  </r>
  <r>
    <x v="484"/>
    <n v="0"/>
    <n v="0"/>
    <n v="0"/>
    <n v="0.03"/>
    <n v="3"/>
    <n v="0"/>
    <n v="3"/>
    <n v="3"/>
    <n v="0"/>
  </r>
  <r>
    <x v="485"/>
    <n v="0"/>
    <n v="0"/>
    <n v="0"/>
    <n v="0.01"/>
    <n v="1"/>
    <n v="0"/>
    <n v="1"/>
    <n v="1"/>
    <n v="0"/>
  </r>
  <r>
    <x v="486"/>
    <n v="-10"/>
    <n v="0"/>
    <n v="0"/>
    <n v="0.01"/>
    <n v="30"/>
    <n v="0"/>
    <n v="3"/>
    <n v="2"/>
    <n v="0"/>
  </r>
  <r>
    <x v="487"/>
    <n v="-26"/>
    <n v="0"/>
    <n v="0"/>
    <n v="0.01"/>
    <n v="3"/>
    <n v="0"/>
    <n v="2"/>
    <n v="2"/>
    <n v="0"/>
  </r>
  <r>
    <x v="488"/>
    <n v="0"/>
    <n v="0"/>
    <n v="0"/>
    <n v="0"/>
    <n v="30"/>
    <n v="0"/>
    <n v="2"/>
    <n v="1"/>
    <n v="0"/>
  </r>
  <r>
    <x v="489"/>
    <n v="-46"/>
    <n v="0"/>
    <n v="0"/>
    <n v="0.03"/>
    <n v="244"/>
    <n v="0"/>
    <n v="22"/>
    <n v="14"/>
    <n v="0"/>
  </r>
  <r>
    <x v="490"/>
    <n v="-30"/>
    <n v="0"/>
    <n v="0"/>
    <n v="0.02"/>
    <n v="10"/>
    <n v="0"/>
    <n v="1"/>
    <n v="1"/>
    <n v="0"/>
  </r>
  <r>
    <x v="491"/>
    <n v="-60"/>
    <n v="0"/>
    <n v="0"/>
    <n v="0"/>
    <n v="30"/>
    <n v="0"/>
    <n v="1"/>
    <n v="1"/>
    <n v="0"/>
  </r>
  <r>
    <x v="492"/>
    <n v="0"/>
    <n v="0"/>
    <n v="0"/>
    <n v="0.02"/>
    <n v="2"/>
    <n v="0"/>
    <n v="2"/>
    <n v="2"/>
    <n v="0"/>
  </r>
  <r>
    <x v="493"/>
    <n v="0"/>
    <n v="0"/>
    <n v="0"/>
    <n v="0.01"/>
    <n v="2"/>
    <n v="0"/>
    <n v="2"/>
    <n v="2"/>
    <n v="0"/>
  </r>
  <r>
    <x v="494"/>
    <n v="0"/>
    <n v="0"/>
    <n v="0"/>
    <n v="0.02"/>
    <n v="1"/>
    <n v="0"/>
    <n v="1"/>
    <n v="1"/>
    <n v="1"/>
  </r>
  <r>
    <x v="495"/>
    <m/>
    <m/>
    <m/>
    <m/>
    <m/>
    <m/>
    <m/>
    <m/>
    <m/>
  </r>
  <r>
    <x v="496"/>
    <m/>
    <m/>
    <m/>
    <m/>
    <m/>
    <m/>
    <m/>
    <m/>
    <m/>
  </r>
  <r>
    <x v="497"/>
    <m/>
    <m/>
    <m/>
    <m/>
    <m/>
    <m/>
    <m/>
    <m/>
    <m/>
  </r>
  <r>
    <x v="498"/>
    <n v="382"/>
    <n v="14"/>
    <n v="0.1"/>
    <n v="0.72"/>
    <n v="790"/>
    <n v="0"/>
    <n v="72"/>
    <n v="24"/>
    <n v="0"/>
  </r>
  <r>
    <x v="499"/>
    <n v="9"/>
    <n v="12"/>
    <n v="0.09"/>
    <n v="0.61"/>
    <n v="21"/>
    <n v="0"/>
    <n v="18"/>
    <n v="15"/>
    <n v="0"/>
  </r>
  <r>
    <x v="500"/>
    <n v="5"/>
    <n v="10"/>
    <n v="0.09"/>
    <n v="0.65"/>
    <n v="15"/>
    <n v="0"/>
    <n v="6"/>
    <n v="6"/>
    <n v="0"/>
  </r>
  <r>
    <x v="501"/>
    <n v="4"/>
    <n v="9"/>
    <n v="0.08"/>
    <n v="0.56999999999999995"/>
    <n v="13"/>
    <n v="0"/>
    <n v="13"/>
    <n v="12"/>
    <n v="0"/>
  </r>
  <r>
    <x v="502"/>
    <n v="360"/>
    <n v="10"/>
    <n v="0.08"/>
    <n v="0.59"/>
    <n v="1020"/>
    <n v="0"/>
    <n v="50"/>
    <n v="25"/>
    <n v="0"/>
  </r>
  <r>
    <x v="503"/>
    <n v="189"/>
    <n v="11"/>
    <n v="0.05"/>
    <n v="0.33"/>
    <n v="474"/>
    <n v="0"/>
    <n v="31"/>
    <n v="21"/>
    <n v="0"/>
  </r>
  <r>
    <x v="504"/>
    <n v="60"/>
    <n v="12"/>
    <n v="0.03"/>
    <n v="0.2"/>
    <n v="150"/>
    <n v="0"/>
    <n v="15"/>
    <n v="14"/>
    <n v="0"/>
  </r>
  <r>
    <x v="505"/>
    <n v="720"/>
    <n v="11"/>
    <n v="0.03"/>
    <n v="0.18"/>
    <n v="1920"/>
    <n v="0"/>
    <n v="16"/>
    <n v="15"/>
    <n v="0"/>
  </r>
  <r>
    <x v="506"/>
    <n v="40"/>
    <n v="8"/>
    <n v="0.03"/>
    <n v="0.23"/>
    <n v="140"/>
    <n v="0"/>
    <n v="5"/>
    <n v="5"/>
    <n v="0"/>
  </r>
  <r>
    <x v="507"/>
    <n v="100"/>
    <n v="13"/>
    <n v="0.03"/>
    <n v="0.22"/>
    <n v="225"/>
    <n v="0"/>
    <n v="10"/>
    <n v="10"/>
    <n v="0"/>
  </r>
  <r>
    <x v="508"/>
    <n v="10"/>
    <n v="10"/>
    <n v="0.02"/>
    <n v="0.13"/>
    <n v="30"/>
    <n v="0"/>
    <n v="3"/>
    <n v="3"/>
    <n v="0"/>
  </r>
  <r>
    <x v="509"/>
    <n v="60"/>
    <n v="10"/>
    <n v="0.02"/>
    <n v="0.12"/>
    <n v="165"/>
    <n v="0"/>
    <n v="7"/>
    <n v="7"/>
    <n v="0"/>
  </r>
  <r>
    <x v="510"/>
    <n v="300"/>
    <n v="15"/>
    <n v="0.02"/>
    <n v="0.17"/>
    <n v="600"/>
    <n v="0"/>
    <n v="10"/>
    <n v="9"/>
    <n v="0"/>
  </r>
  <r>
    <x v="511"/>
    <n v="15"/>
    <n v="9"/>
    <n v="0.02"/>
    <n v="0.13"/>
    <n v="50"/>
    <n v="0"/>
    <n v="5"/>
    <n v="5"/>
    <n v="0"/>
  </r>
  <r>
    <x v="512"/>
    <n v="3"/>
    <n v="15"/>
    <n v="0.02"/>
    <n v="0.1"/>
    <n v="6"/>
    <n v="0"/>
    <n v="5"/>
    <n v="5"/>
    <n v="0"/>
  </r>
  <r>
    <x v="513"/>
    <n v="4"/>
    <n v="10"/>
    <n v="0.02"/>
    <n v="0.12"/>
    <n v="12"/>
    <n v="0"/>
    <n v="12"/>
    <n v="8"/>
    <n v="0"/>
  </r>
  <r>
    <x v="514"/>
    <n v="6"/>
    <n v="13"/>
    <n v="0.02"/>
    <n v="0.13"/>
    <n v="13"/>
    <n v="0"/>
    <n v="12"/>
    <n v="9"/>
    <n v="0"/>
  </r>
  <r>
    <x v="515"/>
    <n v="3"/>
    <n v="12"/>
    <n v="0.02"/>
    <n v="0.14000000000000001"/>
    <n v="7"/>
    <n v="0"/>
    <n v="7"/>
    <n v="6"/>
    <n v="0"/>
  </r>
  <r>
    <x v="516"/>
    <n v="70"/>
    <n v="14"/>
    <n v="0.02"/>
    <n v="0.15"/>
    <n v="150"/>
    <n v="0"/>
    <n v="6"/>
    <n v="6"/>
    <n v="0"/>
  </r>
  <r>
    <x v="517"/>
    <n v="600"/>
    <n v="15"/>
    <n v="0.02"/>
    <n v="0.11"/>
    <n v="1200"/>
    <n v="0"/>
    <n v="10"/>
    <n v="8"/>
    <n v="0"/>
  </r>
  <r>
    <x v="518"/>
    <n v="30"/>
    <n v="8"/>
    <n v="0.02"/>
    <n v="0.15"/>
    <n v="110"/>
    <n v="0"/>
    <n v="5"/>
    <n v="5"/>
    <n v="0"/>
  </r>
  <r>
    <x v="519"/>
    <n v="120"/>
    <n v="10"/>
    <n v="0.02"/>
    <n v="0.16"/>
    <n v="360"/>
    <n v="0"/>
    <n v="9"/>
    <n v="9"/>
    <n v="0"/>
  </r>
  <r>
    <x v="520"/>
    <n v="45"/>
    <n v="15"/>
    <n v="0.02"/>
    <n v="0.13"/>
    <n v="90"/>
    <n v="0"/>
    <n v="1"/>
    <n v="1"/>
    <n v="0"/>
  </r>
  <r>
    <x v="521"/>
    <n v="70"/>
    <n v="15"/>
    <n v="0.02"/>
    <n v="0.11"/>
    <n v="140"/>
    <n v="0"/>
    <n v="1"/>
    <n v="1"/>
    <n v="0"/>
  </r>
  <r>
    <x v="522"/>
    <n v="1"/>
    <n v="15"/>
    <n v="0.02"/>
    <n v="0.12"/>
    <n v="2"/>
    <n v="0"/>
    <n v="1"/>
    <n v="1"/>
    <n v="0"/>
  </r>
  <r>
    <x v="523"/>
    <n v="135"/>
    <n v="11"/>
    <n v="0.02"/>
    <n v="0.16"/>
    <n v="345"/>
    <n v="0"/>
    <n v="17"/>
    <n v="12"/>
    <n v="0"/>
  </r>
  <r>
    <x v="524"/>
    <n v="60"/>
    <n v="8"/>
    <n v="0.02"/>
    <n v="0.11"/>
    <n v="210"/>
    <n v="0"/>
    <n v="10"/>
    <n v="7"/>
    <n v="0"/>
  </r>
  <r>
    <x v="525"/>
    <n v="30"/>
    <n v="15"/>
    <n v="0.02"/>
    <n v="0.13"/>
    <n v="60"/>
    <n v="0"/>
    <n v="4"/>
    <n v="4"/>
    <n v="0"/>
  </r>
  <r>
    <x v="526"/>
    <n v="2"/>
    <n v="10"/>
    <n v="0.02"/>
    <n v="0.12"/>
    <n v="6"/>
    <n v="0"/>
    <n v="6"/>
    <n v="4"/>
    <n v="0"/>
  </r>
  <r>
    <x v="527"/>
    <n v="1"/>
    <n v="15"/>
    <n v="0.02"/>
    <n v="0.13"/>
    <n v="2"/>
    <n v="0"/>
    <n v="2"/>
    <n v="2"/>
    <n v="0"/>
  </r>
  <r>
    <x v="528"/>
    <n v="220"/>
    <n v="12"/>
    <n v="0.01"/>
    <n v="0.05"/>
    <n v="550"/>
    <n v="0"/>
    <n v="11"/>
    <n v="11"/>
    <n v="0"/>
  </r>
  <r>
    <x v="529"/>
    <n v="10"/>
    <n v="10"/>
    <n v="0.01"/>
    <n v="0.04"/>
    <n v="30"/>
    <n v="0"/>
    <n v="2"/>
    <n v="2"/>
    <n v="0"/>
  </r>
  <r>
    <x v="530"/>
    <n v="20"/>
    <n v="12"/>
    <n v="0.01"/>
    <n v="0.06"/>
    <n v="50"/>
    <n v="0"/>
    <n v="3"/>
    <n v="3"/>
    <n v="0"/>
  </r>
  <r>
    <x v="531"/>
    <n v="20"/>
    <n v="10"/>
    <n v="0.01"/>
    <n v="0.1"/>
    <n v="60"/>
    <n v="0"/>
    <n v="2"/>
    <n v="2"/>
    <n v="0"/>
  </r>
  <r>
    <x v="532"/>
    <n v="20"/>
    <n v="10"/>
    <n v="0.01"/>
    <n v="0.05"/>
    <n v="60"/>
    <n v="0"/>
    <n v="3"/>
    <n v="3"/>
    <n v="0"/>
  </r>
  <r>
    <x v="533"/>
    <n v="20"/>
    <n v="8"/>
    <n v="0.01"/>
    <n v="0.06"/>
    <n v="70"/>
    <n v="0"/>
    <n v="4"/>
    <n v="4"/>
    <n v="0"/>
  </r>
  <r>
    <x v="534"/>
    <n v="3"/>
    <n v="12"/>
    <n v="0.01"/>
    <n v="0.1"/>
    <n v="7"/>
    <n v="0"/>
    <n v="7"/>
    <n v="7"/>
    <n v="0"/>
  </r>
  <r>
    <x v="535"/>
    <n v="225"/>
    <n v="12"/>
    <n v="0.01"/>
    <n v="0.09"/>
    <n v="540"/>
    <n v="0"/>
    <n v="14"/>
    <n v="9"/>
    <n v="0"/>
  </r>
  <r>
    <x v="536"/>
    <n v="20"/>
    <n v="15"/>
    <n v="0.01"/>
    <n v="0.06"/>
    <n v="40"/>
    <n v="0"/>
    <n v="2"/>
    <n v="2"/>
    <n v="0"/>
  </r>
  <r>
    <x v="537"/>
    <n v="4"/>
    <n v="15"/>
    <n v="0.01"/>
    <n v="0.1"/>
    <n v="8"/>
    <n v="0"/>
    <n v="5"/>
    <n v="4"/>
    <n v="0"/>
  </r>
  <r>
    <x v="538"/>
    <n v="1"/>
    <n v="10"/>
    <n v="0.01"/>
    <n v="0.05"/>
    <n v="3"/>
    <n v="0"/>
    <n v="3"/>
    <n v="3"/>
    <n v="0"/>
  </r>
  <r>
    <x v="539"/>
    <n v="20"/>
    <n v="12"/>
    <n v="0.01"/>
    <n v="7.0000000000000007E-2"/>
    <n v="50"/>
    <n v="0"/>
    <n v="2"/>
    <n v="2"/>
    <n v="0"/>
  </r>
  <r>
    <x v="540"/>
    <n v="4"/>
    <n v="10"/>
    <n v="0.01"/>
    <n v="0.09"/>
    <n v="12"/>
    <n v="0"/>
    <n v="3"/>
    <n v="3"/>
    <n v="0"/>
  </r>
  <r>
    <x v="541"/>
    <n v="1"/>
    <n v="15"/>
    <n v="0.01"/>
    <n v="0.05"/>
    <n v="2"/>
    <n v="0"/>
    <n v="2"/>
    <n v="2"/>
    <n v="0"/>
  </r>
  <r>
    <x v="542"/>
    <n v="1"/>
    <n v="10"/>
    <n v="0.01"/>
    <n v="0.1"/>
    <n v="3"/>
    <n v="0"/>
    <n v="2"/>
    <n v="2"/>
    <n v="0"/>
  </r>
  <r>
    <x v="543"/>
    <n v="30"/>
    <n v="8"/>
    <n v="0.01"/>
    <n v="0.09"/>
    <n v="105"/>
    <n v="0"/>
    <n v="5"/>
    <n v="5"/>
    <n v="0"/>
  </r>
  <r>
    <x v="544"/>
    <n v="1"/>
    <n v="10"/>
    <n v="0.01"/>
    <n v="0.05"/>
    <n v="3"/>
    <n v="0"/>
    <n v="3"/>
    <n v="3"/>
    <n v="0"/>
  </r>
  <r>
    <x v="545"/>
    <n v="60"/>
    <n v="13"/>
    <n v="0.01"/>
    <n v="0.06"/>
    <n v="135"/>
    <n v="0"/>
    <n v="3"/>
    <n v="3"/>
    <n v="0"/>
  </r>
  <r>
    <x v="546"/>
    <n v="15"/>
    <n v="15"/>
    <n v="0.01"/>
    <n v="0.05"/>
    <n v="30"/>
    <n v="0"/>
    <n v="2"/>
    <n v="2"/>
    <n v="0"/>
  </r>
  <r>
    <x v="547"/>
    <n v="20"/>
    <n v="10"/>
    <n v="0.01"/>
    <n v="0.08"/>
    <n v="60"/>
    <n v="0"/>
    <n v="4"/>
    <n v="2"/>
    <n v="0"/>
  </r>
  <r>
    <x v="548"/>
    <n v="120"/>
    <n v="12"/>
    <n v="0.01"/>
    <n v="0.04"/>
    <n v="290"/>
    <n v="0"/>
    <n v="7"/>
    <n v="6"/>
    <n v="0"/>
  </r>
  <r>
    <x v="549"/>
    <n v="20"/>
    <n v="12"/>
    <n v="0.01"/>
    <n v="0.04"/>
    <n v="50"/>
    <n v="0"/>
    <n v="4"/>
    <n v="4"/>
    <n v="0"/>
  </r>
  <r>
    <x v="550"/>
    <n v="20"/>
    <n v="15"/>
    <n v="0.01"/>
    <n v="0.05"/>
    <n v="40"/>
    <n v="0"/>
    <n v="2"/>
    <n v="2"/>
    <n v="0"/>
  </r>
  <r>
    <x v="551"/>
    <n v="15"/>
    <n v="15"/>
    <n v="0.01"/>
    <n v="0.05"/>
    <n v="30"/>
    <n v="0"/>
    <n v="1"/>
    <n v="1"/>
    <n v="0"/>
  </r>
  <r>
    <x v="552"/>
    <n v="2"/>
    <n v="15"/>
    <n v="0.01"/>
    <n v="0.05"/>
    <n v="4"/>
    <n v="0"/>
    <n v="4"/>
    <n v="3"/>
    <n v="0"/>
  </r>
  <r>
    <x v="553"/>
    <n v="3"/>
    <n v="12"/>
    <n v="0.01"/>
    <n v="0.05"/>
    <n v="7"/>
    <n v="0"/>
    <n v="7"/>
    <n v="7"/>
    <n v="0"/>
  </r>
  <r>
    <x v="554"/>
    <n v="25"/>
    <n v="8"/>
    <n v="0.01"/>
    <n v="0.09"/>
    <n v="90"/>
    <n v="0"/>
    <n v="5"/>
    <n v="5"/>
    <n v="0"/>
  </r>
  <r>
    <x v="555"/>
    <n v="3"/>
    <n v="15"/>
    <n v="0.01"/>
    <n v="0.04"/>
    <n v="6"/>
    <n v="0"/>
    <n v="6"/>
    <n v="5"/>
    <n v="0"/>
  </r>
  <r>
    <x v="556"/>
    <n v="20"/>
    <n v="12"/>
    <n v="0.01"/>
    <n v="0.04"/>
    <n v="50"/>
    <n v="0"/>
    <n v="3"/>
    <n v="3"/>
    <n v="0"/>
  </r>
  <r>
    <x v="557"/>
    <n v="15"/>
    <n v="15"/>
    <n v="0.01"/>
    <n v="0.04"/>
    <n v="30"/>
    <n v="0"/>
    <n v="1"/>
    <n v="1"/>
    <n v="0"/>
  </r>
  <r>
    <x v="558"/>
    <n v="30"/>
    <n v="12"/>
    <n v="0.01"/>
    <n v="7.0000000000000007E-2"/>
    <n v="70"/>
    <n v="0"/>
    <n v="5"/>
    <n v="5"/>
    <n v="0"/>
  </r>
  <r>
    <x v="559"/>
    <n v="15"/>
    <n v="15"/>
    <n v="0.01"/>
    <n v="0.04"/>
    <n v="30"/>
    <n v="0"/>
    <n v="2"/>
    <n v="2"/>
    <n v="0"/>
  </r>
  <r>
    <x v="560"/>
    <n v="20"/>
    <n v="15"/>
    <n v="0.01"/>
    <n v="0.05"/>
    <n v="40"/>
    <n v="0"/>
    <n v="2"/>
    <n v="2"/>
    <n v="0"/>
  </r>
  <r>
    <x v="561"/>
    <n v="30"/>
    <n v="12"/>
    <n v="0.01"/>
    <n v="7.0000000000000007E-2"/>
    <n v="70"/>
    <n v="0"/>
    <n v="3"/>
    <n v="3"/>
    <n v="0"/>
  </r>
  <r>
    <x v="562"/>
    <n v="14"/>
    <n v="10"/>
    <n v="0.01"/>
    <n v="0.06"/>
    <n v="42"/>
    <n v="0"/>
    <n v="3"/>
    <n v="3"/>
    <n v="0"/>
  </r>
  <r>
    <x v="563"/>
    <n v="10"/>
    <n v="15"/>
    <n v="0.01"/>
    <n v="0.05"/>
    <n v="20"/>
    <n v="0"/>
    <n v="2"/>
    <n v="2"/>
    <n v="0"/>
  </r>
  <r>
    <x v="564"/>
    <n v="30"/>
    <n v="15"/>
    <n v="0.01"/>
    <n v="7.0000000000000007E-2"/>
    <n v="60"/>
    <n v="0"/>
    <n v="4"/>
    <n v="4"/>
    <n v="0"/>
  </r>
  <r>
    <x v="565"/>
    <n v="60"/>
    <n v="15"/>
    <n v="0.01"/>
    <n v="0.06"/>
    <n v="120"/>
    <n v="0"/>
    <n v="2"/>
    <n v="2"/>
    <n v="0"/>
  </r>
  <r>
    <x v="566"/>
    <n v="20"/>
    <n v="15"/>
    <n v="0.01"/>
    <n v="0.06"/>
    <n v="40"/>
    <n v="0"/>
    <n v="4"/>
    <n v="3"/>
    <n v="0"/>
  </r>
  <r>
    <x v="567"/>
    <n v="14"/>
    <n v="8"/>
    <n v="0.01"/>
    <n v="0.08"/>
    <n v="50"/>
    <n v="0"/>
    <n v="12"/>
    <n v="10"/>
    <n v="0"/>
  </r>
  <r>
    <x v="568"/>
    <n v="4"/>
    <n v="15"/>
    <n v="0.01"/>
    <n v="7.0000000000000007E-2"/>
    <n v="8"/>
    <n v="0"/>
    <n v="6"/>
    <n v="6"/>
    <n v="0"/>
  </r>
  <r>
    <x v="569"/>
    <n v="1"/>
    <n v="10"/>
    <n v="0.01"/>
    <n v="0.06"/>
    <n v="3"/>
    <n v="0"/>
    <n v="3"/>
    <n v="3"/>
    <n v="0"/>
  </r>
  <r>
    <x v="570"/>
    <n v="1"/>
    <n v="15"/>
    <n v="0.01"/>
    <n v="0.09"/>
    <n v="2"/>
    <n v="0"/>
    <n v="2"/>
    <n v="1"/>
    <n v="0"/>
  </r>
  <r>
    <x v="571"/>
    <n v="20"/>
    <n v="12"/>
    <n v="0.01"/>
    <n v="0.08"/>
    <n v="50"/>
    <n v="0"/>
    <n v="6"/>
    <n v="5"/>
    <n v="0"/>
  </r>
  <r>
    <x v="572"/>
    <n v="1"/>
    <n v="15"/>
    <n v="0.01"/>
    <n v="0.1"/>
    <n v="2"/>
    <n v="0"/>
    <n v="2"/>
    <n v="2"/>
    <n v="0"/>
  </r>
  <r>
    <x v="573"/>
    <n v="2"/>
    <n v="15"/>
    <n v="0.01"/>
    <n v="0.05"/>
    <n v="4"/>
    <n v="0"/>
    <n v="4"/>
    <n v="4"/>
    <n v="0"/>
  </r>
  <r>
    <x v="574"/>
    <n v="4"/>
    <n v="15"/>
    <n v="0.01"/>
    <n v="7.0000000000000007E-2"/>
    <n v="8"/>
    <n v="0"/>
    <n v="2"/>
    <n v="2"/>
    <n v="0"/>
  </r>
  <r>
    <x v="575"/>
    <n v="120"/>
    <n v="13"/>
    <n v="0.01"/>
    <n v="0.04"/>
    <n v="270"/>
    <n v="0"/>
    <n v="11"/>
    <n v="9"/>
    <n v="0"/>
  </r>
  <r>
    <x v="576"/>
    <n v="15"/>
    <n v="10"/>
    <n v="0.01"/>
    <n v="7.0000000000000007E-2"/>
    <n v="45"/>
    <n v="0"/>
    <n v="2"/>
    <n v="2"/>
    <n v="0"/>
  </r>
  <r>
    <x v="577"/>
    <n v="10"/>
    <n v="10"/>
    <n v="0.01"/>
    <n v="0.09"/>
    <n v="30"/>
    <n v="0"/>
    <n v="3"/>
    <n v="3"/>
    <n v="0"/>
  </r>
  <r>
    <x v="578"/>
    <n v="14"/>
    <n v="10"/>
    <n v="0.01"/>
    <n v="7.0000000000000007E-2"/>
    <n v="42"/>
    <n v="0"/>
    <n v="2"/>
    <n v="2"/>
    <n v="0"/>
  </r>
  <r>
    <x v="579"/>
    <n v="15"/>
    <n v="10"/>
    <n v="0.01"/>
    <n v="0.04"/>
    <n v="45"/>
    <n v="0"/>
    <n v="2"/>
    <n v="2"/>
    <n v="0"/>
  </r>
  <r>
    <x v="580"/>
    <n v="2"/>
    <n v="12"/>
    <n v="0.01"/>
    <n v="0.06"/>
    <n v="5"/>
    <n v="0"/>
    <n v="5"/>
    <n v="4"/>
    <n v="0"/>
  </r>
  <r>
    <x v="581"/>
    <n v="30"/>
    <n v="15"/>
    <n v="0.01"/>
    <n v="0.1"/>
    <n v="60"/>
    <n v="0"/>
    <n v="3"/>
    <n v="3"/>
    <n v="0"/>
  </r>
  <r>
    <x v="582"/>
    <n v="1"/>
    <n v="10"/>
    <n v="0.01"/>
    <n v="0.05"/>
    <n v="3"/>
    <n v="0"/>
    <n v="2"/>
    <n v="2"/>
    <n v="0"/>
  </r>
  <r>
    <x v="583"/>
    <n v="1"/>
    <n v="15"/>
    <n v="0.01"/>
    <n v="0.04"/>
    <n v="2"/>
    <n v="0"/>
    <n v="2"/>
    <n v="2"/>
    <n v="0"/>
  </r>
  <r>
    <x v="584"/>
    <n v="10"/>
    <n v="15"/>
    <n v="0.01"/>
    <n v="0.05"/>
    <n v="20"/>
    <n v="0"/>
    <n v="1"/>
    <n v="1"/>
    <n v="0"/>
  </r>
  <r>
    <x v="585"/>
    <n v="84"/>
    <n v="14"/>
    <n v="0.01"/>
    <n v="0.06"/>
    <n v="176"/>
    <n v="0"/>
    <n v="36"/>
    <n v="19"/>
    <n v="0"/>
  </r>
  <r>
    <x v="586"/>
    <n v="2"/>
    <n v="10"/>
    <n v="0.01"/>
    <n v="0.04"/>
    <n v="6"/>
    <n v="0"/>
    <n v="6"/>
    <n v="5"/>
    <n v="0"/>
  </r>
  <r>
    <x v="587"/>
    <n v="20"/>
    <n v="15"/>
    <n v="0.01"/>
    <n v="0.04"/>
    <n v="40"/>
    <n v="0"/>
    <n v="3"/>
    <n v="3"/>
    <n v="0"/>
  </r>
  <r>
    <x v="588"/>
    <n v="5"/>
    <n v="12"/>
    <n v="0.01"/>
    <n v="0.05"/>
    <n v="12"/>
    <n v="0"/>
    <n v="12"/>
    <n v="9"/>
    <n v="0"/>
  </r>
  <r>
    <x v="589"/>
    <n v="10"/>
    <n v="10"/>
    <n v="0.01"/>
    <n v="0.04"/>
    <n v="30"/>
    <n v="0"/>
    <n v="1"/>
    <n v="1"/>
    <n v="0"/>
  </r>
  <r>
    <x v="590"/>
    <n v="45"/>
    <n v="12"/>
    <n v="0.01"/>
    <n v="0.04"/>
    <n v="105"/>
    <n v="0"/>
    <n v="6"/>
    <n v="6"/>
    <n v="0"/>
  </r>
  <r>
    <x v="591"/>
    <n v="1"/>
    <n v="15"/>
    <n v="0.01"/>
    <n v="7.0000000000000007E-2"/>
    <n v="2"/>
    <n v="0"/>
    <n v="2"/>
    <n v="2"/>
    <n v="0"/>
  </r>
  <r>
    <x v="592"/>
    <n v="3"/>
    <n v="9"/>
    <n v="0.01"/>
    <n v="0.04"/>
    <n v="10"/>
    <n v="0"/>
    <n v="1"/>
    <n v="1"/>
    <n v="0"/>
  </r>
  <r>
    <x v="593"/>
    <n v="20"/>
    <n v="15"/>
    <n v="0.01"/>
    <n v="0.05"/>
    <n v="40"/>
    <n v="0"/>
    <n v="4"/>
    <n v="4"/>
    <n v="0"/>
  </r>
  <r>
    <x v="594"/>
    <n v="45"/>
    <n v="15"/>
    <n v="0.01"/>
    <n v="7.0000000000000007E-2"/>
    <n v="90"/>
    <n v="0"/>
    <n v="3"/>
    <n v="2"/>
    <n v="0"/>
  </r>
  <r>
    <x v="595"/>
    <n v="20"/>
    <n v="15"/>
    <n v="0.01"/>
    <n v="0.06"/>
    <n v="40"/>
    <n v="0"/>
    <n v="4"/>
    <n v="4"/>
    <n v="0"/>
  </r>
  <r>
    <x v="596"/>
    <n v="15"/>
    <n v="9"/>
    <n v="0.01"/>
    <n v="0.08"/>
    <n v="50"/>
    <n v="0"/>
    <n v="5"/>
    <n v="4"/>
    <n v="0"/>
  </r>
  <r>
    <x v="597"/>
    <n v="14"/>
    <n v="15"/>
    <n v="0.01"/>
    <n v="0.05"/>
    <n v="28"/>
    <n v="0"/>
    <n v="2"/>
    <n v="2"/>
    <n v="0"/>
  </r>
  <r>
    <x v="598"/>
    <n v="120"/>
    <n v="9"/>
    <n v="0.01"/>
    <n v="0.1"/>
    <n v="380"/>
    <n v="0"/>
    <n v="11"/>
    <n v="9"/>
    <n v="0"/>
  </r>
  <r>
    <x v="599"/>
    <n v="2"/>
    <n v="12"/>
    <n v="0.01"/>
    <n v="0.04"/>
    <n v="5"/>
    <n v="0"/>
    <n v="5"/>
    <n v="4"/>
    <n v="0"/>
  </r>
  <r>
    <x v="600"/>
    <n v="2"/>
    <n v="12"/>
    <n v="0.01"/>
    <n v="0.04"/>
    <n v="5"/>
    <n v="0"/>
    <n v="5"/>
    <n v="4"/>
    <n v="0"/>
  </r>
  <r>
    <x v="601"/>
    <n v="12"/>
    <n v="12"/>
    <n v="0.01"/>
    <n v="0.06"/>
    <n v="28"/>
    <n v="0"/>
    <n v="6"/>
    <n v="5"/>
    <n v="0"/>
  </r>
  <r>
    <x v="602"/>
    <n v="1"/>
    <n v="15"/>
    <n v="0"/>
    <n v="0.02"/>
    <n v="2"/>
    <n v="0"/>
    <n v="2"/>
    <n v="2"/>
    <n v="0"/>
  </r>
  <r>
    <x v="603"/>
    <n v="77"/>
    <n v="11"/>
    <n v="0"/>
    <n v="0.01"/>
    <n v="195"/>
    <n v="0"/>
    <n v="9"/>
    <n v="8"/>
    <n v="0"/>
  </r>
  <r>
    <x v="604"/>
    <n v="1"/>
    <n v="15"/>
    <n v="0"/>
    <n v="0.02"/>
    <n v="2"/>
    <n v="0"/>
    <n v="2"/>
    <n v="2"/>
    <n v="0"/>
  </r>
  <r>
    <x v="605"/>
    <n v="1"/>
    <n v="15"/>
    <n v="0"/>
    <n v="0.03"/>
    <n v="2"/>
    <n v="0"/>
    <n v="2"/>
    <n v="2"/>
    <n v="0"/>
  </r>
  <r>
    <x v="606"/>
    <n v="1"/>
    <n v="15"/>
    <n v="0"/>
    <n v="0.01"/>
    <n v="2"/>
    <n v="0"/>
    <n v="2"/>
    <n v="2"/>
    <n v="0"/>
  </r>
  <r>
    <x v="607"/>
    <n v="30"/>
    <n v="15"/>
    <n v="0"/>
    <n v="0.01"/>
    <n v="60"/>
    <n v="0"/>
    <n v="2"/>
    <n v="2"/>
    <n v="0"/>
  </r>
  <r>
    <x v="608"/>
    <n v="10"/>
    <n v="10"/>
    <n v="0"/>
    <n v="0.03"/>
    <n v="30"/>
    <n v="0"/>
    <n v="1"/>
    <n v="1"/>
    <n v="0"/>
  </r>
  <r>
    <x v="609"/>
    <n v="10"/>
    <n v="15"/>
    <n v="0"/>
    <n v="0.01"/>
    <n v="20"/>
    <n v="0"/>
    <n v="1"/>
    <n v="1"/>
    <n v="0"/>
  </r>
  <r>
    <x v="610"/>
    <n v="8"/>
    <n v="8"/>
    <n v="0"/>
    <n v="0.01"/>
    <n v="30"/>
    <n v="0"/>
    <n v="2"/>
    <n v="2"/>
    <n v="0"/>
  </r>
  <r>
    <x v="611"/>
    <n v="12"/>
    <n v="15"/>
    <n v="0"/>
    <n v="0.01"/>
    <n v="24"/>
    <n v="0"/>
    <n v="3"/>
    <n v="3"/>
    <n v="0"/>
  </r>
  <r>
    <x v="612"/>
    <n v="40"/>
    <n v="10"/>
    <n v="0"/>
    <n v="0.02"/>
    <n v="120"/>
    <n v="0"/>
    <n v="6"/>
    <n v="5"/>
    <n v="0"/>
  </r>
  <r>
    <x v="613"/>
    <n v="10"/>
    <n v="10"/>
    <n v="0"/>
    <n v="0.02"/>
    <n v="30"/>
    <n v="0"/>
    <n v="3"/>
    <n v="3"/>
    <n v="0"/>
  </r>
  <r>
    <x v="614"/>
    <n v="3"/>
    <n v="15"/>
    <n v="0"/>
    <n v="0.03"/>
    <n v="6"/>
    <n v="0"/>
    <n v="6"/>
    <n v="4"/>
    <n v="0"/>
  </r>
  <r>
    <x v="615"/>
    <n v="2"/>
    <n v="15"/>
    <n v="0"/>
    <n v="0.03"/>
    <n v="4"/>
    <n v="0"/>
    <n v="4"/>
    <n v="4"/>
    <n v="0"/>
  </r>
  <r>
    <x v="616"/>
    <n v="10"/>
    <n v="15"/>
    <n v="0"/>
    <n v="0.02"/>
    <n v="20"/>
    <n v="0"/>
    <n v="2"/>
    <n v="2"/>
    <n v="0"/>
  </r>
  <r>
    <x v="617"/>
    <n v="10"/>
    <n v="10"/>
    <n v="0"/>
    <n v="0.01"/>
    <n v="30"/>
    <n v="0"/>
    <n v="1"/>
    <n v="1"/>
    <n v="0"/>
  </r>
  <r>
    <x v="618"/>
    <n v="1"/>
    <n v="15"/>
    <n v="0"/>
    <n v="0.03"/>
    <n v="2"/>
    <n v="0"/>
    <n v="2"/>
    <n v="2"/>
    <n v="0"/>
  </r>
  <r>
    <x v="619"/>
    <n v="1"/>
    <n v="15"/>
    <n v="0"/>
    <n v="0.03"/>
    <n v="2"/>
    <n v="0"/>
    <n v="2"/>
    <n v="2"/>
    <n v="0"/>
  </r>
  <r>
    <x v="620"/>
    <n v="14"/>
    <n v="15"/>
    <n v="0"/>
    <n v="0.03"/>
    <n v="28"/>
    <n v="0"/>
    <n v="1"/>
    <n v="1"/>
    <n v="0"/>
  </r>
  <r>
    <x v="621"/>
    <n v="10"/>
    <n v="10"/>
    <n v="0"/>
    <n v="0.03"/>
    <n v="30"/>
    <n v="0"/>
    <n v="3"/>
    <n v="3"/>
    <n v="0"/>
  </r>
  <r>
    <x v="622"/>
    <n v="15"/>
    <n v="15"/>
    <n v="0"/>
    <n v="0.01"/>
    <n v="30"/>
    <n v="0"/>
    <n v="1"/>
    <n v="1"/>
    <n v="0"/>
  </r>
  <r>
    <x v="623"/>
    <n v="20"/>
    <n v="15"/>
    <n v="0"/>
    <n v="0.01"/>
    <n v="40"/>
    <n v="0"/>
    <n v="2"/>
    <n v="2"/>
    <n v="0"/>
  </r>
  <r>
    <x v="624"/>
    <n v="60"/>
    <n v="15"/>
    <n v="0"/>
    <n v="0.03"/>
    <n v="120"/>
    <n v="0"/>
    <n v="5"/>
    <n v="5"/>
    <n v="0"/>
  </r>
  <r>
    <x v="625"/>
    <n v="1"/>
    <n v="15"/>
    <n v="0"/>
    <n v="0.02"/>
    <n v="2"/>
    <n v="0"/>
    <n v="2"/>
    <n v="2"/>
    <n v="0"/>
  </r>
  <r>
    <x v="626"/>
    <n v="40"/>
    <n v="15"/>
    <n v="0"/>
    <n v="0.02"/>
    <n v="80"/>
    <n v="0"/>
    <n v="4"/>
    <n v="4"/>
    <n v="0"/>
  </r>
  <r>
    <x v="627"/>
    <n v="15"/>
    <n v="15"/>
    <n v="0"/>
    <n v="0.02"/>
    <n v="30"/>
    <n v="0"/>
    <n v="1"/>
    <n v="1"/>
    <n v="0"/>
  </r>
  <r>
    <x v="628"/>
    <n v="30"/>
    <n v="15"/>
    <n v="0"/>
    <n v="0"/>
    <n v="60"/>
    <n v="0"/>
    <n v="2"/>
    <n v="2"/>
    <n v="0"/>
  </r>
  <r>
    <x v="629"/>
    <n v="10"/>
    <n v="10"/>
    <n v="0"/>
    <n v="0.03"/>
    <n v="30"/>
    <n v="0"/>
    <n v="1"/>
    <n v="1"/>
    <n v="0"/>
  </r>
  <r>
    <x v="630"/>
    <n v="1"/>
    <n v="10"/>
    <n v="0"/>
    <n v="0.01"/>
    <n v="3"/>
    <n v="0"/>
    <n v="3"/>
    <n v="3"/>
    <n v="0"/>
  </r>
  <r>
    <x v="631"/>
    <n v="5"/>
    <n v="15"/>
    <n v="0"/>
    <n v="0.03"/>
    <n v="10"/>
    <n v="0"/>
    <n v="10"/>
    <n v="7"/>
    <n v="0"/>
  </r>
  <r>
    <x v="632"/>
    <n v="10"/>
    <n v="15"/>
    <n v="0"/>
    <n v="0.02"/>
    <n v="20"/>
    <n v="0"/>
    <n v="1"/>
    <n v="1"/>
    <n v="0"/>
  </r>
  <r>
    <x v="633"/>
    <n v="1"/>
    <n v="15"/>
    <n v="0"/>
    <n v="0.01"/>
    <n v="2"/>
    <n v="0"/>
    <n v="2"/>
    <n v="2"/>
    <n v="0"/>
  </r>
  <r>
    <x v="634"/>
    <n v="10"/>
    <n v="15"/>
    <n v="0"/>
    <n v="0.02"/>
    <n v="20"/>
    <n v="0"/>
    <n v="1"/>
    <n v="1"/>
    <n v="0"/>
  </r>
  <r>
    <x v="635"/>
    <n v="10"/>
    <n v="10"/>
    <n v="0"/>
    <n v="0.03"/>
    <n v="30"/>
    <n v="0"/>
    <n v="3"/>
    <n v="3"/>
    <n v="0"/>
  </r>
  <r>
    <x v="636"/>
    <n v="20"/>
    <n v="15"/>
    <n v="0"/>
    <n v="0.03"/>
    <n v="40"/>
    <n v="0"/>
    <n v="4"/>
    <n v="4"/>
    <n v="0"/>
  </r>
  <r>
    <x v="637"/>
    <n v="1"/>
    <n v="15"/>
    <n v="0"/>
    <n v="0.02"/>
    <n v="2"/>
    <n v="0"/>
    <n v="2"/>
    <n v="2"/>
    <n v="0"/>
  </r>
  <r>
    <x v="638"/>
    <n v="7"/>
    <n v="8"/>
    <n v="0"/>
    <n v="0"/>
    <n v="24"/>
    <n v="0"/>
    <n v="3"/>
    <n v="3"/>
    <n v="0"/>
  </r>
  <r>
    <x v="639"/>
    <n v="1"/>
    <n v="15"/>
    <n v="0"/>
    <n v="0.01"/>
    <n v="2"/>
    <n v="0"/>
    <n v="2"/>
    <n v="2"/>
    <n v="0"/>
  </r>
  <r>
    <x v="640"/>
    <n v="4"/>
    <n v="10"/>
    <n v="0"/>
    <n v="0.01"/>
    <n v="11"/>
    <n v="0"/>
    <n v="4"/>
    <n v="4"/>
    <n v="0"/>
  </r>
  <r>
    <x v="641"/>
    <n v="10"/>
    <n v="15"/>
    <n v="0"/>
    <n v="0.02"/>
    <n v="20"/>
    <n v="0"/>
    <n v="2"/>
    <n v="2"/>
    <n v="0"/>
  </r>
  <r>
    <x v="642"/>
    <n v="50"/>
    <n v="15"/>
    <n v="0"/>
    <n v="0.03"/>
    <n v="100"/>
    <n v="0"/>
    <n v="5"/>
    <n v="5"/>
    <n v="0"/>
  </r>
  <r>
    <x v="643"/>
    <n v="10"/>
    <n v="15"/>
    <n v="0"/>
    <n v="0.02"/>
    <n v="20"/>
    <n v="0"/>
    <n v="2"/>
    <n v="2"/>
    <n v="0"/>
  </r>
  <r>
    <x v="644"/>
    <n v="10"/>
    <n v="15"/>
    <n v="0"/>
    <n v="0.01"/>
    <n v="20"/>
    <n v="0"/>
    <n v="1"/>
    <n v="1"/>
    <n v="0"/>
  </r>
  <r>
    <x v="645"/>
    <n v="1"/>
    <n v="15"/>
    <n v="0"/>
    <n v="0.01"/>
    <n v="2"/>
    <n v="0"/>
    <n v="2"/>
    <n v="2"/>
    <n v="0"/>
  </r>
  <r>
    <x v="646"/>
    <n v="1"/>
    <n v="15"/>
    <n v="0"/>
    <n v="0.03"/>
    <n v="2"/>
    <n v="0"/>
    <n v="2"/>
    <n v="2"/>
    <n v="0"/>
  </r>
  <r>
    <x v="647"/>
    <n v="10"/>
    <n v="15"/>
    <n v="0"/>
    <n v="0.03"/>
    <n v="20"/>
    <n v="0"/>
    <n v="2"/>
    <n v="2"/>
    <n v="0"/>
  </r>
  <r>
    <x v="648"/>
    <n v="10"/>
    <n v="15"/>
    <n v="0"/>
    <n v="0.03"/>
    <n v="20"/>
    <n v="0"/>
    <n v="2"/>
    <n v="2"/>
    <n v="0"/>
  </r>
  <r>
    <x v="649"/>
    <n v="10"/>
    <n v="15"/>
    <n v="0"/>
    <n v="0.01"/>
    <n v="20"/>
    <n v="0"/>
    <n v="1"/>
    <n v="1"/>
    <n v="0"/>
  </r>
  <r>
    <x v="650"/>
    <n v="10"/>
    <n v="15"/>
    <n v="0"/>
    <n v="0.01"/>
    <n v="20"/>
    <n v="0"/>
    <n v="1"/>
    <n v="1"/>
    <n v="0"/>
  </r>
  <r>
    <x v="651"/>
    <n v="1"/>
    <n v="15"/>
    <n v="0"/>
    <n v="0"/>
    <n v="2"/>
    <n v="0"/>
    <n v="1"/>
    <n v="1"/>
    <n v="0"/>
  </r>
  <r>
    <x v="652"/>
    <n v="3"/>
    <n v="11"/>
    <n v="0"/>
    <n v="0.01"/>
    <n v="8"/>
    <n v="0"/>
    <n v="1"/>
    <n v="1"/>
    <n v="0"/>
  </r>
  <r>
    <x v="653"/>
    <n v="1"/>
    <n v="15"/>
    <n v="0"/>
    <n v="0.02"/>
    <n v="2"/>
    <n v="0"/>
    <n v="2"/>
    <n v="2"/>
    <n v="0"/>
  </r>
  <r>
    <x v="654"/>
    <n v="30"/>
    <n v="15"/>
    <n v="0"/>
    <n v="0.03"/>
    <n v="60"/>
    <n v="0"/>
    <n v="1"/>
    <n v="1"/>
    <n v="0"/>
  </r>
  <r>
    <x v="655"/>
    <n v="1"/>
    <n v="15"/>
    <n v="0"/>
    <n v="0.02"/>
    <n v="2"/>
    <n v="0"/>
    <n v="2"/>
    <n v="2"/>
    <n v="0"/>
  </r>
  <r>
    <x v="656"/>
    <n v="1"/>
    <n v="10"/>
    <n v="0"/>
    <n v="0.02"/>
    <n v="3"/>
    <n v="0"/>
    <n v="3"/>
    <n v="2"/>
    <n v="0"/>
  </r>
  <r>
    <x v="657"/>
    <n v="30"/>
    <n v="15"/>
    <n v="0"/>
    <n v="0.02"/>
    <n v="60"/>
    <n v="0"/>
    <n v="2"/>
    <n v="2"/>
    <n v="0"/>
  </r>
  <r>
    <x v="658"/>
    <n v="15"/>
    <n v="15"/>
    <n v="0"/>
    <n v="0.02"/>
    <n v="30"/>
    <n v="0"/>
    <n v="2"/>
    <n v="2"/>
    <n v="0"/>
  </r>
  <r>
    <x v="659"/>
    <n v="45"/>
    <n v="15"/>
    <n v="0"/>
    <n v="0.03"/>
    <n v="90"/>
    <n v="0"/>
    <n v="4"/>
    <n v="4"/>
    <n v="0"/>
  </r>
  <r>
    <x v="660"/>
    <n v="30"/>
    <n v="12"/>
    <n v="0"/>
    <n v="0.03"/>
    <n v="75"/>
    <n v="0"/>
    <n v="3"/>
    <n v="3"/>
    <n v="0"/>
  </r>
  <r>
    <x v="661"/>
    <n v="1"/>
    <n v="15"/>
    <n v="0"/>
    <n v="0.03"/>
    <n v="2"/>
    <n v="0"/>
    <n v="2"/>
    <n v="2"/>
    <n v="0"/>
  </r>
  <r>
    <x v="662"/>
    <n v="1"/>
    <n v="10"/>
    <n v="0"/>
    <n v="0.02"/>
    <n v="3"/>
    <n v="0"/>
    <n v="3"/>
    <n v="2"/>
    <n v="0"/>
  </r>
  <r>
    <x v="663"/>
    <n v="2"/>
    <n v="15"/>
    <n v="0"/>
    <n v="0.02"/>
    <n v="4"/>
    <n v="0"/>
    <n v="4"/>
    <n v="4"/>
    <n v="0"/>
  </r>
  <r>
    <x v="664"/>
    <n v="1"/>
    <n v="15"/>
    <n v="0"/>
    <n v="0.02"/>
    <n v="2"/>
    <n v="0"/>
    <n v="2"/>
    <n v="2"/>
    <n v="0"/>
  </r>
  <r>
    <x v="665"/>
    <n v="1"/>
    <n v="15"/>
    <n v="0"/>
    <n v="0.02"/>
    <n v="2"/>
    <n v="0"/>
    <n v="2"/>
    <n v="2"/>
    <n v="0"/>
  </r>
  <r>
    <x v="666"/>
    <n v="1"/>
    <n v="15"/>
    <n v="0"/>
    <n v="0.03"/>
    <n v="2"/>
    <n v="0"/>
    <n v="2"/>
    <n v="2"/>
    <n v="0"/>
  </r>
  <r>
    <x v="667"/>
    <n v="20"/>
    <n v="15"/>
    <n v="0"/>
    <n v="0.03"/>
    <n v="40"/>
    <n v="0"/>
    <n v="2"/>
    <n v="2"/>
    <n v="0"/>
  </r>
  <r>
    <x v="668"/>
    <n v="3"/>
    <n v="15"/>
    <n v="0"/>
    <n v="0.03"/>
    <n v="6"/>
    <n v="0"/>
    <n v="6"/>
    <n v="6"/>
    <n v="0"/>
  </r>
  <r>
    <x v="669"/>
    <n v="10"/>
    <n v="15"/>
    <n v="0"/>
    <n v="0.01"/>
    <n v="20"/>
    <n v="0"/>
    <n v="2"/>
    <n v="2"/>
    <n v="0"/>
  </r>
  <r>
    <x v="670"/>
    <n v="1"/>
    <n v="10"/>
    <n v="0"/>
    <n v="0.03"/>
    <n v="3"/>
    <n v="0"/>
    <n v="3"/>
    <n v="3"/>
    <n v="0"/>
  </r>
  <r>
    <x v="671"/>
    <n v="20"/>
    <n v="15"/>
    <n v="0"/>
    <n v="0"/>
    <n v="40"/>
    <n v="0"/>
    <n v="2"/>
    <n v="2"/>
    <n v="0"/>
  </r>
  <r>
    <x v="672"/>
    <n v="1"/>
    <n v="15"/>
    <n v="0"/>
    <n v="0.03"/>
    <n v="2"/>
    <n v="0"/>
    <n v="2"/>
    <n v="2"/>
    <n v="0"/>
  </r>
  <r>
    <x v="673"/>
    <n v="15"/>
    <n v="15"/>
    <n v="0"/>
    <n v="0.02"/>
    <n v="30"/>
    <n v="0"/>
    <n v="1"/>
    <n v="1"/>
    <n v="0"/>
  </r>
  <r>
    <x v="674"/>
    <n v="15"/>
    <n v="15"/>
    <n v="0"/>
    <n v="0.02"/>
    <n v="30"/>
    <n v="0"/>
    <n v="2"/>
    <n v="2"/>
    <n v="0"/>
  </r>
  <r>
    <x v="675"/>
    <n v="45"/>
    <n v="15"/>
    <n v="0"/>
    <n v="0.02"/>
    <n v="90"/>
    <n v="0"/>
    <n v="5"/>
    <n v="5"/>
    <n v="0"/>
  </r>
  <r>
    <x v="676"/>
    <n v="30"/>
    <n v="15"/>
    <n v="0"/>
    <n v="0.02"/>
    <n v="60"/>
    <n v="0"/>
    <n v="3"/>
    <n v="3"/>
    <n v="0"/>
  </r>
  <r>
    <x v="677"/>
    <n v="15"/>
    <n v="15"/>
    <n v="0"/>
    <n v="0.03"/>
    <n v="30"/>
    <n v="0"/>
    <n v="2"/>
    <n v="2"/>
    <n v="0"/>
  </r>
  <r>
    <x v="678"/>
    <n v="10"/>
    <n v="10"/>
    <n v="0"/>
    <n v="0.01"/>
    <n v="30"/>
    <n v="0"/>
    <n v="1"/>
    <n v="1"/>
    <n v="0"/>
  </r>
  <r>
    <x v="679"/>
    <n v="5"/>
    <n v="13"/>
    <n v="0"/>
    <n v="0.03"/>
    <n v="11"/>
    <n v="0"/>
    <n v="11"/>
    <n v="9"/>
    <n v="0"/>
  </r>
  <r>
    <x v="680"/>
    <n v="2"/>
    <n v="12"/>
    <n v="0"/>
    <n v="0.02"/>
    <n v="5"/>
    <n v="0"/>
    <n v="4"/>
    <n v="4"/>
    <n v="0"/>
  </r>
  <r>
    <x v="681"/>
    <n v="1"/>
    <n v="15"/>
    <n v="0"/>
    <n v="0.01"/>
    <n v="2"/>
    <n v="0"/>
    <n v="2"/>
    <n v="2"/>
    <n v="0"/>
  </r>
  <r>
    <x v="682"/>
    <n v="1"/>
    <n v="10"/>
    <n v="0"/>
    <n v="0.03"/>
    <n v="3"/>
    <n v="0"/>
    <n v="3"/>
    <n v="3"/>
    <n v="0"/>
  </r>
  <r>
    <x v="683"/>
    <n v="1"/>
    <n v="10"/>
    <n v="0"/>
    <n v="0.01"/>
    <n v="3"/>
    <n v="0"/>
    <n v="2"/>
    <n v="2"/>
    <n v="0"/>
  </r>
  <r>
    <x v="684"/>
    <n v="1"/>
    <n v="15"/>
    <n v="0"/>
    <n v="0.01"/>
    <n v="2"/>
    <n v="0"/>
    <n v="2"/>
    <n v="2"/>
    <n v="0"/>
  </r>
  <r>
    <x v="685"/>
    <n v="10"/>
    <n v="15"/>
    <n v="0"/>
    <n v="0.03"/>
    <n v="20"/>
    <n v="0"/>
    <n v="4"/>
    <n v="4"/>
    <n v="0"/>
  </r>
  <r>
    <x v="686"/>
    <n v="3"/>
    <n v="15"/>
    <n v="0"/>
    <n v="0.03"/>
    <n v="6"/>
    <n v="0"/>
    <n v="6"/>
    <n v="6"/>
    <n v="0"/>
  </r>
  <r>
    <x v="687"/>
    <n v="27"/>
    <n v="15"/>
    <n v="0"/>
    <n v="0.03"/>
    <n v="51"/>
    <n v="0"/>
    <n v="6"/>
    <n v="5"/>
    <n v="0"/>
  </r>
  <r>
    <x v="688"/>
    <n v="1"/>
    <n v="15"/>
    <n v="0"/>
    <n v="0.01"/>
    <n v="2"/>
    <n v="0"/>
    <n v="2"/>
    <n v="2"/>
    <n v="0"/>
  </r>
  <r>
    <x v="689"/>
    <n v="10"/>
    <n v="15"/>
    <n v="0"/>
    <n v="0.03"/>
    <n v="20"/>
    <n v="0"/>
    <n v="2"/>
    <n v="2"/>
    <n v="0"/>
  </r>
  <r>
    <x v="690"/>
    <n v="30"/>
    <n v="15"/>
    <n v="0"/>
    <n v="0.01"/>
    <n v="60"/>
    <n v="0"/>
    <n v="3"/>
    <n v="3"/>
    <n v="0"/>
  </r>
  <r>
    <x v="691"/>
    <n v="15"/>
    <n v="15"/>
    <n v="0"/>
    <n v="0.03"/>
    <n v="30"/>
    <n v="0"/>
    <n v="2"/>
    <n v="2"/>
    <n v="0"/>
  </r>
  <r>
    <x v="692"/>
    <n v="3"/>
    <n v="12"/>
    <n v="0"/>
    <n v="0.02"/>
    <n v="7"/>
    <n v="0"/>
    <n v="7"/>
    <n v="6"/>
    <n v="0"/>
  </r>
  <r>
    <x v="693"/>
    <n v="1"/>
    <n v="15"/>
    <n v="0"/>
    <n v="0.01"/>
    <n v="2"/>
    <n v="0"/>
    <n v="2"/>
    <n v="2"/>
    <n v="0"/>
  </r>
  <r>
    <x v="694"/>
    <n v="20"/>
    <n v="15"/>
    <n v="0"/>
    <n v="0.02"/>
    <n v="40"/>
    <n v="0"/>
    <n v="3"/>
    <n v="2"/>
    <n v="0"/>
  </r>
  <r>
    <x v="695"/>
    <n v="15"/>
    <n v="15"/>
    <n v="0"/>
    <n v="0.03"/>
    <n v="30"/>
    <n v="0"/>
    <n v="2"/>
    <n v="2"/>
    <n v="0"/>
  </r>
  <r>
    <x v="696"/>
    <n v="10"/>
    <n v="15"/>
    <n v="0"/>
    <n v="0.01"/>
    <n v="20"/>
    <n v="0"/>
    <n v="1"/>
    <n v="1"/>
    <n v="0"/>
  </r>
  <r>
    <x v="697"/>
    <n v="2"/>
    <n v="15"/>
    <n v="0"/>
    <n v="0.01"/>
    <n v="4"/>
    <n v="0"/>
    <n v="3"/>
    <n v="1"/>
    <n v="0"/>
  </r>
  <r>
    <x v="698"/>
    <n v="10"/>
    <n v="15"/>
    <n v="0"/>
    <n v="0.02"/>
    <n v="20"/>
    <n v="0"/>
    <n v="1"/>
    <n v="1"/>
    <n v="0"/>
  </r>
  <r>
    <x v="699"/>
    <n v="50"/>
    <n v="15"/>
    <n v="0"/>
    <n v="0.01"/>
    <n v="100"/>
    <n v="0"/>
    <n v="2"/>
    <n v="2"/>
    <n v="0"/>
  </r>
  <r>
    <x v="700"/>
    <n v="41"/>
    <n v="14"/>
    <n v="0"/>
    <n v="0.01"/>
    <n v="85"/>
    <n v="0"/>
    <n v="6"/>
    <n v="5"/>
    <n v="0"/>
  </r>
  <r>
    <x v="701"/>
    <n v="15"/>
    <n v="15"/>
    <n v="0"/>
    <n v="0.01"/>
    <n v="30"/>
    <n v="0"/>
    <n v="2"/>
    <n v="2"/>
    <n v="0"/>
  </r>
  <r>
    <x v="702"/>
    <n v="10"/>
    <n v="15"/>
    <n v="0"/>
    <n v="0.02"/>
    <n v="20"/>
    <n v="0"/>
    <n v="2"/>
    <n v="2"/>
    <n v="0"/>
  </r>
  <r>
    <x v="703"/>
    <n v="1"/>
    <n v="15"/>
    <n v="0"/>
    <n v="0.02"/>
    <n v="2"/>
    <n v="0"/>
    <n v="2"/>
    <n v="2"/>
    <n v="0"/>
  </r>
  <r>
    <x v="704"/>
    <n v="1"/>
    <n v="15"/>
    <n v="0"/>
    <n v="0.02"/>
    <n v="2"/>
    <n v="0"/>
    <n v="2"/>
    <n v="2"/>
    <n v="0"/>
  </r>
  <r>
    <x v="705"/>
    <n v="15"/>
    <n v="15"/>
    <n v="0"/>
    <n v="0.02"/>
    <n v="30"/>
    <n v="0"/>
    <n v="1"/>
    <n v="1"/>
    <n v="0"/>
  </r>
  <r>
    <x v="495"/>
    <m/>
    <m/>
    <m/>
    <m/>
    <m/>
    <m/>
    <m/>
    <m/>
    <m/>
  </r>
  <r>
    <x v="706"/>
    <m/>
    <m/>
    <m/>
    <m/>
    <m/>
    <m/>
    <m/>
    <m/>
    <m/>
  </r>
  <r>
    <x v="497"/>
    <m/>
    <m/>
    <m/>
    <m/>
    <m/>
    <m/>
    <m/>
    <m/>
    <m/>
  </r>
  <r>
    <x v="707"/>
    <n v="12"/>
    <n v="22"/>
    <n v="0.09"/>
    <n v="0.64"/>
    <n v="16"/>
    <n v="0"/>
    <n v="12"/>
    <n v="9"/>
    <n v="0"/>
  </r>
  <r>
    <x v="708"/>
    <n v="11"/>
    <n v="23"/>
    <n v="7.0000000000000007E-2"/>
    <n v="0.47"/>
    <n v="14"/>
    <n v="0"/>
    <n v="7"/>
    <n v="5"/>
    <n v="0"/>
  </r>
  <r>
    <x v="709"/>
    <n v="5"/>
    <n v="21"/>
    <n v="0.06"/>
    <n v="0.43"/>
    <n v="7"/>
    <n v="0"/>
    <n v="3"/>
    <n v="3"/>
    <n v="0"/>
  </r>
  <r>
    <x v="710"/>
    <n v="720"/>
    <n v="21"/>
    <n v="0.06"/>
    <n v="0.38"/>
    <n v="1020"/>
    <n v="0"/>
    <n v="48"/>
    <n v="23"/>
    <n v="0"/>
  </r>
  <r>
    <x v="711"/>
    <n v="80"/>
    <n v="21"/>
    <n v="0.05"/>
    <n v="0.32"/>
    <n v="110"/>
    <n v="0"/>
    <n v="10"/>
    <n v="8"/>
    <n v="0"/>
  </r>
  <r>
    <x v="712"/>
    <n v="5"/>
    <n v="25"/>
    <n v="0.05"/>
    <n v="0.36"/>
    <n v="6"/>
    <n v="0"/>
    <n v="4"/>
    <n v="4"/>
    <n v="0"/>
  </r>
  <r>
    <x v="713"/>
    <n v="11"/>
    <n v="19"/>
    <n v="0.05"/>
    <n v="0.32"/>
    <n v="17"/>
    <n v="0"/>
    <n v="17"/>
    <n v="13"/>
    <n v="0"/>
  </r>
  <r>
    <x v="714"/>
    <n v="4"/>
    <n v="30"/>
    <n v="0.05"/>
    <n v="0.32"/>
    <n v="4"/>
    <n v="0"/>
    <n v="4"/>
    <n v="4"/>
    <n v="0"/>
  </r>
  <r>
    <x v="715"/>
    <n v="310"/>
    <n v="22"/>
    <n v="0.05"/>
    <n v="0.37"/>
    <n v="420"/>
    <n v="0"/>
    <n v="20"/>
    <n v="18"/>
    <n v="0"/>
  </r>
  <r>
    <x v="716"/>
    <n v="483"/>
    <n v="22"/>
    <n v="0.05"/>
    <n v="0.33"/>
    <n v="654"/>
    <n v="0"/>
    <n v="69"/>
    <n v="24"/>
    <n v="0"/>
  </r>
  <r>
    <x v="717"/>
    <n v="5"/>
    <n v="21"/>
    <n v="0.05"/>
    <n v="0.37"/>
    <n v="7"/>
    <n v="0"/>
    <n v="4"/>
    <n v="4"/>
    <n v="0"/>
  </r>
  <r>
    <x v="718"/>
    <n v="8"/>
    <n v="24"/>
    <n v="0.04"/>
    <n v="0.28999999999999998"/>
    <n v="10"/>
    <n v="0"/>
    <n v="8"/>
    <n v="7"/>
    <n v="0"/>
  </r>
  <r>
    <x v="719"/>
    <n v="3"/>
    <n v="18"/>
    <n v="0.04"/>
    <n v="0.25"/>
    <n v="5"/>
    <n v="0"/>
    <n v="5"/>
    <n v="5"/>
    <n v="0"/>
  </r>
  <r>
    <x v="720"/>
    <n v="4"/>
    <n v="17"/>
    <n v="0.03"/>
    <n v="0.2"/>
    <n v="7"/>
    <n v="0"/>
    <n v="5"/>
    <n v="5"/>
    <n v="0"/>
  </r>
  <r>
    <x v="721"/>
    <n v="3"/>
    <n v="30"/>
    <n v="0.03"/>
    <n v="0.22"/>
    <n v="3"/>
    <n v="0"/>
    <n v="3"/>
    <n v="3"/>
    <n v="0"/>
  </r>
  <r>
    <x v="722"/>
    <n v="120"/>
    <n v="21"/>
    <n v="0.03"/>
    <n v="0.17"/>
    <n v="165"/>
    <n v="0"/>
    <n v="7"/>
    <n v="5"/>
    <n v="0"/>
  </r>
  <r>
    <x v="723"/>
    <n v="10"/>
    <n v="30"/>
    <n v="0.03"/>
    <n v="0.22"/>
    <n v="10"/>
    <n v="0"/>
    <n v="10"/>
    <n v="8"/>
    <n v="0"/>
  </r>
  <r>
    <x v="724"/>
    <n v="70"/>
    <n v="23"/>
    <n v="0.03"/>
    <n v="0.19"/>
    <n v="90"/>
    <n v="0"/>
    <n v="7"/>
    <n v="6"/>
    <n v="0"/>
  </r>
  <r>
    <x v="725"/>
    <n v="8"/>
    <n v="24"/>
    <n v="0.03"/>
    <n v="0.2"/>
    <n v="10"/>
    <n v="0"/>
    <n v="10"/>
    <n v="8"/>
    <n v="0"/>
  </r>
  <r>
    <x v="726"/>
    <n v="290"/>
    <n v="28"/>
    <n v="0.03"/>
    <n v="0.21"/>
    <n v="310"/>
    <n v="0"/>
    <n v="15"/>
    <n v="11"/>
    <n v="0"/>
  </r>
  <r>
    <x v="727"/>
    <n v="240"/>
    <n v="17"/>
    <n v="0.03"/>
    <n v="0.21"/>
    <n v="420"/>
    <n v="0"/>
    <n v="18"/>
    <n v="14"/>
    <n v="0"/>
  </r>
  <r>
    <x v="728"/>
    <n v="40"/>
    <n v="20"/>
    <n v="0.02"/>
    <n v="0.11"/>
    <n v="60"/>
    <n v="0"/>
    <n v="6"/>
    <n v="5"/>
    <n v="0"/>
  </r>
  <r>
    <x v="729"/>
    <n v="30"/>
    <n v="22"/>
    <n v="0.02"/>
    <n v="0.13"/>
    <n v="40"/>
    <n v="0"/>
    <n v="3"/>
    <n v="2"/>
    <n v="0"/>
  </r>
  <r>
    <x v="730"/>
    <n v="5"/>
    <n v="21"/>
    <n v="0.02"/>
    <n v="0.13"/>
    <n v="7"/>
    <n v="0"/>
    <n v="6"/>
    <n v="5"/>
    <n v="0"/>
  </r>
  <r>
    <x v="731"/>
    <n v="60"/>
    <n v="18"/>
    <n v="0.02"/>
    <n v="0.11"/>
    <n v="100"/>
    <n v="0"/>
    <n v="7"/>
    <n v="6"/>
    <n v="0"/>
  </r>
  <r>
    <x v="732"/>
    <n v="101"/>
    <n v="17"/>
    <n v="0.02"/>
    <n v="0.17"/>
    <n v="169"/>
    <n v="0"/>
    <n v="13"/>
    <n v="9"/>
    <n v="0"/>
  </r>
  <r>
    <x v="733"/>
    <n v="165"/>
    <n v="27"/>
    <n v="0.02"/>
    <n v="0.17"/>
    <n v="180"/>
    <n v="0"/>
    <n v="10"/>
    <n v="8"/>
    <n v="0"/>
  </r>
  <r>
    <x v="734"/>
    <n v="458"/>
    <n v="23"/>
    <n v="0.02"/>
    <n v="0.12"/>
    <n v="580"/>
    <n v="0"/>
    <n v="41"/>
    <n v="20"/>
    <n v="0"/>
  </r>
  <r>
    <x v="735"/>
    <n v="2"/>
    <n v="30"/>
    <n v="0.02"/>
    <n v="0.12"/>
    <n v="2"/>
    <n v="0"/>
    <n v="2"/>
    <n v="2"/>
    <n v="0"/>
  </r>
  <r>
    <x v="736"/>
    <n v="4"/>
    <n v="24"/>
    <n v="0.02"/>
    <n v="0.14000000000000001"/>
    <n v="5"/>
    <n v="0"/>
    <n v="5"/>
    <n v="5"/>
    <n v="0"/>
  </r>
  <r>
    <x v="737"/>
    <n v="461"/>
    <n v="23"/>
    <n v="0.02"/>
    <n v="0.15"/>
    <n v="580"/>
    <n v="0"/>
    <n v="22"/>
    <n v="17"/>
    <n v="0"/>
  </r>
  <r>
    <x v="738"/>
    <n v="4"/>
    <n v="30"/>
    <n v="0.02"/>
    <n v="0.14000000000000001"/>
    <n v="4"/>
    <n v="0"/>
    <n v="4"/>
    <n v="4"/>
    <n v="0"/>
  </r>
  <r>
    <x v="739"/>
    <n v="75"/>
    <n v="30"/>
    <n v="0.02"/>
    <n v="0.13"/>
    <n v="75"/>
    <n v="0"/>
    <n v="4"/>
    <n v="4"/>
    <n v="0"/>
  </r>
  <r>
    <x v="740"/>
    <n v="130"/>
    <n v="20"/>
    <n v="0.02"/>
    <n v="0.13"/>
    <n v="190"/>
    <n v="0"/>
    <n v="10"/>
    <n v="8"/>
    <n v="0"/>
  </r>
  <r>
    <x v="741"/>
    <n v="60"/>
    <n v="20"/>
    <n v="0.02"/>
    <n v="0.14000000000000001"/>
    <n v="90"/>
    <n v="0"/>
    <n v="8"/>
    <n v="6"/>
    <n v="0"/>
  </r>
  <r>
    <x v="742"/>
    <n v="70"/>
    <n v="19"/>
    <n v="0.02"/>
    <n v="0.14000000000000001"/>
    <n v="110"/>
    <n v="0"/>
    <n v="7"/>
    <n v="6"/>
    <n v="0"/>
  </r>
  <r>
    <x v="743"/>
    <n v="40"/>
    <n v="17"/>
    <n v="0.02"/>
    <n v="0.11"/>
    <n v="70"/>
    <n v="0"/>
    <n v="7"/>
    <n v="5"/>
    <n v="0"/>
  </r>
  <r>
    <x v="744"/>
    <n v="90"/>
    <n v="25"/>
    <n v="0.02"/>
    <n v="0.11"/>
    <n v="105"/>
    <n v="0"/>
    <n v="6"/>
    <n v="6"/>
    <n v="0"/>
  </r>
  <r>
    <x v="745"/>
    <n v="210"/>
    <n v="21"/>
    <n v="0.02"/>
    <n v="0.13"/>
    <n v="300"/>
    <n v="0"/>
    <n v="11"/>
    <n v="10"/>
    <n v="0"/>
  </r>
  <r>
    <x v="746"/>
    <n v="75"/>
    <n v="16"/>
    <n v="0.02"/>
    <n v="0.15"/>
    <n v="135"/>
    <n v="0"/>
    <n v="9"/>
    <n v="8"/>
    <n v="0"/>
  </r>
  <r>
    <x v="747"/>
    <n v="75"/>
    <n v="16"/>
    <n v="0.02"/>
    <n v="0.13"/>
    <n v="135"/>
    <n v="0"/>
    <n v="9"/>
    <n v="8"/>
    <n v="0"/>
  </r>
  <r>
    <x v="748"/>
    <n v="20"/>
    <n v="20"/>
    <n v="0.02"/>
    <n v="0.11"/>
    <n v="30"/>
    <n v="0"/>
    <n v="2"/>
    <n v="1"/>
    <n v="0"/>
  </r>
  <r>
    <x v="749"/>
    <n v="70"/>
    <n v="19"/>
    <n v="0.02"/>
    <n v="0.11"/>
    <n v="110"/>
    <n v="0"/>
    <n v="7"/>
    <n v="6"/>
    <n v="0"/>
  </r>
  <r>
    <x v="750"/>
    <n v="60"/>
    <n v="16"/>
    <n v="0.02"/>
    <n v="0.16"/>
    <n v="110"/>
    <n v="0"/>
    <n v="8"/>
    <n v="8"/>
    <n v="0"/>
  </r>
  <r>
    <x v="751"/>
    <n v="135"/>
    <n v="30"/>
    <n v="0.02"/>
    <n v="0.13"/>
    <n v="135"/>
    <n v="0"/>
    <n v="4"/>
    <n v="4"/>
    <n v="0"/>
  </r>
  <r>
    <x v="752"/>
    <n v="110"/>
    <n v="30"/>
    <n v="0.02"/>
    <n v="0.15"/>
    <n v="110"/>
    <n v="0"/>
    <n v="11"/>
    <n v="9"/>
    <n v="0"/>
  </r>
  <r>
    <x v="753"/>
    <n v="141"/>
    <n v="25"/>
    <n v="0.02"/>
    <n v="0.11"/>
    <n v="168"/>
    <n v="0"/>
    <n v="24"/>
    <n v="16"/>
    <n v="0"/>
  </r>
  <r>
    <x v="754"/>
    <n v="30"/>
    <n v="30"/>
    <n v="0.02"/>
    <n v="0.16"/>
    <n v="30"/>
    <n v="0"/>
    <n v="2"/>
    <n v="1"/>
    <n v="0"/>
  </r>
  <r>
    <x v="755"/>
    <n v="150"/>
    <n v="27"/>
    <n v="0.02"/>
    <n v="0.12"/>
    <n v="165"/>
    <n v="0"/>
    <n v="9"/>
    <n v="8"/>
    <n v="0"/>
  </r>
  <r>
    <x v="756"/>
    <n v="195"/>
    <n v="20"/>
    <n v="0.02"/>
    <n v="0.17"/>
    <n v="285"/>
    <n v="0"/>
    <n v="13"/>
    <n v="12"/>
    <n v="0"/>
  </r>
  <r>
    <x v="757"/>
    <n v="70"/>
    <n v="23"/>
    <n v="0.02"/>
    <n v="0.12"/>
    <n v="90"/>
    <n v="0"/>
    <n v="5"/>
    <n v="4"/>
    <n v="0"/>
  </r>
  <r>
    <x v="758"/>
    <n v="4"/>
    <n v="24"/>
    <n v="0.02"/>
    <n v="0.17"/>
    <n v="5"/>
    <n v="0"/>
    <n v="5"/>
    <n v="5"/>
    <n v="0"/>
  </r>
  <r>
    <x v="759"/>
    <n v="50"/>
    <n v="25"/>
    <n v="0.01"/>
    <n v="0.04"/>
    <n v="60"/>
    <n v="0"/>
    <n v="4"/>
    <n v="4"/>
    <n v="0"/>
  </r>
  <r>
    <x v="760"/>
    <n v="7"/>
    <n v="21"/>
    <n v="0.01"/>
    <n v="0.04"/>
    <n v="10"/>
    <n v="0"/>
    <n v="9"/>
    <n v="8"/>
    <n v="0"/>
  </r>
  <r>
    <x v="761"/>
    <n v="75"/>
    <n v="30"/>
    <n v="0.01"/>
    <n v="0.09"/>
    <n v="75"/>
    <n v="0"/>
    <n v="5"/>
    <n v="5"/>
    <n v="0"/>
  </r>
  <r>
    <x v="762"/>
    <n v="90"/>
    <n v="22"/>
    <n v="0.01"/>
    <n v="0.05"/>
    <n v="120"/>
    <n v="0"/>
    <n v="4"/>
    <n v="4"/>
    <n v="0"/>
  </r>
  <r>
    <x v="763"/>
    <n v="72"/>
    <n v="16"/>
    <n v="0.01"/>
    <n v="0.09"/>
    <n v="128"/>
    <n v="0"/>
    <n v="6"/>
    <n v="6"/>
    <n v="0"/>
  </r>
  <r>
    <x v="764"/>
    <n v="70"/>
    <n v="30"/>
    <n v="0.01"/>
    <n v="0.04"/>
    <n v="70"/>
    <n v="0"/>
    <n v="4"/>
    <n v="4"/>
    <n v="0"/>
  </r>
  <r>
    <x v="765"/>
    <n v="60"/>
    <n v="30"/>
    <n v="0.01"/>
    <n v="0.08"/>
    <n v="60"/>
    <n v="0"/>
    <n v="3"/>
    <n v="3"/>
    <n v="0"/>
  </r>
  <r>
    <x v="766"/>
    <n v="20"/>
    <n v="30"/>
    <n v="0.01"/>
    <n v="0.05"/>
    <n v="20"/>
    <n v="0"/>
    <n v="2"/>
    <n v="2"/>
    <n v="0"/>
  </r>
  <r>
    <x v="767"/>
    <n v="30"/>
    <n v="30"/>
    <n v="0.01"/>
    <n v="0.05"/>
    <n v="30"/>
    <n v="0"/>
    <n v="2"/>
    <n v="2"/>
    <n v="0"/>
  </r>
  <r>
    <x v="768"/>
    <n v="70"/>
    <n v="23"/>
    <n v="0.01"/>
    <n v="0.04"/>
    <n v="90"/>
    <n v="0"/>
    <n v="4"/>
    <n v="3"/>
    <n v="0"/>
  </r>
  <r>
    <x v="769"/>
    <n v="45"/>
    <n v="18"/>
    <n v="0.01"/>
    <n v="7.0000000000000007E-2"/>
    <n v="75"/>
    <n v="0"/>
    <n v="4"/>
    <n v="4"/>
    <n v="0"/>
  </r>
  <r>
    <x v="770"/>
    <n v="2"/>
    <n v="30"/>
    <n v="0.01"/>
    <n v="0.04"/>
    <n v="2"/>
    <n v="0"/>
    <n v="2"/>
    <n v="2"/>
    <n v="0"/>
  </r>
  <r>
    <x v="771"/>
    <n v="30"/>
    <n v="30"/>
    <n v="0.01"/>
    <n v="0.05"/>
    <n v="30"/>
    <n v="0"/>
    <n v="2"/>
    <n v="2"/>
    <n v="0"/>
  </r>
  <r>
    <x v="772"/>
    <n v="20"/>
    <n v="20"/>
    <n v="0.01"/>
    <n v="0.06"/>
    <n v="30"/>
    <n v="0"/>
    <n v="3"/>
    <n v="3"/>
    <n v="0"/>
  </r>
  <r>
    <x v="773"/>
    <n v="40"/>
    <n v="30"/>
    <n v="0.01"/>
    <n v="0.04"/>
    <n v="40"/>
    <n v="0"/>
    <n v="2"/>
    <n v="2"/>
    <n v="0"/>
  </r>
  <r>
    <x v="774"/>
    <n v="10"/>
    <n v="30"/>
    <n v="0.01"/>
    <n v="0.05"/>
    <n v="10"/>
    <n v="0"/>
    <n v="1"/>
    <n v="1"/>
    <n v="0"/>
  </r>
  <r>
    <x v="775"/>
    <n v="500"/>
    <n v="30"/>
    <n v="0.01"/>
    <n v="7.0000000000000007E-2"/>
    <n v="500"/>
    <n v="0"/>
    <n v="5"/>
    <n v="4"/>
    <n v="0"/>
  </r>
  <r>
    <x v="776"/>
    <n v="199"/>
    <n v="17"/>
    <n v="0.01"/>
    <n v="0.1"/>
    <n v="341"/>
    <n v="0"/>
    <n v="22"/>
    <n v="14"/>
    <n v="0"/>
  </r>
  <r>
    <x v="777"/>
    <n v="60"/>
    <n v="30"/>
    <n v="0.01"/>
    <n v="0.04"/>
    <n v="60"/>
    <n v="0"/>
    <n v="3"/>
    <n v="3"/>
    <n v="0"/>
  </r>
  <r>
    <x v="778"/>
    <n v="20"/>
    <n v="30"/>
    <n v="0.01"/>
    <n v="0.04"/>
    <n v="20"/>
    <n v="0"/>
    <n v="2"/>
    <n v="2"/>
    <n v="0"/>
  </r>
  <r>
    <x v="779"/>
    <n v="50"/>
    <n v="25"/>
    <n v="0.01"/>
    <n v="0.05"/>
    <n v="60"/>
    <n v="0"/>
    <n v="5"/>
    <n v="5"/>
    <n v="0"/>
  </r>
  <r>
    <x v="780"/>
    <n v="102"/>
    <n v="25"/>
    <n v="0.01"/>
    <n v="0.08"/>
    <n v="120"/>
    <n v="0"/>
    <n v="10"/>
    <n v="10"/>
    <n v="0"/>
  </r>
  <r>
    <x v="781"/>
    <n v="80"/>
    <n v="30"/>
    <n v="0.01"/>
    <n v="0.04"/>
    <n v="80"/>
    <n v="0"/>
    <n v="6"/>
    <n v="6"/>
    <n v="0"/>
  </r>
  <r>
    <x v="782"/>
    <n v="60"/>
    <n v="30"/>
    <n v="0.01"/>
    <n v="0.06"/>
    <n v="60"/>
    <n v="0"/>
    <n v="2"/>
    <n v="2"/>
    <n v="0"/>
  </r>
  <r>
    <x v="783"/>
    <n v="20"/>
    <n v="30"/>
    <n v="0.01"/>
    <n v="0.04"/>
    <n v="20"/>
    <n v="0"/>
    <n v="2"/>
    <n v="2"/>
    <n v="0"/>
  </r>
  <r>
    <x v="784"/>
    <n v="20"/>
    <n v="30"/>
    <n v="0.01"/>
    <n v="0.04"/>
    <n v="20"/>
    <n v="0"/>
    <n v="2"/>
    <n v="2"/>
    <n v="0"/>
  </r>
  <r>
    <x v="785"/>
    <n v="30"/>
    <n v="22"/>
    <n v="0.01"/>
    <n v="0.04"/>
    <n v="40"/>
    <n v="0"/>
    <n v="4"/>
    <n v="4"/>
    <n v="0"/>
  </r>
  <r>
    <x v="786"/>
    <n v="50"/>
    <n v="21"/>
    <n v="0.01"/>
    <n v="0.04"/>
    <n v="70"/>
    <n v="0"/>
    <n v="4"/>
    <n v="4"/>
    <n v="0"/>
  </r>
  <r>
    <x v="787"/>
    <n v="24"/>
    <n v="22"/>
    <n v="0.01"/>
    <n v="0.06"/>
    <n v="32"/>
    <n v="0"/>
    <n v="4"/>
    <n v="4"/>
    <n v="0"/>
  </r>
  <r>
    <x v="788"/>
    <n v="2"/>
    <n v="20"/>
    <n v="0.01"/>
    <n v="0.05"/>
    <n v="3"/>
    <n v="0"/>
    <n v="3"/>
    <n v="3"/>
    <n v="0"/>
  </r>
  <r>
    <x v="789"/>
    <n v="30"/>
    <n v="22"/>
    <n v="0.01"/>
    <n v="0.04"/>
    <n v="40"/>
    <n v="0"/>
    <n v="3"/>
    <n v="2"/>
    <n v="0"/>
  </r>
  <r>
    <x v="790"/>
    <n v="20"/>
    <n v="20"/>
    <n v="0.01"/>
    <n v="0.04"/>
    <n v="30"/>
    <n v="0"/>
    <n v="3"/>
    <n v="3"/>
    <n v="0"/>
  </r>
  <r>
    <x v="791"/>
    <n v="21"/>
    <n v="30"/>
    <n v="0.01"/>
    <n v="0.04"/>
    <n v="21"/>
    <n v="0"/>
    <n v="1"/>
    <n v="1"/>
    <n v="0"/>
  </r>
  <r>
    <x v="792"/>
    <n v="20"/>
    <n v="20"/>
    <n v="0.01"/>
    <n v="0.05"/>
    <n v="30"/>
    <n v="0"/>
    <n v="3"/>
    <n v="3"/>
    <n v="0"/>
  </r>
  <r>
    <x v="793"/>
    <n v="42"/>
    <n v="30"/>
    <n v="0.01"/>
    <n v="0.04"/>
    <n v="42"/>
    <n v="0"/>
    <n v="2"/>
    <n v="2"/>
    <n v="0"/>
  </r>
  <r>
    <x v="794"/>
    <n v="30"/>
    <n v="22"/>
    <n v="0.01"/>
    <n v="0.05"/>
    <n v="40"/>
    <n v="0"/>
    <n v="2"/>
    <n v="2"/>
    <n v="0"/>
  </r>
  <r>
    <x v="795"/>
    <n v="75"/>
    <n v="30"/>
    <n v="0.01"/>
    <n v="0.04"/>
    <n v="75"/>
    <n v="0"/>
    <n v="3"/>
    <n v="3"/>
    <n v="0"/>
  </r>
  <r>
    <x v="796"/>
    <n v="90"/>
    <n v="18"/>
    <n v="0.01"/>
    <n v="0.05"/>
    <n v="150"/>
    <n v="0"/>
    <n v="6"/>
    <n v="5"/>
    <n v="0"/>
  </r>
  <r>
    <x v="797"/>
    <n v="30"/>
    <n v="30"/>
    <n v="0.01"/>
    <n v="0.08"/>
    <n v="30"/>
    <n v="0"/>
    <n v="3"/>
    <n v="3"/>
    <n v="0"/>
  </r>
  <r>
    <x v="798"/>
    <n v="30"/>
    <n v="30"/>
    <n v="0.01"/>
    <n v="0.05"/>
    <n v="30"/>
    <n v="0"/>
    <n v="3"/>
    <n v="3"/>
    <n v="0"/>
  </r>
  <r>
    <x v="799"/>
    <n v="90"/>
    <n v="22"/>
    <n v="0.01"/>
    <n v="0.05"/>
    <n v="120"/>
    <n v="0"/>
    <n v="4"/>
    <n v="4"/>
    <n v="0"/>
  </r>
  <r>
    <x v="800"/>
    <n v="40"/>
    <n v="30"/>
    <n v="0.01"/>
    <n v="0.04"/>
    <n v="40"/>
    <n v="0"/>
    <n v="4"/>
    <n v="4"/>
    <n v="0"/>
  </r>
  <r>
    <x v="801"/>
    <n v="3"/>
    <n v="30"/>
    <n v="0.01"/>
    <n v="0.04"/>
    <n v="3"/>
    <n v="0"/>
    <n v="3"/>
    <n v="3"/>
    <n v="0"/>
  </r>
  <r>
    <x v="802"/>
    <n v="5"/>
    <n v="25"/>
    <n v="0.01"/>
    <n v="0.06"/>
    <n v="6"/>
    <n v="0"/>
    <n v="6"/>
    <n v="6"/>
    <n v="0"/>
  </r>
  <r>
    <x v="803"/>
    <n v="1"/>
    <n v="30"/>
    <n v="0.01"/>
    <n v="0.09"/>
    <n v="1"/>
    <n v="0"/>
    <n v="1"/>
    <n v="1"/>
    <n v="0"/>
  </r>
  <r>
    <x v="804"/>
    <n v="75"/>
    <n v="30"/>
    <n v="0.01"/>
    <n v="0.06"/>
    <n v="75"/>
    <n v="0"/>
    <n v="2"/>
    <n v="2"/>
    <n v="0"/>
  </r>
  <r>
    <x v="805"/>
    <n v="2"/>
    <n v="20"/>
    <n v="0.01"/>
    <n v="0.04"/>
    <n v="3"/>
    <n v="0"/>
    <n v="3"/>
    <n v="3"/>
    <n v="0"/>
  </r>
  <r>
    <x v="806"/>
    <n v="30"/>
    <n v="30"/>
    <n v="0.01"/>
    <n v="0.05"/>
    <n v="30"/>
    <n v="0"/>
    <n v="3"/>
    <n v="3"/>
    <n v="0"/>
  </r>
  <r>
    <x v="807"/>
    <n v="4"/>
    <n v="30"/>
    <n v="0.01"/>
    <n v="0.04"/>
    <n v="4"/>
    <n v="0"/>
    <n v="4"/>
    <n v="4"/>
    <n v="0"/>
  </r>
  <r>
    <x v="808"/>
    <n v="5"/>
    <n v="30"/>
    <n v="0.01"/>
    <n v="0.05"/>
    <n v="5"/>
    <n v="0"/>
    <n v="3"/>
    <n v="3"/>
    <n v="0"/>
  </r>
  <r>
    <x v="809"/>
    <n v="2"/>
    <n v="20"/>
    <n v="0.01"/>
    <n v="0.08"/>
    <n v="3"/>
    <n v="0"/>
    <n v="2"/>
    <n v="2"/>
    <n v="0"/>
  </r>
  <r>
    <x v="810"/>
    <n v="30"/>
    <n v="20"/>
    <n v="0.01"/>
    <n v="7.0000000000000007E-2"/>
    <n v="45"/>
    <n v="0"/>
    <n v="3"/>
    <n v="3"/>
    <n v="0"/>
  </r>
  <r>
    <x v="811"/>
    <n v="30"/>
    <n v="20"/>
    <n v="0.01"/>
    <n v="0.04"/>
    <n v="45"/>
    <n v="0"/>
    <n v="3"/>
    <n v="3"/>
    <n v="0"/>
  </r>
  <r>
    <x v="812"/>
    <n v="75"/>
    <n v="30"/>
    <n v="0.01"/>
    <n v="0.05"/>
    <n v="75"/>
    <n v="0"/>
    <n v="5"/>
    <n v="5"/>
    <n v="0"/>
  </r>
  <r>
    <x v="813"/>
    <n v="60"/>
    <n v="30"/>
    <n v="0.01"/>
    <n v="0.05"/>
    <n v="60"/>
    <n v="0"/>
    <n v="2"/>
    <n v="2"/>
    <n v="0"/>
  </r>
  <r>
    <x v="814"/>
    <n v="30"/>
    <n v="30"/>
    <n v="0.01"/>
    <n v="0.04"/>
    <n v="30"/>
    <n v="0"/>
    <n v="2"/>
    <n v="2"/>
    <n v="0"/>
  </r>
  <r>
    <x v="815"/>
    <n v="3"/>
    <n v="30"/>
    <n v="0.01"/>
    <n v="0.05"/>
    <n v="3"/>
    <n v="0"/>
    <n v="3"/>
    <n v="3"/>
    <n v="0"/>
  </r>
  <r>
    <x v="816"/>
    <n v="130"/>
    <n v="30"/>
    <n v="0.01"/>
    <n v="0.08"/>
    <n v="130"/>
    <n v="0"/>
    <n v="7"/>
    <n v="7"/>
    <n v="0"/>
  </r>
  <r>
    <x v="817"/>
    <n v="70"/>
    <n v="26"/>
    <n v="0.01"/>
    <n v="7.0000000000000007E-2"/>
    <n v="80"/>
    <n v="0"/>
    <n v="6"/>
    <n v="4"/>
    <n v="0"/>
  </r>
  <r>
    <x v="818"/>
    <n v="20"/>
    <n v="20"/>
    <n v="0.01"/>
    <n v="0.05"/>
    <n v="30"/>
    <n v="0"/>
    <n v="3"/>
    <n v="3"/>
    <n v="0"/>
  </r>
  <r>
    <x v="819"/>
    <n v="70"/>
    <n v="21"/>
    <n v="0.01"/>
    <n v="0.06"/>
    <n v="100"/>
    <n v="0"/>
    <n v="4"/>
    <n v="4"/>
    <n v="0"/>
  </r>
  <r>
    <x v="820"/>
    <n v="3"/>
    <n v="22"/>
    <n v="0.01"/>
    <n v="0.04"/>
    <n v="4"/>
    <n v="0"/>
    <n v="4"/>
    <n v="4"/>
    <n v="0"/>
  </r>
  <r>
    <x v="821"/>
    <n v="75"/>
    <n v="30"/>
    <n v="0.01"/>
    <n v="7.0000000000000007E-2"/>
    <n v="75"/>
    <n v="0"/>
    <n v="4"/>
    <n v="4"/>
    <n v="0"/>
  </r>
  <r>
    <x v="822"/>
    <n v="20"/>
    <n v="30"/>
    <n v="0.01"/>
    <n v="0.05"/>
    <n v="20"/>
    <n v="0"/>
    <n v="2"/>
    <n v="2"/>
    <n v="0"/>
  </r>
  <r>
    <x v="823"/>
    <n v="28"/>
    <n v="30"/>
    <n v="0.01"/>
    <n v="0.06"/>
    <n v="28"/>
    <n v="0"/>
    <n v="3"/>
    <n v="3"/>
    <n v="0"/>
  </r>
  <r>
    <x v="824"/>
    <n v="70"/>
    <n v="19"/>
    <n v="0.01"/>
    <n v="0.05"/>
    <n v="110"/>
    <n v="0"/>
    <n v="5"/>
    <n v="5"/>
    <n v="0"/>
  </r>
  <r>
    <x v="825"/>
    <n v="3"/>
    <n v="22"/>
    <n v="0.01"/>
    <n v="0.05"/>
    <n v="4"/>
    <n v="0"/>
    <n v="4"/>
    <n v="4"/>
    <n v="0"/>
  </r>
  <r>
    <x v="826"/>
    <n v="30"/>
    <n v="30"/>
    <n v="0.01"/>
    <n v="7.0000000000000007E-2"/>
    <n v="30"/>
    <n v="0"/>
    <n v="3"/>
    <n v="3"/>
    <n v="0"/>
  </r>
  <r>
    <x v="827"/>
    <n v="200"/>
    <n v="20"/>
    <n v="0.01"/>
    <n v="0.04"/>
    <n v="300"/>
    <n v="0"/>
    <n v="3"/>
    <n v="3"/>
    <n v="0"/>
  </r>
  <r>
    <x v="828"/>
    <n v="60"/>
    <n v="20"/>
    <n v="0.01"/>
    <n v="0.05"/>
    <n v="90"/>
    <n v="0"/>
    <n v="6"/>
    <n v="6"/>
    <n v="0"/>
  </r>
  <r>
    <x v="829"/>
    <n v="30"/>
    <n v="30"/>
    <n v="0.01"/>
    <n v="0.06"/>
    <n v="30"/>
    <n v="0"/>
    <n v="2"/>
    <n v="2"/>
    <n v="0"/>
  </r>
  <r>
    <x v="830"/>
    <n v="45"/>
    <n v="30"/>
    <n v="0.01"/>
    <n v="0.05"/>
    <n v="45"/>
    <n v="0"/>
    <n v="3"/>
    <n v="3"/>
    <n v="0"/>
  </r>
  <r>
    <x v="831"/>
    <n v="45"/>
    <n v="30"/>
    <n v="0.01"/>
    <n v="7.0000000000000007E-2"/>
    <n v="45"/>
    <n v="0"/>
    <n v="3"/>
    <n v="3"/>
    <n v="0"/>
  </r>
  <r>
    <x v="832"/>
    <n v="2"/>
    <n v="20"/>
    <n v="0.01"/>
    <n v="0.04"/>
    <n v="3"/>
    <n v="0"/>
    <n v="2"/>
    <n v="2"/>
    <n v="0"/>
  </r>
  <r>
    <x v="833"/>
    <n v="30"/>
    <n v="18"/>
    <n v="0.01"/>
    <n v="0.05"/>
    <n v="50"/>
    <n v="0"/>
    <n v="2"/>
    <n v="2"/>
    <n v="0"/>
  </r>
  <r>
    <x v="834"/>
    <n v="97"/>
    <n v="27"/>
    <n v="0.01"/>
    <n v="0.06"/>
    <n v="106"/>
    <n v="0"/>
    <n v="10"/>
    <n v="9"/>
    <n v="0"/>
  </r>
  <r>
    <x v="835"/>
    <n v="45"/>
    <n v="22"/>
    <n v="0.01"/>
    <n v="0.05"/>
    <n v="60"/>
    <n v="0"/>
    <n v="4"/>
    <n v="4"/>
    <n v="0"/>
  </r>
  <r>
    <x v="836"/>
    <n v="45"/>
    <n v="30"/>
    <n v="0.01"/>
    <n v="0.04"/>
    <n v="45"/>
    <n v="0"/>
    <n v="3"/>
    <n v="3"/>
    <n v="0"/>
  </r>
  <r>
    <x v="837"/>
    <n v="30"/>
    <n v="22"/>
    <n v="0.01"/>
    <n v="0.04"/>
    <n v="40"/>
    <n v="0"/>
    <n v="4"/>
    <n v="3"/>
    <n v="0"/>
  </r>
  <r>
    <x v="838"/>
    <n v="2"/>
    <n v="30"/>
    <n v="0.01"/>
    <n v="0.06"/>
    <n v="2"/>
    <n v="0"/>
    <n v="2"/>
    <n v="2"/>
    <n v="0"/>
  </r>
  <r>
    <x v="839"/>
    <n v="150"/>
    <n v="21"/>
    <n v="0.01"/>
    <n v="0.09"/>
    <n v="210"/>
    <n v="0"/>
    <n v="7"/>
    <n v="6"/>
    <n v="0"/>
  </r>
  <r>
    <x v="840"/>
    <n v="30"/>
    <n v="30"/>
    <n v="0.01"/>
    <n v="7.0000000000000007E-2"/>
    <n v="30"/>
    <n v="0"/>
    <n v="3"/>
    <n v="3"/>
    <n v="0"/>
  </r>
  <r>
    <x v="841"/>
    <n v="1"/>
    <n v="30"/>
    <n v="0.01"/>
    <n v="0.04"/>
    <n v="1"/>
    <n v="0"/>
    <n v="1"/>
    <n v="1"/>
    <n v="0"/>
  </r>
  <r>
    <x v="842"/>
    <n v="105"/>
    <n v="26"/>
    <n v="0.01"/>
    <n v="0.1"/>
    <n v="120"/>
    <n v="0"/>
    <n v="5"/>
    <n v="4"/>
    <n v="0"/>
  </r>
  <r>
    <x v="843"/>
    <n v="30"/>
    <n v="30"/>
    <n v="0.01"/>
    <n v="0.09"/>
    <n v="30"/>
    <n v="0"/>
    <n v="1"/>
    <n v="1"/>
    <n v="0"/>
  </r>
  <r>
    <x v="844"/>
    <n v="20"/>
    <n v="20"/>
    <n v="0.01"/>
    <n v="0.04"/>
    <n v="30"/>
    <n v="0"/>
    <n v="3"/>
    <n v="3"/>
    <n v="0"/>
  </r>
  <r>
    <x v="845"/>
    <n v="60"/>
    <n v="30"/>
    <n v="0.01"/>
    <n v="0.08"/>
    <n v="60"/>
    <n v="0"/>
    <n v="4"/>
    <n v="4"/>
    <n v="0"/>
  </r>
  <r>
    <x v="846"/>
    <n v="4"/>
    <n v="17"/>
    <n v="0.01"/>
    <n v="0.09"/>
    <n v="7"/>
    <n v="0"/>
    <n v="7"/>
    <n v="6"/>
    <n v="0"/>
  </r>
  <r>
    <x v="847"/>
    <n v="60"/>
    <n v="30"/>
    <n v="0.01"/>
    <n v="0.08"/>
    <n v="60"/>
    <n v="0"/>
    <n v="2"/>
    <n v="2"/>
    <n v="0"/>
  </r>
  <r>
    <x v="848"/>
    <n v="30"/>
    <n v="30"/>
    <n v="0.01"/>
    <n v="0.04"/>
    <n v="30"/>
    <n v="0"/>
    <n v="2"/>
    <n v="2"/>
    <n v="0"/>
  </r>
  <r>
    <x v="849"/>
    <n v="100"/>
    <n v="20"/>
    <n v="0.01"/>
    <n v="0.06"/>
    <n v="150"/>
    <n v="0"/>
    <n v="9"/>
    <n v="9"/>
    <n v="0"/>
  </r>
  <r>
    <x v="850"/>
    <n v="9"/>
    <n v="30"/>
    <n v="0.01"/>
    <n v="0.05"/>
    <n v="9"/>
    <n v="0"/>
    <n v="9"/>
    <n v="8"/>
    <n v="0"/>
  </r>
  <r>
    <x v="851"/>
    <n v="6"/>
    <n v="22"/>
    <n v="0.01"/>
    <n v="0.06"/>
    <n v="8"/>
    <n v="0"/>
    <n v="9"/>
    <n v="7"/>
    <n v="0"/>
  </r>
  <r>
    <x v="852"/>
    <n v="56"/>
    <n v="24"/>
    <n v="0.01"/>
    <n v="0.09"/>
    <n v="70"/>
    <n v="0"/>
    <n v="3"/>
    <n v="3"/>
    <n v="0"/>
  </r>
  <r>
    <x v="853"/>
    <n v="40"/>
    <n v="20"/>
    <n v="0.01"/>
    <n v="0.1"/>
    <n v="60"/>
    <n v="0"/>
    <n v="4"/>
    <n v="2"/>
    <n v="0"/>
  </r>
  <r>
    <x v="854"/>
    <n v="40"/>
    <n v="30"/>
    <n v="0.01"/>
    <n v="0.05"/>
    <n v="40"/>
    <n v="0"/>
    <n v="2"/>
    <n v="2"/>
    <n v="0"/>
  </r>
  <r>
    <x v="855"/>
    <n v="3"/>
    <n v="18"/>
    <n v="0.01"/>
    <n v="0.05"/>
    <n v="5"/>
    <n v="0"/>
    <n v="5"/>
    <n v="5"/>
    <n v="0"/>
  </r>
  <r>
    <x v="856"/>
    <n v="30"/>
    <n v="18"/>
    <n v="0.01"/>
    <n v="0.08"/>
    <n v="50"/>
    <n v="0"/>
    <n v="4"/>
    <n v="4"/>
    <n v="0"/>
  </r>
  <r>
    <x v="857"/>
    <n v="30"/>
    <n v="22"/>
    <n v="0.01"/>
    <n v="0.04"/>
    <n v="40"/>
    <n v="0"/>
    <n v="2"/>
    <n v="2"/>
    <n v="0"/>
  </r>
  <r>
    <x v="858"/>
    <n v="90"/>
    <n v="16"/>
    <n v="0.01"/>
    <n v="0.06"/>
    <n v="165"/>
    <n v="0"/>
    <n v="9"/>
    <n v="6"/>
    <n v="0"/>
  </r>
  <r>
    <x v="859"/>
    <n v="50"/>
    <n v="25"/>
    <n v="0.01"/>
    <n v="0.06"/>
    <n v="60"/>
    <n v="0"/>
    <n v="4"/>
    <n v="4"/>
    <n v="0"/>
  </r>
  <r>
    <x v="860"/>
    <n v="20"/>
    <n v="30"/>
    <n v="0.01"/>
    <n v="0.05"/>
    <n v="20"/>
    <n v="0"/>
    <n v="2"/>
    <n v="2"/>
    <n v="0"/>
  </r>
  <r>
    <x v="861"/>
    <n v="40"/>
    <n v="20"/>
    <n v="0.01"/>
    <n v="0.09"/>
    <n v="60"/>
    <n v="0"/>
    <n v="4"/>
    <n v="4"/>
    <n v="0"/>
  </r>
  <r>
    <x v="862"/>
    <n v="60"/>
    <n v="30"/>
    <n v="0.01"/>
    <n v="0.06"/>
    <n v="60"/>
    <n v="0"/>
    <n v="2"/>
    <n v="2"/>
    <n v="0"/>
  </r>
  <r>
    <x v="863"/>
    <n v="3"/>
    <n v="22"/>
    <n v="0.01"/>
    <n v="0.06"/>
    <n v="4"/>
    <n v="0"/>
    <n v="3"/>
    <n v="3"/>
    <n v="0"/>
  </r>
  <r>
    <x v="864"/>
    <n v="2"/>
    <n v="20"/>
    <n v="0.01"/>
    <n v="0.05"/>
    <n v="3"/>
    <n v="0"/>
    <n v="3"/>
    <n v="3"/>
    <n v="0"/>
  </r>
  <r>
    <x v="865"/>
    <n v="90"/>
    <n v="22"/>
    <n v="0.01"/>
    <n v="0.04"/>
    <n v="120"/>
    <n v="0"/>
    <n v="4"/>
    <n v="3"/>
    <n v="0"/>
  </r>
  <r>
    <x v="866"/>
    <n v="30"/>
    <n v="30"/>
    <n v="0.01"/>
    <n v="0.04"/>
    <n v="30"/>
    <n v="0"/>
    <n v="2"/>
    <n v="2"/>
    <n v="0"/>
  </r>
  <r>
    <x v="867"/>
    <n v="2"/>
    <n v="30"/>
    <n v="0.01"/>
    <n v="0.05"/>
    <n v="2"/>
    <n v="0"/>
    <n v="2"/>
    <n v="2"/>
    <n v="0"/>
  </r>
  <r>
    <x v="868"/>
    <n v="4"/>
    <n v="30"/>
    <n v="0.01"/>
    <n v="0.04"/>
    <n v="4"/>
    <n v="0"/>
    <n v="1"/>
    <n v="1"/>
    <n v="0"/>
  </r>
  <r>
    <x v="869"/>
    <n v="45"/>
    <n v="30"/>
    <n v="0.01"/>
    <n v="0.05"/>
    <n v="45"/>
    <n v="0"/>
    <n v="2"/>
    <n v="2"/>
    <n v="0"/>
  </r>
  <r>
    <x v="870"/>
    <n v="30"/>
    <n v="22"/>
    <n v="0.01"/>
    <n v="0.04"/>
    <n v="40"/>
    <n v="0"/>
    <n v="1"/>
    <n v="1"/>
    <n v="0"/>
  </r>
  <r>
    <x v="871"/>
    <n v="30"/>
    <n v="30"/>
    <n v="0.01"/>
    <n v="0.04"/>
    <n v="30"/>
    <n v="0"/>
    <n v="2"/>
    <n v="2"/>
    <n v="0"/>
  </r>
  <r>
    <x v="872"/>
    <n v="60"/>
    <n v="20"/>
    <n v="0.01"/>
    <n v="0.09"/>
    <n v="90"/>
    <n v="0"/>
    <n v="6"/>
    <n v="4"/>
    <n v="0"/>
  </r>
  <r>
    <x v="873"/>
    <n v="40"/>
    <n v="24"/>
    <n v="0.01"/>
    <n v="0.06"/>
    <n v="50"/>
    <n v="0"/>
    <n v="5"/>
    <n v="5"/>
    <n v="0"/>
  </r>
  <r>
    <x v="874"/>
    <n v="60"/>
    <n v="24"/>
    <n v="0.01"/>
    <n v="0.04"/>
    <n v="75"/>
    <n v="0"/>
    <n v="3"/>
    <n v="3"/>
    <n v="0"/>
  </r>
  <r>
    <x v="875"/>
    <n v="20"/>
    <n v="20"/>
    <n v="0.01"/>
    <n v="0.04"/>
    <n v="30"/>
    <n v="0"/>
    <n v="2"/>
    <n v="1"/>
    <n v="0"/>
  </r>
  <r>
    <x v="876"/>
    <n v="3"/>
    <n v="22"/>
    <n v="0.01"/>
    <n v="0.08"/>
    <n v="4"/>
    <n v="0"/>
    <n v="3"/>
    <n v="3"/>
    <n v="0"/>
  </r>
  <r>
    <x v="877"/>
    <n v="2"/>
    <n v="30"/>
    <n v="0.01"/>
    <n v="0.04"/>
    <n v="2"/>
    <n v="0"/>
    <n v="2"/>
    <n v="2"/>
    <n v="0"/>
  </r>
  <r>
    <x v="878"/>
    <n v="32"/>
    <n v="25"/>
    <n v="0.01"/>
    <n v="0.09"/>
    <n v="37"/>
    <n v="0"/>
    <n v="16"/>
    <n v="11"/>
    <n v="0"/>
  </r>
  <r>
    <x v="879"/>
    <n v="20"/>
    <n v="20"/>
    <n v="0.01"/>
    <n v="0.05"/>
    <n v="30"/>
    <n v="0"/>
    <n v="3"/>
    <n v="3"/>
    <n v="0"/>
  </r>
  <r>
    <x v="880"/>
    <n v="5"/>
    <n v="16"/>
    <n v="0.01"/>
    <n v="0.1"/>
    <n v="9"/>
    <n v="0"/>
    <n v="9"/>
    <n v="8"/>
    <n v="0"/>
  </r>
  <r>
    <x v="881"/>
    <n v="4"/>
    <n v="24"/>
    <n v="0.01"/>
    <n v="0.05"/>
    <n v="5"/>
    <n v="0"/>
    <n v="5"/>
    <n v="5"/>
    <n v="0"/>
  </r>
  <r>
    <x v="882"/>
    <n v="30"/>
    <n v="18"/>
    <n v="0.01"/>
    <n v="0.1"/>
    <n v="50"/>
    <n v="0"/>
    <n v="5"/>
    <n v="5"/>
    <n v="0"/>
  </r>
  <r>
    <x v="883"/>
    <n v="7"/>
    <n v="26"/>
    <n v="0.01"/>
    <n v="7.0000000000000007E-2"/>
    <n v="8"/>
    <n v="0"/>
    <n v="8"/>
    <n v="6"/>
    <n v="0"/>
  </r>
  <r>
    <x v="884"/>
    <n v="4"/>
    <n v="24"/>
    <n v="0.01"/>
    <n v="0.03"/>
    <n v="5"/>
    <n v="0"/>
    <n v="5"/>
    <n v="4"/>
    <n v="0"/>
  </r>
  <r>
    <x v="885"/>
    <n v="3"/>
    <n v="22"/>
    <n v="0.01"/>
    <n v="0.04"/>
    <n v="4"/>
    <n v="0"/>
    <n v="4"/>
    <n v="3"/>
    <n v="0"/>
  </r>
  <r>
    <x v="886"/>
    <n v="75"/>
    <n v="30"/>
    <n v="0.01"/>
    <n v="0.04"/>
    <n v="75"/>
    <n v="0"/>
    <n v="7"/>
    <n v="5"/>
    <n v="0"/>
  </r>
  <r>
    <x v="887"/>
    <n v="16"/>
    <n v="16"/>
    <n v="0.01"/>
    <n v="0.03"/>
    <n v="30"/>
    <n v="0"/>
    <n v="3"/>
    <n v="3"/>
    <n v="0"/>
  </r>
  <r>
    <x v="888"/>
    <n v="6"/>
    <n v="30"/>
    <n v="0.01"/>
    <n v="0.08"/>
    <n v="6"/>
    <n v="0"/>
    <n v="5"/>
    <n v="4"/>
    <n v="0"/>
  </r>
  <r>
    <x v="889"/>
    <n v="134"/>
    <n v="28"/>
    <n v="0.01"/>
    <n v="0.09"/>
    <n v="140"/>
    <n v="0"/>
    <n v="49"/>
    <n v="23"/>
    <n v="0"/>
  </r>
  <r>
    <x v="890"/>
    <n v="5"/>
    <n v="30"/>
    <n v="0.01"/>
    <n v="0.04"/>
    <n v="5"/>
    <n v="0"/>
    <n v="5"/>
    <n v="4"/>
    <n v="0"/>
  </r>
  <r>
    <x v="891"/>
    <n v="6"/>
    <n v="25"/>
    <n v="0.01"/>
    <n v="0.08"/>
    <n v="7"/>
    <n v="0"/>
    <n v="9"/>
    <n v="8"/>
    <n v="0"/>
  </r>
  <r>
    <x v="892"/>
    <n v="4"/>
    <n v="17"/>
    <n v="0.01"/>
    <n v="0.08"/>
    <n v="7"/>
    <n v="0"/>
    <n v="7"/>
    <n v="6"/>
    <n v="0"/>
  </r>
  <r>
    <x v="893"/>
    <n v="60"/>
    <n v="30"/>
    <n v="0.01"/>
    <n v="0.06"/>
    <n v="60"/>
    <n v="0"/>
    <n v="2"/>
    <n v="1"/>
    <n v="0"/>
  </r>
  <r>
    <x v="894"/>
    <n v="45"/>
    <n v="30"/>
    <n v="0.01"/>
    <n v="0.06"/>
    <n v="45"/>
    <n v="0"/>
    <n v="1"/>
    <n v="1"/>
    <n v="0"/>
  </r>
  <r>
    <x v="895"/>
    <n v="30"/>
    <n v="30"/>
    <n v="0.01"/>
    <n v="0.06"/>
    <n v="30"/>
    <n v="0"/>
    <n v="2"/>
    <n v="2"/>
    <n v="0"/>
  </r>
  <r>
    <x v="896"/>
    <n v="50"/>
    <n v="25"/>
    <n v="0.01"/>
    <n v="0.04"/>
    <n v="60"/>
    <n v="0"/>
    <n v="5"/>
    <n v="5"/>
    <n v="0"/>
  </r>
  <r>
    <x v="897"/>
    <n v="60"/>
    <n v="30"/>
    <n v="0.01"/>
    <n v="0.04"/>
    <n v="60"/>
    <n v="0"/>
    <n v="4"/>
    <n v="4"/>
    <n v="0"/>
  </r>
  <r>
    <x v="898"/>
    <n v="20"/>
    <n v="20"/>
    <n v="0.01"/>
    <n v="0.04"/>
    <n v="30"/>
    <n v="0"/>
    <n v="2"/>
    <n v="2"/>
    <n v="0"/>
  </r>
  <r>
    <x v="899"/>
    <n v="3"/>
    <n v="22"/>
    <n v="0.01"/>
    <n v="0.04"/>
    <n v="4"/>
    <n v="0"/>
    <n v="3"/>
    <n v="3"/>
    <n v="0"/>
  </r>
  <r>
    <x v="900"/>
    <n v="7"/>
    <n v="23"/>
    <n v="0.01"/>
    <n v="0.05"/>
    <n v="9"/>
    <n v="0"/>
    <n v="9"/>
    <n v="8"/>
    <n v="0"/>
  </r>
  <r>
    <x v="901"/>
    <n v="6"/>
    <n v="30"/>
    <n v="0.01"/>
    <n v="0.05"/>
    <n v="6"/>
    <n v="0"/>
    <n v="6"/>
    <n v="5"/>
    <n v="0"/>
  </r>
  <r>
    <x v="902"/>
    <n v="45"/>
    <n v="18"/>
    <n v="0.01"/>
    <n v="0.04"/>
    <n v="75"/>
    <n v="0"/>
    <n v="4"/>
    <n v="4"/>
    <n v="0"/>
  </r>
  <r>
    <x v="903"/>
    <n v="40"/>
    <n v="30"/>
    <n v="0.01"/>
    <n v="0.06"/>
    <n v="40"/>
    <n v="0"/>
    <n v="4"/>
    <n v="4"/>
    <n v="0"/>
  </r>
  <r>
    <x v="904"/>
    <n v="50"/>
    <n v="30"/>
    <n v="0.01"/>
    <n v="0.04"/>
    <n v="50"/>
    <n v="0"/>
    <n v="3"/>
    <n v="3"/>
    <n v="0"/>
  </r>
  <r>
    <x v="905"/>
    <n v="60"/>
    <n v="30"/>
    <n v="0.01"/>
    <n v="7.0000000000000007E-2"/>
    <n v="60"/>
    <n v="0"/>
    <n v="2"/>
    <n v="2"/>
    <n v="0"/>
  </r>
  <r>
    <x v="906"/>
    <n v="4"/>
    <n v="24"/>
    <n v="0.01"/>
    <n v="0.05"/>
    <n v="5"/>
    <n v="0"/>
    <n v="5"/>
    <n v="4"/>
    <n v="0"/>
  </r>
  <r>
    <x v="907"/>
    <n v="2"/>
    <n v="30"/>
    <n v="0.01"/>
    <n v="0.05"/>
    <n v="2"/>
    <n v="0"/>
    <n v="2"/>
    <n v="2"/>
    <n v="0"/>
  </r>
  <r>
    <x v="908"/>
    <n v="30"/>
    <n v="18"/>
    <n v="0.01"/>
    <n v="0.09"/>
    <n v="50"/>
    <n v="0"/>
    <n v="2"/>
    <n v="2"/>
    <n v="0"/>
  </r>
  <r>
    <x v="909"/>
    <n v="30"/>
    <n v="30"/>
    <n v="0.01"/>
    <n v="0.05"/>
    <n v="30"/>
    <n v="0"/>
    <n v="3"/>
    <n v="3"/>
    <n v="0"/>
  </r>
  <r>
    <x v="910"/>
    <n v="75"/>
    <n v="21"/>
    <n v="0.01"/>
    <n v="0.05"/>
    <n v="105"/>
    <n v="0"/>
    <n v="7"/>
    <n v="7"/>
    <n v="0"/>
  </r>
  <r>
    <x v="911"/>
    <n v="52"/>
    <n v="26"/>
    <n v="0.01"/>
    <n v="0.04"/>
    <n v="60"/>
    <n v="0"/>
    <n v="3"/>
    <n v="3"/>
    <n v="0"/>
  </r>
  <r>
    <x v="912"/>
    <n v="2"/>
    <n v="30"/>
    <n v="0.01"/>
    <n v="0.06"/>
    <n v="2"/>
    <n v="0"/>
    <n v="2"/>
    <n v="2"/>
    <n v="0"/>
  </r>
  <r>
    <x v="913"/>
    <n v="105"/>
    <n v="23"/>
    <n v="0.01"/>
    <n v="7.0000000000000007E-2"/>
    <n v="135"/>
    <n v="0"/>
    <n v="9"/>
    <n v="7"/>
    <n v="0"/>
  </r>
  <r>
    <x v="914"/>
    <n v="7"/>
    <n v="23"/>
    <n v="0.01"/>
    <n v="0.1"/>
    <n v="9"/>
    <n v="0"/>
    <n v="5"/>
    <n v="5"/>
    <n v="0"/>
  </r>
  <r>
    <x v="915"/>
    <n v="6"/>
    <n v="30"/>
    <n v="0.01"/>
    <n v="0.04"/>
    <n v="6"/>
    <n v="0"/>
    <n v="1"/>
    <n v="1"/>
    <n v="0"/>
  </r>
  <r>
    <x v="916"/>
    <n v="28"/>
    <n v="30"/>
    <n v="0.01"/>
    <n v="7.0000000000000007E-2"/>
    <n v="28"/>
    <n v="0"/>
    <n v="1"/>
    <n v="1"/>
    <n v="0"/>
  </r>
  <r>
    <x v="917"/>
    <n v="60"/>
    <n v="30"/>
    <n v="0.01"/>
    <n v="0.05"/>
    <n v="60"/>
    <n v="0"/>
    <n v="4"/>
    <n v="3"/>
    <n v="0"/>
  </r>
  <r>
    <x v="918"/>
    <n v="2"/>
    <n v="20"/>
    <n v="0.01"/>
    <n v="0.04"/>
    <n v="3"/>
    <n v="0"/>
    <n v="3"/>
    <n v="3"/>
    <n v="0"/>
  </r>
  <r>
    <x v="919"/>
    <n v="56"/>
    <n v="20"/>
    <n v="0.01"/>
    <n v="0.06"/>
    <n v="84"/>
    <n v="0"/>
    <n v="2"/>
    <n v="2"/>
    <n v="0"/>
  </r>
  <r>
    <x v="920"/>
    <n v="80"/>
    <n v="21"/>
    <n v="0.01"/>
    <n v="0.06"/>
    <n v="112"/>
    <n v="0"/>
    <n v="10"/>
    <n v="8"/>
    <n v="0"/>
  </r>
  <r>
    <x v="921"/>
    <n v="30"/>
    <n v="30"/>
    <n v="0.01"/>
    <n v="0.06"/>
    <n v="30"/>
    <n v="0"/>
    <n v="3"/>
    <n v="3"/>
    <n v="0"/>
  </r>
  <r>
    <x v="922"/>
    <n v="45"/>
    <n v="30"/>
    <n v="0.01"/>
    <n v="0.06"/>
    <n v="45"/>
    <n v="0"/>
    <n v="2"/>
    <n v="2"/>
    <n v="0"/>
  </r>
  <r>
    <x v="923"/>
    <n v="405"/>
    <n v="26"/>
    <n v="0.01"/>
    <n v="7.0000000000000007E-2"/>
    <n v="465"/>
    <n v="0"/>
    <n v="23"/>
    <n v="17"/>
    <n v="0"/>
  </r>
  <r>
    <x v="924"/>
    <n v="16"/>
    <n v="18"/>
    <n v="0.01"/>
    <n v="0.04"/>
    <n v="26"/>
    <n v="0"/>
    <n v="2"/>
    <n v="2"/>
    <n v="0"/>
  </r>
  <r>
    <x v="925"/>
    <n v="14"/>
    <n v="26"/>
    <n v="0.01"/>
    <n v="0.08"/>
    <n v="16"/>
    <n v="0"/>
    <n v="2"/>
    <n v="2"/>
    <n v="0"/>
  </r>
  <r>
    <x v="926"/>
    <n v="20"/>
    <n v="30"/>
    <n v="0.01"/>
    <n v="0.04"/>
    <n v="20"/>
    <n v="0"/>
    <n v="1"/>
    <n v="1"/>
    <n v="0"/>
  </r>
  <r>
    <x v="927"/>
    <n v="40"/>
    <n v="30"/>
    <n v="0.01"/>
    <n v="0.05"/>
    <n v="40"/>
    <n v="0"/>
    <n v="4"/>
    <n v="4"/>
    <n v="0"/>
  </r>
  <r>
    <x v="928"/>
    <n v="20"/>
    <n v="30"/>
    <n v="0.01"/>
    <n v="0.05"/>
    <n v="20"/>
    <n v="0"/>
    <n v="2"/>
    <n v="2"/>
    <n v="0"/>
  </r>
  <r>
    <x v="929"/>
    <n v="30"/>
    <n v="22"/>
    <n v="0.01"/>
    <n v="0.05"/>
    <n v="40"/>
    <n v="0"/>
    <n v="2"/>
    <n v="2"/>
    <n v="0"/>
  </r>
  <r>
    <x v="930"/>
    <n v="30"/>
    <n v="30"/>
    <n v="0.01"/>
    <n v="0.05"/>
    <n v="30"/>
    <n v="0"/>
    <n v="2"/>
    <n v="2"/>
    <n v="0"/>
  </r>
  <r>
    <x v="931"/>
    <n v="30"/>
    <n v="20"/>
    <n v="0.01"/>
    <n v="7.0000000000000007E-2"/>
    <n v="45"/>
    <n v="0"/>
    <n v="3"/>
    <n v="3"/>
    <n v="0"/>
  </r>
  <r>
    <x v="932"/>
    <n v="30"/>
    <n v="18"/>
    <n v="0.01"/>
    <n v="0.05"/>
    <n v="50"/>
    <n v="0"/>
    <n v="4"/>
    <n v="4"/>
    <n v="0"/>
  </r>
  <r>
    <x v="933"/>
    <n v="3"/>
    <n v="18"/>
    <n v="0.01"/>
    <n v="0.06"/>
    <n v="5"/>
    <n v="0"/>
    <n v="4"/>
    <n v="4"/>
    <n v="0"/>
  </r>
  <r>
    <x v="934"/>
    <n v="30"/>
    <n v="22"/>
    <n v="0.01"/>
    <n v="0.06"/>
    <n v="40"/>
    <n v="0"/>
    <n v="4"/>
    <n v="4"/>
    <n v="0"/>
  </r>
  <r>
    <x v="935"/>
    <n v="30"/>
    <n v="22"/>
    <n v="0.01"/>
    <n v="0.04"/>
    <n v="40"/>
    <n v="0"/>
    <n v="4"/>
    <n v="3"/>
    <n v="0"/>
  </r>
  <r>
    <x v="936"/>
    <n v="30"/>
    <n v="20"/>
    <n v="0.01"/>
    <n v="0.04"/>
    <n v="45"/>
    <n v="0"/>
    <n v="3"/>
    <n v="3"/>
    <n v="0"/>
  </r>
  <r>
    <x v="937"/>
    <n v="3"/>
    <n v="30"/>
    <n v="0.01"/>
    <n v="0.05"/>
    <n v="3"/>
    <n v="0"/>
    <n v="3"/>
    <n v="2"/>
    <n v="0"/>
  </r>
  <r>
    <x v="938"/>
    <n v="2"/>
    <n v="20"/>
    <n v="0.01"/>
    <n v="0.09"/>
    <n v="3"/>
    <n v="0"/>
    <n v="2"/>
    <n v="2"/>
    <n v="0"/>
  </r>
  <r>
    <x v="939"/>
    <n v="4"/>
    <n v="30"/>
    <n v="0.01"/>
    <n v="0.04"/>
    <n v="4"/>
    <n v="0"/>
    <n v="4"/>
    <n v="3"/>
    <n v="0"/>
  </r>
  <r>
    <x v="940"/>
    <n v="3"/>
    <n v="30"/>
    <n v="0.01"/>
    <n v="0.06"/>
    <n v="3"/>
    <n v="0"/>
    <n v="2"/>
    <n v="2"/>
    <n v="0"/>
  </r>
  <r>
    <x v="941"/>
    <n v="1"/>
    <n v="30"/>
    <n v="0.01"/>
    <n v="0.04"/>
    <n v="1"/>
    <n v="0"/>
    <n v="1"/>
    <n v="1"/>
    <n v="0"/>
  </r>
  <r>
    <x v="942"/>
    <n v="2"/>
    <n v="30"/>
    <n v="0.01"/>
    <n v="0.04"/>
    <n v="2"/>
    <n v="0"/>
    <n v="2"/>
    <n v="2"/>
    <n v="0"/>
  </r>
  <r>
    <x v="943"/>
    <n v="1"/>
    <n v="30"/>
    <n v="0.01"/>
    <n v="0.05"/>
    <n v="1"/>
    <n v="0"/>
    <n v="1"/>
    <n v="1"/>
    <n v="0"/>
  </r>
  <r>
    <x v="944"/>
    <n v="50"/>
    <n v="30"/>
    <n v="0.01"/>
    <n v="0.03"/>
    <n v="50"/>
    <n v="0"/>
    <n v="2"/>
    <n v="2"/>
    <n v="0"/>
  </r>
  <r>
    <x v="945"/>
    <n v="2"/>
    <n v="30"/>
    <n v="0.01"/>
    <n v="0.04"/>
    <n v="2"/>
    <n v="0"/>
    <n v="2"/>
    <n v="2"/>
    <n v="0"/>
  </r>
  <r>
    <x v="946"/>
    <n v="24"/>
    <n v="16"/>
    <n v="0.01"/>
    <n v="7.0000000000000007E-2"/>
    <n v="45"/>
    <n v="0"/>
    <n v="3"/>
    <n v="2"/>
    <n v="0"/>
  </r>
  <r>
    <x v="947"/>
    <n v="480"/>
    <n v="20"/>
    <n v="0.01"/>
    <n v="7.0000000000000007E-2"/>
    <n v="720"/>
    <n v="0"/>
    <n v="6"/>
    <n v="6"/>
    <n v="0"/>
  </r>
  <r>
    <x v="948"/>
    <n v="63"/>
    <n v="18"/>
    <n v="0.01"/>
    <n v="0.09"/>
    <n v="100"/>
    <n v="0"/>
    <n v="15"/>
    <n v="10"/>
    <n v="0"/>
  </r>
  <r>
    <x v="949"/>
    <n v="1"/>
    <n v="30"/>
    <n v="0.01"/>
    <n v="0.06"/>
    <n v="1"/>
    <n v="0"/>
    <n v="1"/>
    <n v="1"/>
    <n v="0"/>
  </r>
  <r>
    <x v="950"/>
    <n v="5"/>
    <n v="25"/>
    <n v="0.01"/>
    <n v="0.06"/>
    <n v="6"/>
    <n v="0"/>
    <n v="5"/>
    <n v="4"/>
    <n v="0"/>
  </r>
  <r>
    <x v="951"/>
    <n v="2"/>
    <n v="20"/>
    <n v="0.01"/>
    <n v="0.04"/>
    <n v="3"/>
    <n v="0"/>
    <n v="3"/>
    <n v="3"/>
    <n v="0"/>
  </r>
  <r>
    <x v="952"/>
    <n v="4"/>
    <n v="30"/>
    <n v="0"/>
    <n v="0.02"/>
    <n v="4"/>
    <n v="0"/>
    <n v="4"/>
    <n v="4"/>
    <n v="0"/>
  </r>
  <r>
    <x v="953"/>
    <n v="10"/>
    <n v="30"/>
    <n v="0"/>
    <n v="0.01"/>
    <n v="10"/>
    <n v="0"/>
    <n v="1"/>
    <n v="1"/>
    <n v="0"/>
  </r>
  <r>
    <x v="954"/>
    <n v="15"/>
    <n v="30"/>
    <n v="0"/>
    <n v="0.02"/>
    <n v="15"/>
    <n v="0"/>
    <n v="1"/>
    <n v="1"/>
    <n v="0"/>
  </r>
  <r>
    <x v="955"/>
    <n v="1"/>
    <n v="30"/>
    <n v="0"/>
    <n v="0.01"/>
    <n v="1"/>
    <n v="0"/>
    <n v="1"/>
    <n v="1"/>
    <n v="0"/>
  </r>
  <r>
    <x v="956"/>
    <n v="3"/>
    <n v="22"/>
    <n v="0"/>
    <n v="0.02"/>
    <n v="4"/>
    <n v="0"/>
    <n v="4"/>
    <n v="4"/>
    <n v="0"/>
  </r>
  <r>
    <x v="957"/>
    <n v="2"/>
    <n v="20"/>
    <n v="0"/>
    <n v="0.01"/>
    <n v="3"/>
    <n v="0"/>
    <n v="2"/>
    <n v="2"/>
    <n v="0"/>
  </r>
  <r>
    <x v="958"/>
    <n v="5"/>
    <n v="21"/>
    <n v="0"/>
    <n v="0.01"/>
    <n v="7"/>
    <n v="0"/>
    <n v="2"/>
    <n v="2"/>
    <n v="0"/>
  </r>
  <r>
    <x v="959"/>
    <n v="10"/>
    <n v="30"/>
    <n v="0"/>
    <n v="0"/>
    <n v="10"/>
    <n v="0"/>
    <n v="1"/>
    <n v="1"/>
    <n v="0"/>
  </r>
  <r>
    <x v="960"/>
    <n v="20"/>
    <n v="20"/>
    <n v="0"/>
    <n v="0.03"/>
    <n v="30"/>
    <n v="0"/>
    <n v="2"/>
    <n v="2"/>
    <n v="0"/>
  </r>
  <r>
    <x v="961"/>
    <n v="105"/>
    <n v="26"/>
    <n v="0"/>
    <n v="0.03"/>
    <n v="120"/>
    <n v="0"/>
    <n v="7"/>
    <n v="6"/>
    <n v="0"/>
  </r>
  <r>
    <x v="962"/>
    <n v="4"/>
    <n v="30"/>
    <n v="0"/>
    <n v="0.01"/>
    <n v="4"/>
    <n v="0"/>
    <n v="1"/>
    <n v="1"/>
    <n v="0"/>
  </r>
  <r>
    <x v="963"/>
    <n v="4"/>
    <n v="30"/>
    <n v="0"/>
    <n v="0.03"/>
    <n v="4"/>
    <n v="0"/>
    <n v="4"/>
    <n v="4"/>
    <n v="0"/>
  </r>
  <r>
    <x v="964"/>
    <n v="1"/>
    <n v="30"/>
    <n v="0"/>
    <n v="0.01"/>
    <n v="1"/>
    <n v="0"/>
    <n v="1"/>
    <n v="1"/>
    <n v="0"/>
  </r>
  <r>
    <x v="965"/>
    <n v="20"/>
    <n v="30"/>
    <n v="0"/>
    <n v="0.02"/>
    <n v="20"/>
    <n v="0"/>
    <n v="2"/>
    <n v="2"/>
    <n v="0"/>
  </r>
  <r>
    <x v="966"/>
    <n v="20"/>
    <n v="30"/>
    <n v="0"/>
    <n v="0.01"/>
    <n v="20"/>
    <n v="0"/>
    <n v="1"/>
    <n v="1"/>
    <n v="0"/>
  </r>
  <r>
    <x v="967"/>
    <n v="3"/>
    <n v="18"/>
    <n v="0"/>
    <n v="0.03"/>
    <n v="5"/>
    <n v="0"/>
    <n v="5"/>
    <n v="5"/>
    <n v="0"/>
  </r>
  <r>
    <x v="968"/>
    <n v="1"/>
    <n v="30"/>
    <n v="0"/>
    <n v="0.03"/>
    <n v="1"/>
    <n v="0"/>
    <n v="1"/>
    <n v="1"/>
    <n v="0"/>
  </r>
  <r>
    <x v="969"/>
    <n v="2"/>
    <n v="30"/>
    <n v="0"/>
    <n v="0.02"/>
    <n v="2"/>
    <n v="0"/>
    <n v="2"/>
    <n v="2"/>
    <n v="0"/>
  </r>
  <r>
    <x v="970"/>
    <n v="60"/>
    <n v="30"/>
    <n v="0"/>
    <n v="0.02"/>
    <n v="60"/>
    <n v="0"/>
    <n v="2"/>
    <n v="2"/>
    <n v="0"/>
  </r>
  <r>
    <x v="971"/>
    <n v="10"/>
    <n v="30"/>
    <n v="0"/>
    <n v="0.02"/>
    <n v="10"/>
    <n v="0"/>
    <n v="1"/>
    <n v="1"/>
    <n v="0"/>
  </r>
  <r>
    <x v="972"/>
    <n v="30"/>
    <n v="30"/>
    <n v="0"/>
    <n v="0.03"/>
    <n v="30"/>
    <n v="0"/>
    <n v="2"/>
    <n v="2"/>
    <n v="0"/>
  </r>
  <r>
    <x v="973"/>
    <n v="15"/>
    <n v="30"/>
    <n v="0"/>
    <n v="0.01"/>
    <n v="15"/>
    <n v="0"/>
    <n v="1"/>
    <n v="1"/>
    <n v="0"/>
  </r>
  <r>
    <x v="974"/>
    <n v="3"/>
    <n v="30"/>
    <n v="0"/>
    <n v="0.01"/>
    <n v="3"/>
    <n v="0"/>
    <n v="2"/>
    <n v="2"/>
    <n v="0"/>
  </r>
  <r>
    <x v="975"/>
    <n v="2"/>
    <n v="20"/>
    <n v="0"/>
    <n v="0.03"/>
    <n v="3"/>
    <n v="0"/>
    <n v="3"/>
    <n v="2"/>
    <n v="0"/>
  </r>
  <r>
    <x v="976"/>
    <n v="1"/>
    <n v="30"/>
    <n v="0"/>
    <n v="0.01"/>
    <n v="1"/>
    <n v="0"/>
    <n v="1"/>
    <n v="1"/>
    <n v="0"/>
  </r>
  <r>
    <x v="977"/>
    <n v="1"/>
    <n v="30"/>
    <n v="0"/>
    <n v="0.01"/>
    <n v="1"/>
    <n v="0"/>
    <n v="1"/>
    <n v="1"/>
    <n v="0"/>
  </r>
  <r>
    <x v="978"/>
    <n v="60"/>
    <n v="30"/>
    <n v="0"/>
    <n v="0.02"/>
    <n v="60"/>
    <n v="0"/>
    <n v="1"/>
    <n v="1"/>
    <n v="0"/>
  </r>
  <r>
    <x v="979"/>
    <n v="1"/>
    <n v="30"/>
    <n v="0"/>
    <n v="0.01"/>
    <n v="1"/>
    <n v="0"/>
    <n v="1"/>
    <n v="1"/>
    <n v="0"/>
  </r>
  <r>
    <x v="980"/>
    <n v="45"/>
    <n v="30"/>
    <n v="0"/>
    <n v="0.01"/>
    <n v="45"/>
    <n v="0"/>
    <n v="2"/>
    <n v="1"/>
    <n v="0"/>
  </r>
  <r>
    <x v="981"/>
    <n v="1"/>
    <n v="30"/>
    <n v="0"/>
    <n v="0.01"/>
    <n v="1"/>
    <n v="0"/>
    <n v="1"/>
    <n v="1"/>
    <n v="0"/>
  </r>
  <r>
    <x v="982"/>
    <n v="2"/>
    <n v="30"/>
    <n v="0"/>
    <n v="0.03"/>
    <n v="2"/>
    <n v="0"/>
    <n v="2"/>
    <n v="1"/>
    <n v="0"/>
  </r>
  <r>
    <x v="983"/>
    <n v="1"/>
    <n v="30"/>
    <n v="0"/>
    <n v="0"/>
    <n v="1"/>
    <n v="0"/>
    <n v="1"/>
    <n v="1"/>
    <n v="0"/>
  </r>
  <r>
    <x v="984"/>
    <n v="1"/>
    <n v="30"/>
    <n v="0"/>
    <n v="0.03"/>
    <n v="1"/>
    <n v="0"/>
    <n v="1"/>
    <n v="1"/>
    <n v="0"/>
  </r>
  <r>
    <x v="985"/>
    <n v="10"/>
    <n v="30"/>
    <n v="0"/>
    <n v="0.01"/>
    <n v="10"/>
    <n v="0"/>
    <n v="1"/>
    <n v="1"/>
    <n v="0"/>
  </r>
  <r>
    <x v="986"/>
    <n v="1"/>
    <n v="30"/>
    <n v="0"/>
    <n v="0.01"/>
    <n v="1"/>
    <n v="0"/>
    <n v="1"/>
    <n v="1"/>
    <n v="0"/>
  </r>
  <r>
    <x v="987"/>
    <n v="10"/>
    <n v="30"/>
    <n v="0"/>
    <n v="0.02"/>
    <n v="10"/>
    <n v="0"/>
    <n v="1"/>
    <n v="1"/>
    <n v="0"/>
  </r>
  <r>
    <x v="988"/>
    <n v="20"/>
    <n v="30"/>
    <n v="0"/>
    <n v="0.02"/>
    <n v="20"/>
    <n v="0"/>
    <n v="2"/>
    <n v="2"/>
    <n v="0"/>
  </r>
  <r>
    <x v="989"/>
    <n v="45"/>
    <n v="22"/>
    <n v="0"/>
    <n v="0.02"/>
    <n v="60"/>
    <n v="0"/>
    <n v="4"/>
    <n v="4"/>
    <n v="0"/>
  </r>
  <r>
    <x v="990"/>
    <n v="20"/>
    <n v="30"/>
    <n v="0"/>
    <n v="0.01"/>
    <n v="20"/>
    <n v="0"/>
    <n v="2"/>
    <n v="2"/>
    <n v="0"/>
  </r>
  <r>
    <x v="991"/>
    <n v="2"/>
    <n v="30"/>
    <n v="0"/>
    <n v="0.02"/>
    <n v="2"/>
    <n v="0"/>
    <n v="2"/>
    <n v="2"/>
    <n v="0"/>
  </r>
  <r>
    <x v="992"/>
    <n v="20"/>
    <n v="20"/>
    <n v="0"/>
    <n v="0.02"/>
    <n v="30"/>
    <n v="0"/>
    <n v="3"/>
    <n v="3"/>
    <n v="0"/>
  </r>
  <r>
    <x v="993"/>
    <n v="10"/>
    <n v="30"/>
    <n v="0"/>
    <n v="0.02"/>
    <n v="10"/>
    <n v="0"/>
    <n v="1"/>
    <n v="1"/>
    <n v="0"/>
  </r>
  <r>
    <x v="994"/>
    <n v="30"/>
    <n v="30"/>
    <n v="0"/>
    <n v="0.03"/>
    <n v="30"/>
    <n v="0"/>
    <n v="2"/>
    <n v="2"/>
    <n v="0"/>
  </r>
  <r>
    <x v="995"/>
    <n v="3"/>
    <n v="18"/>
    <n v="0"/>
    <n v="0.03"/>
    <n v="5"/>
    <n v="0"/>
    <n v="5"/>
    <n v="4"/>
    <n v="0"/>
  </r>
  <r>
    <x v="996"/>
    <n v="20"/>
    <n v="30"/>
    <n v="0"/>
    <n v="0.02"/>
    <n v="20"/>
    <n v="0"/>
    <n v="2"/>
    <n v="2"/>
    <n v="0"/>
  </r>
  <r>
    <x v="997"/>
    <n v="50"/>
    <n v="25"/>
    <n v="0"/>
    <n v="0.02"/>
    <n v="60"/>
    <n v="0"/>
    <n v="5"/>
    <n v="4"/>
    <n v="0"/>
  </r>
  <r>
    <x v="998"/>
    <n v="50"/>
    <n v="16"/>
    <n v="0"/>
    <n v="0.01"/>
    <n v="90"/>
    <n v="0"/>
    <n v="5"/>
    <n v="5"/>
    <n v="0"/>
  </r>
  <r>
    <x v="999"/>
    <n v="16"/>
    <n v="24"/>
    <n v="0"/>
    <n v="0.03"/>
    <n v="20"/>
    <n v="0"/>
    <n v="2"/>
    <n v="2"/>
    <n v="0"/>
  </r>
  <r>
    <x v="1000"/>
    <n v="1"/>
    <n v="30"/>
    <n v="0"/>
    <n v="0.02"/>
    <n v="1"/>
    <n v="0"/>
    <n v="1"/>
    <n v="1"/>
    <n v="0"/>
  </r>
  <r>
    <x v="1001"/>
    <n v="1"/>
    <n v="30"/>
    <n v="0"/>
    <n v="0"/>
    <n v="1"/>
    <n v="0"/>
    <n v="1"/>
    <n v="1"/>
    <n v="0"/>
  </r>
  <r>
    <x v="1002"/>
    <n v="30"/>
    <n v="30"/>
    <n v="0"/>
    <n v="0.01"/>
    <n v="30"/>
    <n v="0"/>
    <n v="2"/>
    <n v="2"/>
    <n v="0"/>
  </r>
  <r>
    <x v="1003"/>
    <n v="41"/>
    <n v="18"/>
    <n v="0"/>
    <n v="0.01"/>
    <n v="66"/>
    <n v="0"/>
    <n v="10"/>
    <n v="8"/>
    <n v="0"/>
  </r>
  <r>
    <x v="1004"/>
    <n v="1"/>
    <n v="30"/>
    <n v="0"/>
    <n v="0.01"/>
    <n v="1"/>
    <n v="0"/>
    <n v="1"/>
    <n v="1"/>
    <n v="0"/>
  </r>
  <r>
    <x v="1005"/>
    <n v="1"/>
    <n v="30"/>
    <n v="0"/>
    <n v="0.01"/>
    <n v="1"/>
    <n v="0"/>
    <n v="1"/>
    <n v="1"/>
    <n v="0"/>
  </r>
  <r>
    <x v="1006"/>
    <n v="1"/>
    <n v="30"/>
    <n v="0"/>
    <n v="0.01"/>
    <n v="1"/>
    <n v="0"/>
    <n v="1"/>
    <n v="1"/>
    <n v="0"/>
  </r>
  <r>
    <x v="1007"/>
    <n v="70"/>
    <n v="30"/>
    <n v="0"/>
    <n v="0.02"/>
    <n v="70"/>
    <n v="0"/>
    <n v="4"/>
    <n v="3"/>
    <n v="0"/>
  </r>
  <r>
    <x v="1008"/>
    <n v="30"/>
    <n v="30"/>
    <n v="0"/>
    <n v="0.03"/>
    <n v="30"/>
    <n v="0"/>
    <n v="1"/>
    <n v="1"/>
    <n v="0"/>
  </r>
  <r>
    <x v="1009"/>
    <n v="28"/>
    <n v="20"/>
    <n v="0"/>
    <n v="0.02"/>
    <n v="42"/>
    <n v="0"/>
    <n v="3"/>
    <n v="3"/>
    <n v="0"/>
  </r>
  <r>
    <x v="1010"/>
    <n v="20"/>
    <n v="20"/>
    <n v="0"/>
    <n v="0"/>
    <n v="30"/>
    <n v="0"/>
    <n v="1"/>
    <n v="1"/>
    <n v="0"/>
  </r>
  <r>
    <x v="1011"/>
    <n v="14"/>
    <n v="28"/>
    <n v="0"/>
    <n v="0.02"/>
    <n v="15"/>
    <n v="0"/>
    <n v="1"/>
    <n v="1"/>
    <n v="0"/>
  </r>
  <r>
    <x v="1012"/>
    <n v="4"/>
    <n v="20"/>
    <n v="0"/>
    <n v="0.03"/>
    <n v="6"/>
    <n v="0"/>
    <n v="6"/>
    <n v="6"/>
    <n v="0"/>
  </r>
  <r>
    <x v="1013"/>
    <n v="120"/>
    <n v="20"/>
    <n v="0"/>
    <n v="0.02"/>
    <n v="180"/>
    <n v="0"/>
    <n v="5"/>
    <n v="4"/>
    <n v="0"/>
  </r>
  <r>
    <x v="1014"/>
    <n v="30"/>
    <n v="20"/>
    <n v="0"/>
    <n v="0.01"/>
    <n v="45"/>
    <n v="0"/>
    <n v="3"/>
    <n v="3"/>
    <n v="0"/>
  </r>
  <r>
    <x v="1015"/>
    <n v="1"/>
    <n v="30"/>
    <n v="0"/>
    <n v="0.02"/>
    <n v="1"/>
    <n v="0"/>
    <n v="1"/>
    <n v="1"/>
    <n v="0"/>
  </r>
  <r>
    <x v="1016"/>
    <n v="30"/>
    <n v="20"/>
    <n v="0"/>
    <n v="0.03"/>
    <n v="45"/>
    <n v="0"/>
    <n v="1"/>
    <n v="1"/>
    <n v="0"/>
  </r>
  <r>
    <x v="1017"/>
    <n v="60"/>
    <n v="25"/>
    <n v="0"/>
    <n v="0.02"/>
    <n v="70"/>
    <n v="0"/>
    <n v="4"/>
    <n v="3"/>
    <n v="0"/>
  </r>
  <r>
    <x v="1018"/>
    <n v="1"/>
    <n v="30"/>
    <n v="0"/>
    <n v="0.01"/>
    <n v="1"/>
    <n v="0"/>
    <n v="1"/>
    <n v="1"/>
    <n v="0"/>
  </r>
  <r>
    <x v="1019"/>
    <n v="1"/>
    <n v="30"/>
    <n v="0"/>
    <n v="0.02"/>
    <n v="1"/>
    <n v="0"/>
    <n v="1"/>
    <n v="1"/>
    <n v="0"/>
  </r>
  <r>
    <x v="1020"/>
    <n v="10"/>
    <n v="30"/>
    <n v="0"/>
    <n v="0.02"/>
    <n v="10"/>
    <n v="0"/>
    <n v="1"/>
    <n v="1"/>
    <n v="0"/>
  </r>
  <r>
    <x v="1021"/>
    <n v="2"/>
    <n v="30"/>
    <n v="0"/>
    <n v="0.01"/>
    <n v="2"/>
    <n v="0"/>
    <n v="2"/>
    <n v="2"/>
    <n v="0"/>
  </r>
  <r>
    <x v="1022"/>
    <n v="1"/>
    <n v="30"/>
    <n v="0"/>
    <n v="0.01"/>
    <n v="1"/>
    <n v="0"/>
    <n v="1"/>
    <n v="1"/>
    <n v="0"/>
  </r>
  <r>
    <x v="1023"/>
    <n v="20"/>
    <n v="30"/>
    <n v="0"/>
    <n v="0.03"/>
    <n v="20"/>
    <n v="0"/>
    <n v="2"/>
    <n v="2"/>
    <n v="0"/>
  </r>
  <r>
    <x v="1024"/>
    <n v="30"/>
    <n v="22"/>
    <n v="0"/>
    <n v="0.03"/>
    <n v="40"/>
    <n v="0"/>
    <n v="3"/>
    <n v="3"/>
    <n v="0"/>
  </r>
  <r>
    <x v="1025"/>
    <n v="30"/>
    <n v="22"/>
    <n v="0"/>
    <n v="0.02"/>
    <n v="40"/>
    <n v="0"/>
    <n v="3"/>
    <n v="3"/>
    <n v="0"/>
  </r>
  <r>
    <x v="1026"/>
    <n v="30"/>
    <n v="30"/>
    <n v="0"/>
    <n v="0.03"/>
    <n v="30"/>
    <n v="0"/>
    <n v="1"/>
    <n v="1"/>
    <n v="0"/>
  </r>
  <r>
    <x v="1027"/>
    <n v="45"/>
    <n v="22"/>
    <n v="0"/>
    <n v="0.03"/>
    <n v="60"/>
    <n v="0"/>
    <n v="1"/>
    <n v="1"/>
    <n v="0"/>
  </r>
  <r>
    <x v="1028"/>
    <n v="30"/>
    <n v="30"/>
    <n v="0"/>
    <n v="0.01"/>
    <n v="30"/>
    <n v="0"/>
    <n v="1"/>
    <n v="1"/>
    <n v="0"/>
  </r>
  <r>
    <x v="1029"/>
    <n v="5"/>
    <n v="18"/>
    <n v="0"/>
    <n v="0.03"/>
    <n v="8"/>
    <n v="0"/>
    <n v="8"/>
    <n v="7"/>
    <n v="0"/>
  </r>
  <r>
    <x v="1030"/>
    <n v="2"/>
    <n v="30"/>
    <n v="0"/>
    <n v="0.01"/>
    <n v="2"/>
    <n v="0"/>
    <n v="2"/>
    <n v="2"/>
    <n v="0"/>
  </r>
  <r>
    <x v="1031"/>
    <n v="4"/>
    <n v="17"/>
    <n v="0"/>
    <n v="0.03"/>
    <n v="7"/>
    <n v="0"/>
    <n v="7"/>
    <n v="7"/>
    <n v="0"/>
  </r>
  <r>
    <x v="1032"/>
    <n v="20"/>
    <n v="30"/>
    <n v="0"/>
    <n v="0.03"/>
    <n v="20"/>
    <n v="0"/>
    <n v="2"/>
    <n v="2"/>
    <n v="0"/>
  </r>
  <r>
    <x v="1033"/>
    <n v="20"/>
    <n v="30"/>
    <n v="0"/>
    <n v="0.02"/>
    <n v="20"/>
    <n v="0"/>
    <n v="1"/>
    <n v="1"/>
    <n v="0"/>
  </r>
  <r>
    <x v="1034"/>
    <n v="44"/>
    <n v="28"/>
    <n v="0"/>
    <n v="0.02"/>
    <n v="47"/>
    <n v="0"/>
    <n v="4"/>
    <n v="4"/>
    <n v="0"/>
  </r>
  <r>
    <x v="1035"/>
    <n v="1"/>
    <n v="30"/>
    <n v="0"/>
    <n v="0.03"/>
    <n v="1"/>
    <n v="0"/>
    <n v="1"/>
    <n v="1"/>
    <n v="0"/>
  </r>
  <r>
    <x v="1036"/>
    <n v="1"/>
    <n v="30"/>
    <n v="0"/>
    <n v="0.02"/>
    <n v="1"/>
    <n v="0"/>
    <n v="1"/>
    <n v="1"/>
    <n v="0"/>
  </r>
  <r>
    <x v="1037"/>
    <n v="2"/>
    <n v="30"/>
    <n v="0"/>
    <n v="0.01"/>
    <n v="2"/>
    <n v="0"/>
    <n v="2"/>
    <n v="2"/>
    <n v="0"/>
  </r>
  <r>
    <x v="1038"/>
    <n v="1"/>
    <n v="30"/>
    <n v="0"/>
    <n v="0.01"/>
    <n v="1"/>
    <n v="0"/>
    <n v="1"/>
    <n v="1"/>
    <n v="0"/>
  </r>
  <r>
    <x v="1039"/>
    <n v="30"/>
    <n v="30"/>
    <n v="0"/>
    <n v="0.02"/>
    <n v="30"/>
    <n v="0"/>
    <n v="2"/>
    <n v="2"/>
    <n v="0"/>
  </r>
  <r>
    <x v="1040"/>
    <n v="2"/>
    <n v="20"/>
    <n v="0"/>
    <n v="0.01"/>
    <n v="3"/>
    <n v="0"/>
    <n v="3"/>
    <n v="3"/>
    <n v="0"/>
  </r>
  <r>
    <x v="1041"/>
    <n v="14"/>
    <n v="30"/>
    <n v="0"/>
    <n v="0.03"/>
    <n v="14"/>
    <n v="0"/>
    <n v="2"/>
    <n v="2"/>
    <n v="0"/>
  </r>
  <r>
    <x v="1042"/>
    <n v="20"/>
    <n v="30"/>
    <n v="0"/>
    <n v="0.02"/>
    <n v="20"/>
    <n v="0"/>
    <n v="2"/>
    <n v="2"/>
    <n v="0"/>
  </r>
  <r>
    <x v="1043"/>
    <n v="20"/>
    <n v="30"/>
    <n v="0"/>
    <n v="0.01"/>
    <n v="20"/>
    <n v="0"/>
    <n v="2"/>
    <n v="2"/>
    <n v="0"/>
  </r>
  <r>
    <x v="1044"/>
    <n v="6"/>
    <n v="18"/>
    <n v="0"/>
    <n v="0.02"/>
    <n v="10"/>
    <n v="0"/>
    <n v="4"/>
    <n v="4"/>
    <n v="0"/>
  </r>
  <r>
    <x v="1045"/>
    <n v="3"/>
    <n v="30"/>
    <n v="0"/>
    <n v="0.02"/>
    <n v="3"/>
    <n v="0"/>
    <n v="3"/>
    <n v="3"/>
    <n v="0"/>
  </r>
  <r>
    <x v="1046"/>
    <n v="1"/>
    <n v="30"/>
    <n v="0"/>
    <n v="0.01"/>
    <n v="1"/>
    <n v="0"/>
    <n v="1"/>
    <n v="1"/>
    <n v="0"/>
  </r>
  <r>
    <x v="1047"/>
    <n v="15"/>
    <n v="30"/>
    <n v="0"/>
    <n v="0.01"/>
    <n v="15"/>
    <n v="0"/>
    <n v="1"/>
    <n v="1"/>
    <n v="0"/>
  </r>
  <r>
    <x v="1048"/>
    <n v="40"/>
    <n v="17"/>
    <n v="0"/>
    <n v="0.03"/>
    <n v="70"/>
    <n v="0"/>
    <n v="6"/>
    <n v="6"/>
    <n v="0"/>
  </r>
  <r>
    <x v="1049"/>
    <n v="20"/>
    <n v="30"/>
    <n v="0"/>
    <n v="0"/>
    <n v="20"/>
    <n v="0"/>
    <n v="1"/>
    <n v="1"/>
    <n v="0"/>
  </r>
  <r>
    <x v="1050"/>
    <n v="8"/>
    <n v="30"/>
    <n v="0"/>
    <n v="0.01"/>
    <n v="8"/>
    <n v="0"/>
    <n v="1"/>
    <n v="1"/>
    <n v="0"/>
  </r>
  <r>
    <x v="1051"/>
    <n v="30"/>
    <n v="30"/>
    <n v="0"/>
    <n v="0.02"/>
    <n v="30"/>
    <n v="0"/>
    <n v="1"/>
    <n v="1"/>
    <n v="0"/>
  </r>
  <r>
    <x v="1052"/>
    <n v="1"/>
    <n v="30"/>
    <n v="0"/>
    <n v="0.01"/>
    <n v="1"/>
    <n v="0"/>
    <n v="1"/>
    <n v="1"/>
    <n v="0"/>
  </r>
  <r>
    <x v="1053"/>
    <n v="2"/>
    <n v="20"/>
    <n v="0"/>
    <n v="0.02"/>
    <n v="3"/>
    <n v="0"/>
    <n v="3"/>
    <n v="1"/>
    <n v="0"/>
  </r>
  <r>
    <x v="1054"/>
    <n v="15"/>
    <n v="30"/>
    <n v="0"/>
    <n v="0.01"/>
    <n v="15"/>
    <n v="0"/>
    <n v="1"/>
    <n v="1"/>
    <n v="0"/>
  </r>
  <r>
    <x v="1055"/>
    <n v="20"/>
    <n v="30"/>
    <n v="0"/>
    <n v="0.03"/>
    <n v="20"/>
    <n v="0"/>
    <n v="2"/>
    <n v="2"/>
    <n v="0"/>
  </r>
  <r>
    <x v="1056"/>
    <n v="3"/>
    <n v="30"/>
    <n v="0"/>
    <n v="0.01"/>
    <n v="3"/>
    <n v="0"/>
    <n v="2"/>
    <n v="2"/>
    <n v="0"/>
  </r>
  <r>
    <x v="1057"/>
    <n v="37"/>
    <n v="27"/>
    <n v="0"/>
    <n v="0.01"/>
    <n v="40"/>
    <n v="0"/>
    <n v="4"/>
    <n v="3"/>
    <n v="0"/>
  </r>
  <r>
    <x v="1058"/>
    <n v="10"/>
    <n v="30"/>
    <n v="0"/>
    <n v="0.01"/>
    <n v="10"/>
    <n v="0"/>
    <n v="1"/>
    <n v="1"/>
    <n v="0"/>
  </r>
  <r>
    <x v="1059"/>
    <n v="1"/>
    <n v="30"/>
    <n v="0"/>
    <n v="0.02"/>
    <n v="1"/>
    <n v="0"/>
    <n v="1"/>
    <n v="1"/>
    <n v="0"/>
  </r>
  <r>
    <x v="1060"/>
    <n v="1"/>
    <n v="30"/>
    <n v="0"/>
    <n v="0.01"/>
    <n v="1"/>
    <n v="0"/>
    <n v="1"/>
    <n v="1"/>
    <n v="0"/>
  </r>
  <r>
    <x v="1061"/>
    <n v="3"/>
    <n v="30"/>
    <n v="0"/>
    <n v="0.02"/>
    <n v="3"/>
    <n v="0"/>
    <n v="3"/>
    <n v="3"/>
    <n v="0"/>
  </r>
  <r>
    <x v="1062"/>
    <n v="30"/>
    <n v="22"/>
    <n v="0"/>
    <n v="0.03"/>
    <n v="40"/>
    <n v="0"/>
    <n v="4"/>
    <n v="4"/>
    <n v="0"/>
  </r>
  <r>
    <x v="1063"/>
    <n v="6"/>
    <n v="30"/>
    <n v="0"/>
    <n v="0.02"/>
    <n v="6"/>
    <n v="0"/>
    <n v="1"/>
    <n v="1"/>
    <n v="0"/>
  </r>
  <r>
    <x v="1064"/>
    <n v="10"/>
    <n v="30"/>
    <n v="0"/>
    <n v="0.03"/>
    <n v="10"/>
    <n v="0"/>
    <n v="1"/>
    <n v="1"/>
    <n v="0"/>
  </r>
  <r>
    <x v="1065"/>
    <n v="1"/>
    <n v="30"/>
    <n v="0"/>
    <n v="0.01"/>
    <n v="1"/>
    <n v="0"/>
    <n v="1"/>
    <n v="1"/>
    <n v="0"/>
  </r>
  <r>
    <x v="1066"/>
    <n v="30"/>
    <n v="30"/>
    <n v="0"/>
    <n v="0.02"/>
    <n v="30"/>
    <n v="0"/>
    <n v="3"/>
    <n v="3"/>
    <n v="0"/>
  </r>
  <r>
    <x v="1067"/>
    <n v="100"/>
    <n v="30"/>
    <n v="0"/>
    <n v="0.01"/>
    <n v="100"/>
    <n v="0"/>
    <n v="1"/>
    <n v="1"/>
    <n v="0"/>
  </r>
  <r>
    <x v="1068"/>
    <n v="30"/>
    <n v="30"/>
    <n v="0"/>
    <n v="0.03"/>
    <n v="30"/>
    <n v="0"/>
    <n v="2"/>
    <n v="2"/>
    <n v="0"/>
  </r>
  <r>
    <x v="1069"/>
    <n v="90"/>
    <n v="30"/>
    <n v="0"/>
    <n v="0.02"/>
    <n v="90"/>
    <n v="0"/>
    <n v="3"/>
    <n v="3"/>
    <n v="0"/>
  </r>
  <r>
    <x v="1070"/>
    <n v="20"/>
    <n v="20"/>
    <n v="0"/>
    <n v="0.03"/>
    <n v="30"/>
    <n v="0"/>
    <n v="2"/>
    <n v="2"/>
    <n v="0"/>
  </r>
  <r>
    <x v="1071"/>
    <n v="30"/>
    <n v="30"/>
    <n v="0"/>
    <n v="0.03"/>
    <n v="30"/>
    <n v="0"/>
    <n v="2"/>
    <n v="2"/>
    <n v="0"/>
  </r>
  <r>
    <x v="1072"/>
    <n v="15"/>
    <n v="30"/>
    <n v="0"/>
    <n v="0.02"/>
    <n v="15"/>
    <n v="0"/>
    <n v="1"/>
    <n v="1"/>
    <n v="0"/>
  </r>
  <r>
    <x v="1073"/>
    <n v="30"/>
    <n v="30"/>
    <n v="0"/>
    <n v="0.01"/>
    <n v="30"/>
    <n v="0"/>
    <n v="1"/>
    <n v="1"/>
    <n v="0"/>
  </r>
  <r>
    <x v="1074"/>
    <n v="1"/>
    <n v="30"/>
    <n v="0"/>
    <n v="0.03"/>
    <n v="1"/>
    <n v="0"/>
    <n v="1"/>
    <n v="1"/>
    <n v="0"/>
  </r>
  <r>
    <x v="1075"/>
    <n v="1"/>
    <n v="30"/>
    <n v="0"/>
    <n v="0.01"/>
    <n v="1"/>
    <n v="0"/>
    <n v="1"/>
    <n v="1"/>
    <n v="0"/>
  </r>
  <r>
    <x v="1076"/>
    <n v="52"/>
    <n v="18"/>
    <n v="0"/>
    <n v="0.02"/>
    <n v="86"/>
    <n v="0"/>
    <n v="7"/>
    <n v="7"/>
    <n v="0"/>
  </r>
  <r>
    <x v="1077"/>
    <n v="1"/>
    <n v="30"/>
    <n v="0"/>
    <n v="0.01"/>
    <n v="1"/>
    <n v="0"/>
    <n v="1"/>
    <n v="1"/>
    <n v="0"/>
  </r>
  <r>
    <x v="1078"/>
    <n v="30"/>
    <n v="30"/>
    <n v="0"/>
    <n v="0.02"/>
    <n v="30"/>
    <n v="0"/>
    <n v="1"/>
    <n v="1"/>
    <n v="0"/>
  </r>
  <r>
    <x v="1079"/>
    <n v="1"/>
    <n v="30"/>
    <n v="0"/>
    <n v="0.01"/>
    <n v="1"/>
    <n v="0"/>
    <n v="1"/>
    <n v="1"/>
    <n v="0"/>
  </r>
  <r>
    <x v="1080"/>
    <n v="1"/>
    <n v="30"/>
    <n v="0"/>
    <n v="0.01"/>
    <n v="1"/>
    <n v="0"/>
    <n v="1"/>
    <n v="1"/>
    <n v="0"/>
  </r>
  <r>
    <x v="1081"/>
    <n v="1"/>
    <n v="30"/>
    <n v="0"/>
    <n v="0.01"/>
    <n v="1"/>
    <n v="0"/>
    <n v="1"/>
    <n v="1"/>
    <n v="0"/>
  </r>
  <r>
    <x v="1082"/>
    <n v="4"/>
    <n v="30"/>
    <n v="0"/>
    <n v="0.03"/>
    <n v="4"/>
    <n v="0"/>
    <n v="4"/>
    <n v="4"/>
    <n v="0"/>
  </r>
  <r>
    <x v="1083"/>
    <n v="2"/>
    <n v="30"/>
    <n v="0"/>
    <n v="0.01"/>
    <n v="2"/>
    <n v="0"/>
    <n v="2"/>
    <n v="2"/>
    <n v="0"/>
  </r>
  <r>
    <x v="1084"/>
    <n v="2"/>
    <n v="30"/>
    <n v="0"/>
    <n v="0.02"/>
    <n v="2"/>
    <n v="0"/>
    <n v="1"/>
    <n v="1"/>
    <n v="0"/>
  </r>
  <r>
    <x v="1085"/>
    <n v="1"/>
    <n v="30"/>
    <n v="0"/>
    <n v="0.01"/>
    <n v="1"/>
    <n v="0"/>
    <n v="1"/>
    <n v="1"/>
    <n v="0"/>
  </r>
  <r>
    <x v="1086"/>
    <n v="2"/>
    <n v="30"/>
    <n v="0"/>
    <n v="0.02"/>
    <n v="2"/>
    <n v="0"/>
    <n v="2"/>
    <n v="2"/>
    <n v="0"/>
  </r>
  <r>
    <x v="1087"/>
    <n v="45"/>
    <n v="22"/>
    <n v="0"/>
    <n v="0.02"/>
    <n v="60"/>
    <n v="0"/>
    <n v="3"/>
    <n v="3"/>
    <n v="0"/>
  </r>
  <r>
    <x v="1088"/>
    <n v="4"/>
    <n v="30"/>
    <n v="0"/>
    <n v="0"/>
    <n v="4"/>
    <n v="0"/>
    <n v="2"/>
    <n v="2"/>
    <n v="0"/>
  </r>
  <r>
    <x v="1089"/>
    <n v="1"/>
    <n v="30"/>
    <n v="0"/>
    <n v="0"/>
    <n v="1"/>
    <n v="0"/>
    <n v="1"/>
    <n v="1"/>
    <n v="0"/>
  </r>
  <r>
    <x v="1090"/>
    <n v="30"/>
    <n v="30"/>
    <n v="0"/>
    <n v="0.03"/>
    <n v="30"/>
    <n v="0"/>
    <n v="3"/>
    <n v="2"/>
    <n v="0"/>
  </r>
  <r>
    <x v="1091"/>
    <n v="10"/>
    <n v="30"/>
    <n v="0"/>
    <n v="0"/>
    <n v="10"/>
    <n v="0"/>
    <n v="1"/>
    <n v="1"/>
    <n v="0"/>
  </r>
  <r>
    <x v="1092"/>
    <n v="17"/>
    <n v="25"/>
    <n v="0"/>
    <n v="0.01"/>
    <n v="20"/>
    <n v="0"/>
    <n v="2"/>
    <n v="2"/>
    <n v="0"/>
  </r>
  <r>
    <x v="1093"/>
    <n v="15"/>
    <n v="30"/>
    <n v="0"/>
    <n v="0.03"/>
    <n v="15"/>
    <n v="0"/>
    <n v="1"/>
    <n v="1"/>
    <n v="0"/>
  </r>
  <r>
    <x v="1094"/>
    <n v="20"/>
    <n v="20"/>
    <n v="0"/>
    <n v="0.03"/>
    <n v="30"/>
    <n v="0"/>
    <n v="2"/>
    <n v="2"/>
    <n v="0"/>
  </r>
  <r>
    <x v="1095"/>
    <n v="63"/>
    <n v="17"/>
    <n v="0"/>
    <n v="0.01"/>
    <n v="110"/>
    <n v="0"/>
    <n v="4"/>
    <n v="4"/>
    <n v="0"/>
  </r>
  <r>
    <x v="1096"/>
    <n v="2"/>
    <n v="30"/>
    <n v="0"/>
    <n v="0.02"/>
    <n v="2"/>
    <n v="0"/>
    <n v="2"/>
    <n v="2"/>
    <n v="0"/>
  </r>
  <r>
    <x v="1097"/>
    <n v="30"/>
    <n v="30"/>
    <n v="0"/>
    <n v="0.01"/>
    <n v="30"/>
    <n v="0"/>
    <n v="3"/>
    <n v="3"/>
    <n v="0"/>
  </r>
  <r>
    <x v="1098"/>
    <n v="15"/>
    <n v="30"/>
    <n v="0"/>
    <n v="0"/>
    <n v="15"/>
    <n v="0"/>
    <n v="1"/>
    <n v="1"/>
    <n v="0"/>
  </r>
  <r>
    <x v="1099"/>
    <n v="20"/>
    <n v="30"/>
    <n v="0"/>
    <n v="0.03"/>
    <n v="20"/>
    <n v="0"/>
    <n v="2"/>
    <n v="2"/>
    <n v="0"/>
  </r>
  <r>
    <x v="1100"/>
    <n v="10"/>
    <n v="30"/>
    <n v="0"/>
    <n v="0.01"/>
    <n v="10"/>
    <n v="0"/>
    <n v="1"/>
    <n v="1"/>
    <n v="0"/>
  </r>
  <r>
    <x v="1101"/>
    <n v="15"/>
    <n v="30"/>
    <n v="0"/>
    <n v="0.02"/>
    <n v="15"/>
    <n v="0"/>
    <n v="1"/>
    <n v="1"/>
    <n v="0"/>
  </r>
  <r>
    <x v="1102"/>
    <n v="15"/>
    <n v="30"/>
    <n v="0"/>
    <n v="0.01"/>
    <n v="15"/>
    <n v="0"/>
    <n v="1"/>
    <n v="1"/>
    <n v="0"/>
  </r>
  <r>
    <x v="1103"/>
    <n v="10"/>
    <n v="30"/>
    <n v="0"/>
    <n v="0.01"/>
    <n v="10"/>
    <n v="0"/>
    <n v="1"/>
    <n v="1"/>
    <n v="0"/>
  </r>
  <r>
    <x v="1104"/>
    <n v="30"/>
    <n v="30"/>
    <n v="0"/>
    <n v="0.02"/>
    <n v="30"/>
    <n v="0"/>
    <n v="1"/>
    <n v="1"/>
    <n v="0"/>
  </r>
  <r>
    <x v="1105"/>
    <n v="30"/>
    <n v="18"/>
    <n v="0"/>
    <n v="0.01"/>
    <n v="50"/>
    <n v="0"/>
    <n v="2"/>
    <n v="2"/>
    <n v="0"/>
  </r>
  <r>
    <x v="1106"/>
    <n v="20"/>
    <n v="30"/>
    <n v="0"/>
    <n v="0.01"/>
    <n v="20"/>
    <n v="0"/>
    <n v="2"/>
    <n v="2"/>
    <n v="0"/>
  </r>
  <r>
    <x v="1107"/>
    <n v="30"/>
    <n v="30"/>
    <n v="0"/>
    <n v="0.01"/>
    <n v="30"/>
    <n v="0"/>
    <n v="2"/>
    <n v="2"/>
    <n v="0"/>
  </r>
  <r>
    <x v="1108"/>
    <n v="10"/>
    <n v="30"/>
    <n v="0"/>
    <n v="0.01"/>
    <n v="10"/>
    <n v="0"/>
    <n v="1"/>
    <n v="1"/>
    <n v="0"/>
  </r>
  <r>
    <x v="1109"/>
    <n v="25"/>
    <n v="25"/>
    <n v="0"/>
    <n v="0.02"/>
    <n v="30"/>
    <n v="0"/>
    <n v="3"/>
    <n v="3"/>
    <n v="0"/>
  </r>
  <r>
    <x v="1110"/>
    <n v="15"/>
    <n v="30"/>
    <n v="0"/>
    <n v="0.02"/>
    <n v="15"/>
    <n v="0"/>
    <n v="1"/>
    <n v="1"/>
    <n v="0"/>
  </r>
  <r>
    <x v="1111"/>
    <n v="30"/>
    <n v="30"/>
    <n v="0"/>
    <n v="0.03"/>
    <n v="30"/>
    <n v="0"/>
    <n v="2"/>
    <n v="2"/>
    <n v="0"/>
  </r>
  <r>
    <x v="1112"/>
    <n v="20"/>
    <n v="30"/>
    <n v="0"/>
    <n v="0.01"/>
    <n v="20"/>
    <n v="0"/>
    <n v="2"/>
    <n v="2"/>
    <n v="0"/>
  </r>
  <r>
    <x v="1113"/>
    <n v="30"/>
    <n v="30"/>
    <n v="0"/>
    <n v="0.01"/>
    <n v="30"/>
    <n v="0"/>
    <n v="2"/>
    <n v="2"/>
    <n v="0"/>
  </r>
  <r>
    <x v="1114"/>
    <n v="15"/>
    <n v="30"/>
    <n v="0"/>
    <n v="0.02"/>
    <n v="15"/>
    <n v="0"/>
    <n v="1"/>
    <n v="1"/>
    <n v="0"/>
  </r>
  <r>
    <x v="1115"/>
    <n v="30"/>
    <n v="22"/>
    <n v="0"/>
    <n v="0.03"/>
    <n v="40"/>
    <n v="0"/>
    <n v="2"/>
    <n v="2"/>
    <n v="0"/>
  </r>
  <r>
    <x v="1116"/>
    <n v="1"/>
    <n v="30"/>
    <n v="0"/>
    <n v="0.01"/>
    <n v="1"/>
    <n v="0"/>
    <n v="3"/>
    <n v="3"/>
    <n v="0"/>
  </r>
  <r>
    <x v="1117"/>
    <n v="10"/>
    <n v="30"/>
    <n v="0"/>
    <n v="0.02"/>
    <n v="10"/>
    <n v="0"/>
    <n v="1"/>
    <n v="1"/>
    <n v="0"/>
  </r>
  <r>
    <x v="1118"/>
    <n v="1"/>
    <n v="30"/>
    <n v="0"/>
    <n v="0.01"/>
    <n v="1"/>
    <n v="0"/>
    <n v="1"/>
    <n v="1"/>
    <n v="0"/>
  </r>
  <r>
    <x v="1119"/>
    <n v="1"/>
    <n v="30"/>
    <n v="0"/>
    <n v="0.01"/>
    <n v="1"/>
    <n v="0"/>
    <n v="1"/>
    <n v="1"/>
    <n v="0"/>
  </r>
  <r>
    <x v="1120"/>
    <n v="1"/>
    <n v="30"/>
    <n v="0"/>
    <n v="0.01"/>
    <n v="1"/>
    <n v="0"/>
    <n v="1"/>
    <n v="1"/>
    <n v="0"/>
  </r>
  <r>
    <x v="1121"/>
    <n v="1"/>
    <n v="30"/>
    <n v="0"/>
    <n v="0.01"/>
    <n v="1"/>
    <n v="0"/>
    <n v="1"/>
    <n v="1"/>
    <n v="0"/>
  </r>
  <r>
    <x v="1122"/>
    <n v="1"/>
    <n v="30"/>
    <n v="0"/>
    <n v="0.01"/>
    <n v="1"/>
    <n v="0"/>
    <n v="1"/>
    <n v="1"/>
    <n v="0"/>
  </r>
  <r>
    <x v="1123"/>
    <n v="1"/>
    <n v="30"/>
    <n v="0"/>
    <n v="0.02"/>
    <n v="1"/>
    <n v="0"/>
    <n v="1"/>
    <n v="1"/>
    <n v="0"/>
  </r>
  <r>
    <x v="1124"/>
    <n v="15"/>
    <n v="30"/>
    <n v="0"/>
    <n v="0.02"/>
    <n v="15"/>
    <n v="0"/>
    <n v="1"/>
    <n v="1"/>
    <n v="0"/>
  </r>
  <r>
    <x v="1125"/>
    <n v="60"/>
    <n v="20"/>
    <n v="0"/>
    <n v="0.02"/>
    <n v="90"/>
    <n v="0"/>
    <n v="3"/>
    <n v="3"/>
    <n v="0"/>
  </r>
  <r>
    <x v="1126"/>
    <n v="1"/>
    <n v="30"/>
    <n v="0"/>
    <n v="0.03"/>
    <n v="1"/>
    <n v="0"/>
    <n v="1"/>
    <n v="1"/>
    <n v="0"/>
  </r>
  <r>
    <x v="1127"/>
    <n v="2"/>
    <n v="30"/>
    <n v="0"/>
    <n v="0.03"/>
    <n v="2"/>
    <n v="0"/>
    <n v="2"/>
    <n v="2"/>
    <n v="0"/>
  </r>
  <r>
    <x v="1128"/>
    <n v="1"/>
    <n v="30"/>
    <n v="0"/>
    <n v="0.01"/>
    <n v="1"/>
    <n v="0"/>
    <n v="1"/>
    <n v="1"/>
    <n v="0"/>
  </r>
  <r>
    <x v="1129"/>
    <n v="3"/>
    <n v="30"/>
    <n v="0"/>
    <n v="0.02"/>
    <n v="3"/>
    <n v="0"/>
    <n v="3"/>
    <n v="3"/>
    <n v="0"/>
  </r>
  <r>
    <x v="1130"/>
    <n v="30"/>
    <n v="30"/>
    <n v="0"/>
    <n v="0.02"/>
    <n v="30"/>
    <n v="0"/>
    <n v="2"/>
    <n v="2"/>
    <n v="0"/>
  </r>
  <r>
    <x v="1131"/>
    <n v="3"/>
    <n v="22"/>
    <n v="0"/>
    <n v="0.02"/>
    <n v="4"/>
    <n v="0"/>
    <n v="4"/>
    <n v="4"/>
    <n v="0"/>
  </r>
  <r>
    <x v="1132"/>
    <n v="10"/>
    <n v="30"/>
    <n v="0"/>
    <n v="0.01"/>
    <n v="10"/>
    <n v="0"/>
    <n v="1"/>
    <n v="1"/>
    <n v="0"/>
  </r>
  <r>
    <x v="1133"/>
    <n v="10"/>
    <n v="30"/>
    <n v="0"/>
    <n v="0"/>
    <n v="10"/>
    <n v="0"/>
    <n v="1"/>
    <n v="1"/>
    <n v="0"/>
  </r>
  <r>
    <x v="1134"/>
    <n v="30"/>
    <n v="30"/>
    <n v="0"/>
    <n v="0.01"/>
    <n v="30"/>
    <n v="0"/>
    <n v="1"/>
    <n v="1"/>
    <n v="0"/>
  </r>
  <r>
    <x v="1135"/>
    <n v="10"/>
    <n v="30"/>
    <n v="0"/>
    <n v="0.02"/>
    <n v="10"/>
    <n v="0"/>
    <n v="1"/>
    <n v="1"/>
    <n v="0"/>
  </r>
  <r>
    <x v="1136"/>
    <n v="1"/>
    <n v="30"/>
    <n v="0"/>
    <n v="0.01"/>
    <n v="1"/>
    <n v="0"/>
    <n v="1"/>
    <n v="1"/>
    <n v="0"/>
  </r>
  <r>
    <x v="1137"/>
    <n v="10"/>
    <n v="30"/>
    <n v="0"/>
    <n v="0.01"/>
    <n v="10"/>
    <n v="0"/>
    <n v="1"/>
    <n v="1"/>
    <n v="0"/>
  </r>
  <r>
    <x v="1138"/>
    <n v="1"/>
    <n v="30"/>
    <n v="0"/>
    <n v="0.01"/>
    <n v="1"/>
    <n v="0"/>
    <n v="1"/>
    <n v="1"/>
    <n v="0"/>
  </r>
  <r>
    <x v="1139"/>
    <n v="8"/>
    <n v="16"/>
    <n v="0"/>
    <n v="0.01"/>
    <n v="15"/>
    <n v="0"/>
    <n v="7"/>
    <n v="7"/>
    <n v="0"/>
  </r>
  <r>
    <x v="1140"/>
    <n v="5"/>
    <n v="18"/>
    <n v="0"/>
    <n v="0.01"/>
    <n v="8"/>
    <n v="0"/>
    <n v="7"/>
    <n v="7"/>
    <n v="0"/>
  </r>
  <r>
    <x v="1141"/>
    <n v="4"/>
    <n v="24"/>
    <n v="0"/>
    <n v="0.03"/>
    <n v="5"/>
    <n v="0"/>
    <n v="4"/>
    <n v="4"/>
    <n v="0"/>
  </r>
  <r>
    <x v="1142"/>
    <n v="1"/>
    <n v="30"/>
    <n v="0"/>
    <n v="0"/>
    <n v="1"/>
    <n v="0"/>
    <n v="1"/>
    <n v="1"/>
    <n v="0"/>
  </r>
  <r>
    <x v="1143"/>
    <n v="1"/>
    <n v="30"/>
    <n v="0"/>
    <n v="0.01"/>
    <n v="1"/>
    <n v="0"/>
    <n v="1"/>
    <n v="1"/>
    <n v="0"/>
  </r>
  <r>
    <x v="1144"/>
    <n v="2"/>
    <n v="30"/>
    <n v="0"/>
    <n v="0.01"/>
    <n v="2"/>
    <n v="0"/>
    <n v="2"/>
    <n v="2"/>
    <n v="0"/>
  </r>
  <r>
    <x v="1145"/>
    <n v="1"/>
    <n v="30"/>
    <n v="0"/>
    <n v="0.01"/>
    <n v="1"/>
    <n v="0"/>
    <n v="1"/>
    <n v="1"/>
    <n v="0"/>
  </r>
  <r>
    <x v="1146"/>
    <n v="3"/>
    <n v="30"/>
    <n v="0"/>
    <n v="0.01"/>
    <n v="3"/>
    <n v="0"/>
    <n v="3"/>
    <n v="3"/>
    <n v="0"/>
  </r>
  <r>
    <x v="1147"/>
    <n v="96"/>
    <n v="26"/>
    <n v="0"/>
    <n v="0.01"/>
    <n v="107"/>
    <n v="0"/>
    <n v="9"/>
    <n v="8"/>
    <n v="0"/>
  </r>
  <r>
    <x v="1148"/>
    <n v="1"/>
    <n v="30"/>
    <n v="0"/>
    <n v="0.01"/>
    <n v="1"/>
    <n v="0"/>
    <n v="1"/>
    <n v="1"/>
    <n v="0"/>
  </r>
  <r>
    <x v="1149"/>
    <n v="1"/>
    <n v="30"/>
    <n v="0"/>
    <n v="0.03"/>
    <n v="1"/>
    <n v="0"/>
    <n v="1"/>
    <n v="1"/>
    <n v="0"/>
  </r>
  <r>
    <x v="1150"/>
    <n v="26"/>
    <n v="26"/>
    <n v="0"/>
    <n v="0"/>
    <n v="30"/>
    <n v="0"/>
    <n v="1"/>
    <n v="1"/>
    <n v="0"/>
  </r>
  <r>
    <x v="1151"/>
    <n v="3"/>
    <n v="30"/>
    <n v="0"/>
    <n v="0.03"/>
    <n v="3"/>
    <n v="0"/>
    <n v="3"/>
    <n v="3"/>
    <n v="0"/>
  </r>
  <r>
    <x v="1152"/>
    <n v="4"/>
    <n v="30"/>
    <n v="0"/>
    <n v="0.03"/>
    <n v="4"/>
    <n v="0"/>
    <n v="4"/>
    <n v="4"/>
    <n v="0"/>
  </r>
  <r>
    <x v="1153"/>
    <n v="7"/>
    <n v="26"/>
    <n v="0"/>
    <n v="0.02"/>
    <n v="8"/>
    <n v="0"/>
    <n v="3"/>
    <n v="3"/>
    <n v="0"/>
  </r>
  <r>
    <x v="1154"/>
    <n v="3"/>
    <n v="30"/>
    <n v="0"/>
    <n v="0.02"/>
    <n v="3"/>
    <n v="0"/>
    <n v="2"/>
    <n v="2"/>
    <n v="0"/>
  </r>
  <r>
    <x v="1155"/>
    <n v="3"/>
    <n v="30"/>
    <n v="0"/>
    <n v="0.03"/>
    <n v="3"/>
    <n v="0"/>
    <n v="3"/>
    <n v="3"/>
    <n v="0"/>
  </r>
  <r>
    <x v="1156"/>
    <n v="20"/>
    <n v="30"/>
    <n v="0"/>
    <n v="0.03"/>
    <n v="20"/>
    <n v="0"/>
    <n v="2"/>
    <n v="2"/>
    <n v="0"/>
  </r>
  <r>
    <x v="1157"/>
    <n v="20"/>
    <n v="30"/>
    <n v="0"/>
    <n v="0.03"/>
    <n v="20"/>
    <n v="0"/>
    <n v="2"/>
    <n v="2"/>
    <n v="0"/>
  </r>
  <r>
    <x v="1158"/>
    <n v="20"/>
    <n v="30"/>
    <n v="0"/>
    <n v="0.03"/>
    <n v="20"/>
    <n v="0"/>
    <n v="1"/>
    <n v="1"/>
    <n v="0"/>
  </r>
  <r>
    <x v="1159"/>
    <n v="10"/>
    <n v="30"/>
    <n v="0"/>
    <n v="0.01"/>
    <n v="10"/>
    <n v="0"/>
    <n v="1"/>
    <n v="1"/>
    <n v="0"/>
  </r>
  <r>
    <x v="1160"/>
    <n v="10"/>
    <n v="30"/>
    <n v="0"/>
    <n v="0.01"/>
    <n v="10"/>
    <n v="0"/>
    <n v="1"/>
    <n v="1"/>
    <n v="0"/>
  </r>
  <r>
    <x v="1161"/>
    <n v="15"/>
    <n v="30"/>
    <n v="0"/>
    <n v="0.01"/>
    <n v="15"/>
    <n v="0"/>
    <n v="1"/>
    <n v="1"/>
    <n v="0"/>
  </r>
  <r>
    <x v="1162"/>
    <n v="3"/>
    <n v="30"/>
    <n v="0"/>
    <n v="0.01"/>
    <n v="3"/>
    <n v="0"/>
    <n v="1"/>
    <n v="1"/>
    <n v="0"/>
  </r>
  <r>
    <x v="1163"/>
    <n v="2"/>
    <n v="20"/>
    <n v="0"/>
    <n v="0.02"/>
    <n v="3"/>
    <n v="0"/>
    <n v="3"/>
    <n v="3"/>
    <n v="0"/>
  </r>
  <r>
    <x v="1164"/>
    <n v="60"/>
    <n v="30"/>
    <n v="0"/>
    <n v="0.01"/>
    <n v="60"/>
    <n v="0"/>
    <n v="2"/>
    <n v="2"/>
    <n v="0"/>
  </r>
  <r>
    <x v="1165"/>
    <n v="210"/>
    <n v="30"/>
    <n v="0"/>
    <n v="0.03"/>
    <n v="210"/>
    <n v="0"/>
    <n v="7"/>
    <n v="6"/>
    <n v="0"/>
  </r>
  <r>
    <x v="1166"/>
    <n v="15"/>
    <n v="30"/>
    <n v="0"/>
    <n v="0.03"/>
    <n v="15"/>
    <n v="0"/>
    <n v="1"/>
    <n v="1"/>
    <n v="0"/>
  </r>
  <r>
    <x v="1167"/>
    <n v="1"/>
    <n v="30"/>
    <n v="0"/>
    <n v="0.01"/>
    <n v="1"/>
    <n v="0"/>
    <n v="1"/>
    <n v="1"/>
    <n v="0"/>
  </r>
  <r>
    <x v="1168"/>
    <n v="35"/>
    <n v="23"/>
    <n v="0"/>
    <n v="0.01"/>
    <n v="45"/>
    <n v="0"/>
    <n v="3"/>
    <n v="3"/>
    <n v="0"/>
  </r>
  <r>
    <x v="1169"/>
    <n v="28"/>
    <n v="30"/>
    <n v="0"/>
    <n v="0.03"/>
    <n v="28"/>
    <n v="0"/>
    <n v="2"/>
    <n v="2"/>
    <n v="0"/>
  </r>
  <r>
    <x v="1170"/>
    <n v="1"/>
    <n v="30"/>
    <n v="0"/>
    <n v="0"/>
    <n v="1"/>
    <n v="0"/>
    <n v="1"/>
    <n v="1"/>
    <n v="0"/>
  </r>
  <r>
    <x v="1171"/>
    <n v="1"/>
    <n v="30"/>
    <n v="0"/>
    <n v="0.01"/>
    <n v="1"/>
    <n v="0"/>
    <n v="1"/>
    <n v="1"/>
    <n v="0"/>
  </r>
  <r>
    <x v="1172"/>
    <n v="2"/>
    <n v="30"/>
    <n v="0"/>
    <n v="0.02"/>
    <n v="2"/>
    <n v="0"/>
    <n v="2"/>
    <n v="2"/>
    <n v="0"/>
  </r>
  <r>
    <x v="1173"/>
    <n v="3"/>
    <n v="22"/>
    <n v="0"/>
    <n v="0.02"/>
    <n v="4"/>
    <n v="0"/>
    <n v="4"/>
    <n v="4"/>
    <n v="0"/>
  </r>
  <r>
    <x v="1174"/>
    <n v="20"/>
    <n v="30"/>
    <n v="0"/>
    <n v="0.01"/>
    <n v="20"/>
    <n v="0"/>
    <n v="1"/>
    <n v="1"/>
    <n v="0"/>
  </r>
  <r>
    <x v="1175"/>
    <n v="60"/>
    <n v="24"/>
    <n v="0"/>
    <n v="0.02"/>
    <n v="75"/>
    <n v="0"/>
    <n v="3"/>
    <n v="3"/>
    <n v="0"/>
  </r>
  <r>
    <x v="1176"/>
    <n v="120"/>
    <n v="30"/>
    <n v="0"/>
    <n v="0.02"/>
    <n v="120"/>
    <n v="0"/>
    <n v="2"/>
    <n v="2"/>
    <n v="0"/>
  </r>
  <r>
    <x v="1177"/>
    <n v="1"/>
    <n v="30"/>
    <n v="0"/>
    <n v="0.01"/>
    <n v="1"/>
    <n v="0"/>
    <n v="1"/>
    <n v="1"/>
    <n v="0"/>
  </r>
  <r>
    <x v="1178"/>
    <n v="1"/>
    <n v="30"/>
    <n v="0"/>
    <n v="0.01"/>
    <n v="1"/>
    <n v="0"/>
    <n v="1"/>
    <n v="1"/>
    <n v="0"/>
  </r>
  <r>
    <x v="1179"/>
    <n v="1"/>
    <n v="30"/>
    <n v="0"/>
    <n v="0.02"/>
    <n v="1"/>
    <n v="0"/>
    <n v="1"/>
    <n v="1"/>
    <n v="0"/>
  </r>
  <r>
    <x v="1180"/>
    <n v="45"/>
    <n v="30"/>
    <n v="0"/>
    <n v="0.02"/>
    <n v="45"/>
    <n v="0"/>
    <n v="2"/>
    <n v="2"/>
    <n v="0"/>
  </r>
  <r>
    <x v="1181"/>
    <n v="2"/>
    <n v="20"/>
    <n v="0"/>
    <n v="0.03"/>
    <n v="3"/>
    <n v="0"/>
    <n v="2"/>
    <n v="2"/>
    <n v="0"/>
  </r>
  <r>
    <x v="1182"/>
    <n v="1"/>
    <n v="30"/>
    <n v="0"/>
    <n v="0.03"/>
    <n v="1"/>
    <n v="0"/>
    <n v="1"/>
    <n v="1"/>
    <n v="0"/>
  </r>
  <r>
    <x v="1183"/>
    <n v="30"/>
    <n v="30"/>
    <n v="0"/>
    <n v="0.03"/>
    <n v="30"/>
    <n v="0"/>
    <n v="1"/>
    <n v="1"/>
    <n v="0"/>
  </r>
  <r>
    <x v="1184"/>
    <n v="60"/>
    <n v="30"/>
    <n v="0"/>
    <n v="0.03"/>
    <n v="60"/>
    <n v="0"/>
    <n v="2"/>
    <n v="2"/>
    <n v="0"/>
  </r>
  <r>
    <x v="1185"/>
    <n v="75"/>
    <n v="30"/>
    <n v="0"/>
    <n v="0.02"/>
    <n v="75"/>
    <n v="0"/>
    <n v="3"/>
    <n v="3"/>
    <n v="0"/>
  </r>
  <r>
    <x v="1186"/>
    <n v="30"/>
    <n v="20"/>
    <n v="0"/>
    <n v="0.01"/>
    <n v="45"/>
    <n v="0"/>
    <n v="2"/>
    <n v="2"/>
    <n v="0"/>
  </r>
  <r>
    <x v="1187"/>
    <n v="74"/>
    <n v="24"/>
    <n v="0"/>
    <n v="0.01"/>
    <n v="90"/>
    <n v="0"/>
    <n v="2"/>
    <n v="2"/>
    <n v="0"/>
  </r>
  <r>
    <x v="1188"/>
    <n v="15"/>
    <n v="30"/>
    <n v="0"/>
    <n v="0"/>
    <n v="15"/>
    <n v="0"/>
    <n v="1"/>
    <n v="1"/>
    <n v="0"/>
  </r>
  <r>
    <x v="1189"/>
    <n v="3"/>
    <n v="30"/>
    <n v="0"/>
    <n v="0.03"/>
    <n v="3"/>
    <n v="0"/>
    <n v="3"/>
    <n v="3"/>
    <n v="0"/>
  </r>
  <r>
    <x v="1190"/>
    <n v="45"/>
    <n v="30"/>
    <n v="0"/>
    <n v="0.02"/>
    <n v="45"/>
    <n v="0"/>
    <n v="2"/>
    <n v="1"/>
    <n v="0"/>
  </r>
  <r>
    <x v="1191"/>
    <n v="20"/>
    <n v="30"/>
    <n v="0"/>
    <n v="0.01"/>
    <n v="20"/>
    <n v="0"/>
    <n v="2"/>
    <n v="2"/>
    <n v="0"/>
  </r>
  <r>
    <x v="1192"/>
    <n v="60"/>
    <n v="30"/>
    <n v="0"/>
    <n v="0.02"/>
    <n v="60"/>
    <n v="0"/>
    <n v="2"/>
    <n v="2"/>
    <n v="0"/>
  </r>
  <r>
    <x v="1193"/>
    <n v="1"/>
    <n v="30"/>
    <n v="0"/>
    <n v="0.01"/>
    <n v="1"/>
    <n v="0"/>
    <n v="1"/>
    <n v="1"/>
    <n v="0"/>
  </r>
  <r>
    <x v="1194"/>
    <n v="1"/>
    <n v="30"/>
    <n v="0"/>
    <n v="0.01"/>
    <n v="1"/>
    <n v="0"/>
    <n v="1"/>
    <n v="1"/>
    <n v="0"/>
  </r>
  <r>
    <x v="1195"/>
    <n v="10"/>
    <n v="30"/>
    <n v="0"/>
    <n v="0.01"/>
    <n v="10"/>
    <n v="0"/>
    <n v="1"/>
    <n v="1"/>
    <n v="0"/>
  </r>
  <r>
    <x v="1196"/>
    <n v="30"/>
    <n v="30"/>
    <n v="0"/>
    <n v="0.01"/>
    <n v="30"/>
    <n v="0"/>
    <n v="3"/>
    <n v="3"/>
    <n v="0"/>
  </r>
  <r>
    <x v="1197"/>
    <n v="20"/>
    <n v="30"/>
    <n v="0"/>
    <n v="0.02"/>
    <n v="20"/>
    <n v="0"/>
    <n v="2"/>
    <n v="2"/>
    <n v="0"/>
  </r>
  <r>
    <x v="1198"/>
    <n v="20"/>
    <n v="30"/>
    <n v="0"/>
    <n v="0"/>
    <n v="20"/>
    <n v="0"/>
    <n v="1"/>
    <n v="1"/>
    <n v="0"/>
  </r>
  <r>
    <x v="1199"/>
    <n v="10"/>
    <n v="30"/>
    <n v="0"/>
    <n v="0.02"/>
    <n v="10"/>
    <n v="0"/>
    <n v="1"/>
    <n v="1"/>
    <n v="0"/>
  </r>
  <r>
    <x v="1200"/>
    <n v="30"/>
    <n v="30"/>
    <n v="0"/>
    <n v="0.02"/>
    <n v="30"/>
    <n v="0"/>
    <n v="1"/>
    <n v="1"/>
    <n v="0"/>
  </r>
  <r>
    <x v="1201"/>
    <n v="41"/>
    <n v="21"/>
    <n v="0"/>
    <n v="0.01"/>
    <n v="56"/>
    <n v="0"/>
    <n v="2"/>
    <n v="2"/>
    <n v="0"/>
  </r>
  <r>
    <x v="1202"/>
    <n v="60"/>
    <n v="30"/>
    <n v="0"/>
    <n v="0.01"/>
    <n v="60"/>
    <n v="0"/>
    <n v="2"/>
    <n v="2"/>
    <n v="0"/>
  </r>
  <r>
    <x v="1203"/>
    <n v="1"/>
    <n v="30"/>
    <n v="0"/>
    <n v="0.01"/>
    <n v="1"/>
    <n v="0"/>
    <n v="1"/>
    <n v="1"/>
    <n v="0"/>
  </r>
  <r>
    <x v="1204"/>
    <n v="4"/>
    <n v="30"/>
    <n v="0"/>
    <n v="0.01"/>
    <n v="4"/>
    <n v="0"/>
    <n v="1"/>
    <n v="1"/>
    <n v="0"/>
  </r>
  <r>
    <x v="1205"/>
    <n v="10"/>
    <n v="30"/>
    <n v="0"/>
    <n v="0.01"/>
    <n v="10"/>
    <n v="0"/>
    <n v="1"/>
    <n v="1"/>
    <n v="0"/>
  </r>
  <r>
    <x v="1206"/>
    <n v="15"/>
    <n v="30"/>
    <n v="0"/>
    <n v="0.01"/>
    <n v="15"/>
    <n v="0"/>
    <n v="1"/>
    <n v="1"/>
    <n v="0"/>
  </r>
  <r>
    <x v="1207"/>
    <n v="2"/>
    <n v="30"/>
    <n v="0"/>
    <n v="0.01"/>
    <n v="2"/>
    <n v="0"/>
    <n v="2"/>
    <n v="2"/>
    <n v="0"/>
  </r>
  <r>
    <x v="1208"/>
    <n v="60"/>
    <n v="30"/>
    <n v="0"/>
    <n v="0.02"/>
    <n v="60"/>
    <n v="0"/>
    <n v="2"/>
    <n v="2"/>
    <n v="0"/>
  </r>
  <r>
    <x v="1209"/>
    <n v="30"/>
    <n v="30"/>
    <n v="0"/>
    <n v="0.01"/>
    <n v="30"/>
    <n v="0"/>
    <n v="1"/>
    <n v="1"/>
    <n v="0"/>
  </r>
  <r>
    <x v="1210"/>
    <n v="30"/>
    <n v="22"/>
    <n v="0"/>
    <n v="0.02"/>
    <n v="40"/>
    <n v="0"/>
    <n v="2"/>
    <n v="1"/>
    <n v="0"/>
  </r>
  <r>
    <x v="1211"/>
    <n v="10"/>
    <n v="30"/>
    <n v="0"/>
    <n v="0.01"/>
    <n v="10"/>
    <n v="0"/>
    <n v="1"/>
    <n v="1"/>
    <n v="0"/>
  </r>
  <r>
    <x v="1212"/>
    <n v="5"/>
    <n v="30"/>
    <n v="0"/>
    <n v="0.02"/>
    <n v="5"/>
    <n v="0"/>
    <n v="4"/>
    <n v="4"/>
    <n v="0"/>
  </r>
  <r>
    <x v="1213"/>
    <n v="15"/>
    <n v="30"/>
    <n v="0"/>
    <n v="0.01"/>
    <n v="15"/>
    <n v="0"/>
    <n v="1"/>
    <n v="1"/>
    <n v="0"/>
  </r>
  <r>
    <x v="1214"/>
    <n v="5"/>
    <n v="30"/>
    <n v="0"/>
    <n v="0"/>
    <n v="5"/>
    <n v="0"/>
    <n v="1"/>
    <n v="1"/>
    <n v="0"/>
  </r>
  <r>
    <x v="1215"/>
    <n v="20"/>
    <n v="30"/>
    <n v="0"/>
    <n v="0.01"/>
    <n v="20"/>
    <n v="0"/>
    <n v="1"/>
    <n v="1"/>
    <n v="0"/>
  </r>
  <r>
    <x v="1216"/>
    <n v="40"/>
    <n v="30"/>
    <n v="0"/>
    <n v="0.03"/>
    <n v="40"/>
    <n v="0"/>
    <n v="3"/>
    <n v="3"/>
    <n v="0"/>
  </r>
  <r>
    <x v="1217"/>
    <n v="3"/>
    <n v="22"/>
    <n v="0"/>
    <n v="0.02"/>
    <n v="4"/>
    <n v="0"/>
    <n v="4"/>
    <n v="3"/>
    <n v="0"/>
  </r>
  <r>
    <x v="1218"/>
    <n v="2"/>
    <n v="20"/>
    <n v="0"/>
    <n v="0.02"/>
    <n v="3"/>
    <n v="0"/>
    <n v="3"/>
    <n v="3"/>
    <n v="0"/>
  </r>
  <r>
    <x v="1219"/>
    <n v="10"/>
    <n v="30"/>
    <n v="0"/>
    <n v="0.01"/>
    <n v="10"/>
    <n v="0"/>
    <n v="1"/>
    <n v="1"/>
    <n v="0"/>
  </r>
  <r>
    <x v="1220"/>
    <n v="30"/>
    <n v="30"/>
    <n v="0"/>
    <n v="0.01"/>
    <n v="30"/>
    <n v="0"/>
    <n v="2"/>
    <n v="2"/>
    <n v="0"/>
  </r>
  <r>
    <x v="1221"/>
    <n v="2"/>
    <n v="30"/>
    <n v="0"/>
    <n v="0.01"/>
    <n v="2"/>
    <n v="0"/>
    <n v="2"/>
    <n v="2"/>
    <n v="0"/>
  </r>
  <r>
    <x v="1222"/>
    <n v="5"/>
    <n v="30"/>
    <n v="0"/>
    <n v="0.01"/>
    <n v="5"/>
    <n v="0"/>
    <n v="5"/>
    <n v="4"/>
    <n v="0"/>
  </r>
  <r>
    <x v="1223"/>
    <n v="15"/>
    <n v="22"/>
    <n v="0"/>
    <n v="0.02"/>
    <n v="20"/>
    <n v="0"/>
    <n v="2"/>
    <n v="2"/>
    <n v="0"/>
  </r>
  <r>
    <x v="1224"/>
    <n v="4"/>
    <n v="24"/>
    <n v="0"/>
    <n v="0.02"/>
    <n v="5"/>
    <n v="0"/>
    <n v="4"/>
    <n v="4"/>
    <n v="0"/>
  </r>
  <r>
    <x v="1225"/>
    <n v="1"/>
    <n v="30"/>
    <n v="0"/>
    <n v="0.03"/>
    <n v="1"/>
    <n v="0"/>
    <n v="1"/>
    <n v="1"/>
    <n v="0"/>
  </r>
  <r>
    <x v="1226"/>
    <n v="1"/>
    <n v="30"/>
    <n v="0"/>
    <n v="0.01"/>
    <n v="1"/>
    <n v="0"/>
    <n v="1"/>
    <n v="1"/>
    <n v="0"/>
  </r>
  <r>
    <x v="1227"/>
    <n v="1"/>
    <n v="30"/>
    <n v="0"/>
    <n v="0.01"/>
    <n v="1"/>
    <n v="0"/>
    <n v="1"/>
    <n v="1"/>
    <n v="0"/>
  </r>
  <r>
    <x v="1228"/>
    <n v="30"/>
    <n v="30"/>
    <n v="0"/>
    <n v="0.02"/>
    <n v="30"/>
    <n v="0"/>
    <n v="2"/>
    <n v="2"/>
    <n v="0"/>
  </r>
  <r>
    <x v="1229"/>
    <n v="6"/>
    <n v="30"/>
    <n v="0"/>
    <n v="0.02"/>
    <n v="6"/>
    <n v="0"/>
    <n v="6"/>
    <n v="5"/>
    <n v="0"/>
  </r>
  <r>
    <x v="1230"/>
    <n v="10"/>
    <n v="30"/>
    <n v="0"/>
    <n v="0.01"/>
    <n v="10"/>
    <n v="0"/>
    <n v="1"/>
    <n v="1"/>
    <n v="0"/>
  </r>
  <r>
    <x v="1231"/>
    <n v="6"/>
    <n v="30"/>
    <n v="0"/>
    <n v="0.01"/>
    <n v="6"/>
    <n v="0"/>
    <n v="2"/>
    <n v="2"/>
    <n v="0"/>
  </r>
  <r>
    <x v="1232"/>
    <n v="1"/>
    <n v="30"/>
    <n v="0"/>
    <n v="0.02"/>
    <n v="1"/>
    <n v="0"/>
    <n v="1"/>
    <n v="1"/>
    <n v="0"/>
  </r>
  <r>
    <x v="1233"/>
    <n v="40"/>
    <n v="24"/>
    <n v="0"/>
    <n v="0.03"/>
    <n v="50"/>
    <n v="0"/>
    <n v="3"/>
    <n v="3"/>
    <n v="0"/>
  </r>
  <r>
    <x v="1234"/>
    <n v="4"/>
    <n v="30"/>
    <n v="0"/>
    <n v="0.03"/>
    <n v="4"/>
    <n v="0"/>
    <n v="3"/>
    <n v="3"/>
    <n v="0"/>
  </r>
  <r>
    <x v="1235"/>
    <n v="1"/>
    <n v="30"/>
    <n v="0"/>
    <n v="0.01"/>
    <n v="1"/>
    <n v="0"/>
    <n v="1"/>
    <n v="1"/>
    <n v="0"/>
  </r>
  <r>
    <x v="1236"/>
    <n v="2"/>
    <n v="30"/>
    <n v="0"/>
    <n v="0.01"/>
    <n v="2"/>
    <n v="0"/>
    <n v="2"/>
    <n v="2"/>
    <n v="0"/>
  </r>
  <r>
    <x v="1237"/>
    <n v="15"/>
    <n v="30"/>
    <n v="0"/>
    <n v="0.02"/>
    <n v="15"/>
    <n v="0"/>
    <n v="1"/>
    <n v="1"/>
    <n v="0"/>
  </r>
  <r>
    <x v="1238"/>
    <n v="3"/>
    <n v="30"/>
    <n v="0"/>
    <n v="0.02"/>
    <n v="3"/>
    <n v="0"/>
    <n v="3"/>
    <n v="2"/>
    <n v="0"/>
  </r>
  <r>
    <x v="1239"/>
    <n v="10"/>
    <n v="30"/>
    <n v="0"/>
    <n v="0.03"/>
    <n v="10"/>
    <n v="0"/>
    <n v="1"/>
    <n v="1"/>
    <n v="0"/>
  </r>
  <r>
    <x v="1240"/>
    <n v="15"/>
    <n v="30"/>
    <n v="0"/>
    <n v="0.02"/>
    <n v="15"/>
    <n v="0"/>
    <n v="1"/>
    <n v="1"/>
    <n v="0"/>
  </r>
  <r>
    <x v="1241"/>
    <n v="10"/>
    <n v="30"/>
    <n v="0"/>
    <n v="0.01"/>
    <n v="10"/>
    <n v="0"/>
    <n v="1"/>
    <n v="1"/>
    <n v="0"/>
  </r>
  <r>
    <x v="1242"/>
    <n v="20"/>
    <n v="30"/>
    <n v="0"/>
    <n v="0.02"/>
    <n v="20"/>
    <n v="0"/>
    <n v="1"/>
    <n v="1"/>
    <n v="0"/>
  </r>
  <r>
    <x v="1243"/>
    <n v="20"/>
    <n v="20"/>
    <n v="0"/>
    <n v="0.02"/>
    <n v="30"/>
    <n v="0"/>
    <n v="3"/>
    <n v="3"/>
    <n v="0"/>
  </r>
  <r>
    <x v="1244"/>
    <n v="1"/>
    <n v="30"/>
    <n v="0"/>
    <n v="0.01"/>
    <n v="1"/>
    <n v="0"/>
    <n v="1"/>
    <n v="1"/>
    <n v="0"/>
  </r>
  <r>
    <x v="1245"/>
    <n v="1"/>
    <n v="30"/>
    <n v="0"/>
    <n v="0.03"/>
    <n v="1"/>
    <n v="0"/>
    <n v="1"/>
    <n v="1"/>
    <n v="0"/>
  </r>
  <r>
    <x v="1246"/>
    <n v="3"/>
    <n v="30"/>
    <n v="0"/>
    <n v="0.03"/>
    <n v="3"/>
    <n v="0"/>
    <n v="3"/>
    <n v="3"/>
    <n v="0"/>
  </r>
  <r>
    <x v="1247"/>
    <n v="2"/>
    <n v="30"/>
    <n v="0"/>
    <n v="0.03"/>
    <n v="2"/>
    <n v="0"/>
    <n v="2"/>
    <n v="2"/>
    <n v="0"/>
  </r>
  <r>
    <x v="1248"/>
    <n v="20"/>
    <n v="30"/>
    <n v="0"/>
    <n v="0.03"/>
    <n v="20"/>
    <n v="0"/>
    <n v="2"/>
    <n v="1"/>
    <n v="0"/>
  </r>
  <r>
    <x v="1249"/>
    <n v="60"/>
    <n v="22"/>
    <n v="0"/>
    <n v="0.03"/>
    <n v="80"/>
    <n v="0"/>
    <n v="3"/>
    <n v="3"/>
    <n v="0"/>
  </r>
  <r>
    <x v="1250"/>
    <n v="2"/>
    <n v="30"/>
    <n v="0"/>
    <n v="0.03"/>
    <n v="2"/>
    <n v="0"/>
    <n v="2"/>
    <n v="2"/>
    <n v="0"/>
  </r>
  <r>
    <x v="1251"/>
    <n v="1"/>
    <n v="30"/>
    <n v="0"/>
    <n v="0.01"/>
    <n v="1"/>
    <n v="0"/>
    <n v="1"/>
    <n v="1"/>
    <n v="0"/>
  </r>
  <r>
    <x v="1252"/>
    <n v="1"/>
    <n v="30"/>
    <n v="0"/>
    <n v="0.01"/>
    <n v="1"/>
    <n v="0"/>
    <n v="1"/>
    <n v="1"/>
    <n v="0"/>
  </r>
  <r>
    <x v="1253"/>
    <n v="1"/>
    <n v="30"/>
    <n v="0"/>
    <n v="0.01"/>
    <n v="1"/>
    <n v="0"/>
    <n v="1"/>
    <n v="1"/>
    <n v="0"/>
  </r>
  <r>
    <x v="1254"/>
    <n v="15"/>
    <n v="30"/>
    <n v="0"/>
    <n v="0"/>
    <n v="15"/>
    <n v="0"/>
    <n v="1"/>
    <n v="1"/>
    <n v="0"/>
  </r>
  <r>
    <x v="1255"/>
    <n v="30"/>
    <n v="30"/>
    <n v="0"/>
    <n v="0.02"/>
    <n v="30"/>
    <n v="0"/>
    <n v="2"/>
    <n v="2"/>
    <n v="0"/>
  </r>
  <r>
    <x v="1256"/>
    <n v="15"/>
    <n v="30"/>
    <n v="0"/>
    <n v="0.03"/>
    <n v="15"/>
    <n v="0"/>
    <n v="1"/>
    <n v="1"/>
    <n v="0"/>
  </r>
  <r>
    <x v="1257"/>
    <n v="120"/>
    <n v="30"/>
    <n v="0"/>
    <n v="0.01"/>
    <n v="120"/>
    <n v="0"/>
    <n v="1"/>
    <n v="1"/>
    <n v="0"/>
  </r>
  <r>
    <x v="1258"/>
    <n v="30"/>
    <n v="30"/>
    <n v="0"/>
    <n v="0.02"/>
    <n v="30"/>
    <n v="0"/>
    <n v="1"/>
    <n v="1"/>
    <n v="0"/>
  </r>
  <r>
    <x v="1259"/>
    <n v="100"/>
    <n v="27"/>
    <n v="0"/>
    <n v="0.01"/>
    <n v="110"/>
    <n v="0"/>
    <n v="6"/>
    <n v="5"/>
    <n v="0"/>
  </r>
  <r>
    <x v="1260"/>
    <n v="2"/>
    <n v="30"/>
    <n v="0"/>
    <n v="0.02"/>
    <n v="2"/>
    <n v="0"/>
    <n v="2"/>
    <n v="2"/>
    <n v="0"/>
  </r>
  <r>
    <x v="1261"/>
    <n v="45"/>
    <n v="22"/>
    <n v="0"/>
    <n v="0.01"/>
    <n v="60"/>
    <n v="0"/>
    <n v="3"/>
    <n v="3"/>
    <n v="0"/>
  </r>
  <r>
    <x v="1262"/>
    <n v="53"/>
    <n v="27"/>
    <n v="0"/>
    <n v="0.02"/>
    <n v="57"/>
    <n v="0"/>
    <n v="9"/>
    <n v="7"/>
    <n v="0"/>
  </r>
  <r>
    <x v="1263"/>
    <n v="10"/>
    <n v="30"/>
    <n v="0"/>
    <n v="0.01"/>
    <n v="10"/>
    <n v="0"/>
    <n v="1"/>
    <n v="1"/>
    <n v="0"/>
  </r>
  <r>
    <x v="1264"/>
    <n v="2"/>
    <n v="30"/>
    <n v="0"/>
    <n v="0.01"/>
    <n v="2"/>
    <n v="0"/>
    <n v="2"/>
    <n v="2"/>
    <n v="0"/>
  </r>
  <r>
    <x v="1265"/>
    <n v="10"/>
    <n v="30"/>
    <n v="0"/>
    <n v="0.02"/>
    <n v="10"/>
    <n v="0"/>
    <n v="1"/>
    <n v="1"/>
    <n v="0"/>
  </r>
  <r>
    <x v="495"/>
    <m/>
    <m/>
    <m/>
    <m/>
    <m/>
    <m/>
    <m/>
    <m/>
    <m/>
  </r>
  <r>
    <x v="495"/>
    <m/>
    <m/>
    <m/>
    <m/>
    <m/>
    <m/>
    <m/>
    <m/>
    <m/>
  </r>
  <r>
    <x v="495"/>
    <m/>
    <m/>
    <m/>
    <m/>
    <m/>
    <m/>
    <m/>
    <m/>
    <m/>
  </r>
  <r>
    <x v="495"/>
    <m/>
    <m/>
    <m/>
    <m/>
    <m/>
    <m/>
    <m/>
    <m/>
    <m/>
  </r>
  <r>
    <x v="495"/>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9">
  <r>
    <x v="0"/>
    <n v="4"/>
    <n v="24"/>
    <n v="5"/>
    <n v="5"/>
    <n v="5"/>
    <x v="0"/>
    <x v="0"/>
    <n v="617"/>
    <n v="3085"/>
  </r>
  <r>
    <x v="1"/>
    <n v="8"/>
    <n v="24"/>
    <n v="10"/>
    <n v="8"/>
    <n v="7"/>
    <x v="1"/>
    <x v="1"/>
    <n v="448"/>
    <n v="4480"/>
  </r>
  <r>
    <x v="2"/>
    <n v="1"/>
    <n v="30"/>
    <n v="1"/>
    <n v="1"/>
    <n v="1"/>
    <x v="2"/>
    <x v="2"/>
    <n v="585"/>
    <n v="585"/>
  </r>
  <r>
    <x v="3"/>
    <n v="-1"/>
    <n v="0"/>
    <n v="2"/>
    <n v="2"/>
    <n v="2"/>
    <x v="0"/>
    <x v="3"/>
    <n v="372"/>
    <n v="744"/>
  </r>
  <r>
    <x v="4"/>
    <n v="-5"/>
    <n v="0"/>
    <n v="3"/>
    <n v="2"/>
    <n v="2"/>
    <x v="1"/>
    <x v="1"/>
    <n v="455"/>
    <n v="1365"/>
  </r>
  <r>
    <x v="5"/>
    <n v="-26"/>
    <n v="0"/>
    <n v="3"/>
    <n v="2"/>
    <n v="2"/>
    <x v="2"/>
    <x v="3"/>
    <n v="619"/>
    <n v="1857"/>
  </r>
  <r>
    <x v="6"/>
    <n v="2"/>
    <n v="20"/>
    <n v="3"/>
    <n v="2"/>
    <n v="2"/>
    <x v="3"/>
    <x v="2"/>
    <n v="370"/>
    <n v="1110"/>
  </r>
  <r>
    <x v="7"/>
    <n v="12"/>
    <n v="22"/>
    <n v="16"/>
    <n v="12"/>
    <n v="9"/>
    <x v="4"/>
    <x v="3"/>
    <n v="421"/>
    <n v="6736"/>
  </r>
  <r>
    <x v="8"/>
    <n v="3"/>
    <n v="4"/>
    <n v="19"/>
    <n v="16"/>
    <n v="12"/>
    <x v="1"/>
    <x v="3"/>
    <n v="545"/>
    <n v="10355"/>
  </r>
  <r>
    <x v="9"/>
    <n v="-1"/>
    <n v="0"/>
    <n v="1"/>
    <n v="1"/>
    <n v="1"/>
    <x v="3"/>
    <x v="2"/>
    <n v="347"/>
    <n v="347"/>
  </r>
  <r>
    <x v="10"/>
    <n v="2"/>
    <n v="30"/>
    <n v="2"/>
    <n v="2"/>
    <n v="2"/>
    <x v="1"/>
    <x v="4"/>
    <n v="598"/>
    <n v="1196"/>
  </r>
  <r>
    <x v="11"/>
    <n v="-1"/>
    <n v="0"/>
    <n v="4"/>
    <n v="4"/>
    <n v="4"/>
    <x v="5"/>
    <x v="3"/>
    <n v="410"/>
    <n v="1640"/>
  </r>
  <r>
    <x v="12"/>
    <n v="2"/>
    <n v="4"/>
    <n v="14"/>
    <n v="11"/>
    <n v="9"/>
    <x v="1"/>
    <x v="1"/>
    <n v="600"/>
    <n v="8400"/>
  </r>
  <r>
    <x v="13"/>
    <n v="-3"/>
    <n v="0"/>
    <n v="7"/>
    <n v="5"/>
    <n v="5"/>
    <x v="3"/>
    <x v="1"/>
    <n v="390"/>
    <n v="2730"/>
  </r>
  <r>
    <x v="14"/>
    <n v="-2"/>
    <n v="0"/>
    <n v="2"/>
    <n v="2"/>
    <n v="2"/>
    <x v="3"/>
    <x v="3"/>
    <n v="799"/>
    <n v="1598"/>
  </r>
  <r>
    <x v="15"/>
    <n v="11"/>
    <n v="23"/>
    <n v="14"/>
    <n v="7"/>
    <n v="5"/>
    <x v="3"/>
    <x v="1"/>
    <n v="707"/>
    <n v="9898"/>
  </r>
  <r>
    <x v="16"/>
    <n v="-1"/>
    <n v="0"/>
    <n v="2"/>
    <n v="2"/>
    <n v="2"/>
    <x v="4"/>
    <x v="3"/>
    <n v="708"/>
    <n v="1416"/>
  </r>
  <r>
    <x v="17"/>
    <n v="5"/>
    <n v="10"/>
    <n v="15"/>
    <n v="6"/>
    <n v="6"/>
    <x v="0"/>
    <x v="0"/>
    <n v="740"/>
    <n v="11100"/>
  </r>
  <r>
    <x v="18"/>
    <n v="4"/>
    <n v="30"/>
    <n v="4"/>
    <n v="4"/>
    <n v="4"/>
    <x v="6"/>
    <x v="3"/>
    <n v="641"/>
    <n v="2564"/>
  </r>
  <r>
    <x v="19"/>
    <n v="1"/>
    <n v="2"/>
    <n v="11"/>
    <n v="9"/>
    <n v="7"/>
    <x v="5"/>
    <x v="0"/>
    <n v="745"/>
    <n v="8195"/>
  </r>
  <r>
    <x v="20"/>
    <n v="4"/>
    <n v="24"/>
    <n v="5"/>
    <n v="5"/>
    <n v="5"/>
    <x v="6"/>
    <x v="4"/>
    <n v="375"/>
    <n v="1875"/>
  </r>
  <r>
    <x v="21"/>
    <n v="0"/>
    <n v="0"/>
    <n v="1"/>
    <n v="1"/>
    <n v="1"/>
    <x v="6"/>
    <x v="4"/>
    <n v="573"/>
    <n v="573"/>
  </r>
  <r>
    <x v="22"/>
    <n v="3"/>
    <n v="18"/>
    <n v="5"/>
    <n v="5"/>
    <n v="5"/>
    <x v="2"/>
    <x v="1"/>
    <n v="427"/>
    <n v="2135"/>
  </r>
  <r>
    <x v="23"/>
    <n v="5"/>
    <n v="21"/>
    <n v="7"/>
    <n v="4"/>
    <n v="4"/>
    <x v="4"/>
    <x v="1"/>
    <n v="437"/>
    <n v="3059"/>
  </r>
  <r>
    <x v="24"/>
    <n v="1"/>
    <n v="15"/>
    <n v="2"/>
    <n v="2"/>
    <n v="2"/>
    <x v="4"/>
    <x v="1"/>
    <n v="672"/>
    <n v="1344"/>
  </r>
  <r>
    <x v="25"/>
    <n v="4"/>
    <n v="17"/>
    <n v="7"/>
    <n v="5"/>
    <n v="5"/>
    <x v="0"/>
    <x v="1"/>
    <n v="304"/>
    <n v="2128"/>
  </r>
  <r>
    <x v="26"/>
    <n v="9"/>
    <n v="12"/>
    <n v="21"/>
    <n v="18"/>
    <n v="15"/>
    <x v="2"/>
    <x v="1"/>
    <n v="764"/>
    <n v="16044"/>
  </r>
  <r>
    <x v="27"/>
    <n v="0"/>
    <n v="0"/>
    <n v="3"/>
    <n v="1"/>
    <n v="1"/>
    <x v="0"/>
    <x v="5"/>
    <n v="519"/>
    <n v="1557"/>
  </r>
  <r>
    <x v="28"/>
    <n v="0"/>
    <n v="0"/>
    <n v="2"/>
    <n v="2"/>
    <n v="2"/>
    <x v="4"/>
    <x v="1"/>
    <n v="399"/>
    <n v="798"/>
  </r>
  <r>
    <x v="29"/>
    <n v="0"/>
    <n v="0"/>
    <n v="1"/>
    <n v="1"/>
    <n v="1"/>
    <x v="5"/>
    <x v="4"/>
    <n v="545"/>
    <n v="545"/>
  </r>
  <r>
    <x v="30"/>
    <n v="2"/>
    <n v="30"/>
    <n v="2"/>
    <n v="2"/>
    <n v="2"/>
    <x v="6"/>
    <x v="4"/>
    <n v="178"/>
    <n v="356"/>
  </r>
  <r>
    <x v="31"/>
    <n v="3"/>
    <n v="12"/>
    <n v="7"/>
    <n v="7"/>
    <n v="7"/>
    <x v="0"/>
    <x v="1"/>
    <n v="205"/>
    <n v="1435"/>
  </r>
  <r>
    <x v="32"/>
    <n v="1"/>
    <n v="2"/>
    <n v="13"/>
    <n v="13"/>
    <n v="10"/>
    <x v="6"/>
    <x v="4"/>
    <n v="288"/>
    <n v="3744"/>
  </r>
  <r>
    <x v="33"/>
    <n v="0"/>
    <n v="0"/>
    <n v="1"/>
    <n v="1"/>
    <n v="1"/>
    <x v="4"/>
    <x v="0"/>
    <n v="159"/>
    <n v="159"/>
  </r>
  <r>
    <x v="34"/>
    <n v="3"/>
    <n v="12"/>
    <n v="7"/>
    <n v="7"/>
    <n v="7"/>
    <x v="4"/>
    <x v="1"/>
    <n v="252"/>
    <n v="1764"/>
  </r>
  <r>
    <x v="35"/>
    <n v="0"/>
    <n v="0"/>
    <n v="2"/>
    <n v="2"/>
    <n v="2"/>
    <x v="6"/>
    <x v="0"/>
    <n v="230"/>
    <n v="460"/>
  </r>
  <r>
    <x v="36"/>
    <n v="1"/>
    <n v="30"/>
    <n v="1"/>
    <n v="1"/>
    <n v="1"/>
    <x v="3"/>
    <x v="3"/>
    <n v="177"/>
    <n v="177"/>
  </r>
  <r>
    <x v="37"/>
    <n v="1"/>
    <n v="10"/>
    <n v="3"/>
    <n v="3"/>
    <n v="2"/>
    <x v="0"/>
    <x v="3"/>
    <n v="220"/>
    <n v="660"/>
  </r>
  <r>
    <x v="38"/>
    <n v="4"/>
    <n v="17"/>
    <n v="7"/>
    <n v="7"/>
    <n v="6"/>
    <x v="0"/>
    <x v="1"/>
    <n v="128"/>
    <n v="896"/>
  </r>
  <r>
    <x v="39"/>
    <n v="2"/>
    <n v="12"/>
    <n v="5"/>
    <n v="5"/>
    <n v="4"/>
    <x v="1"/>
    <x v="1"/>
    <n v="266"/>
    <n v="1330"/>
  </r>
  <r>
    <x v="40"/>
    <n v="-1"/>
    <n v="0"/>
    <n v="1"/>
    <n v="1"/>
    <n v="1"/>
    <x v="0"/>
    <x v="0"/>
    <n v="124"/>
    <n v="124"/>
  </r>
  <r>
    <x v="41"/>
    <n v="1"/>
    <n v="30"/>
    <n v="1"/>
    <n v="1"/>
    <n v="1"/>
    <x v="2"/>
    <x v="6"/>
    <n v="120"/>
    <n v="120"/>
  </r>
  <r>
    <x v="42"/>
    <n v="1"/>
    <n v="1"/>
    <n v="17"/>
    <n v="17"/>
    <n v="11"/>
    <x v="1"/>
    <x v="0"/>
    <n v="172"/>
    <n v="2924"/>
  </r>
  <r>
    <x v="43"/>
    <n v="0"/>
    <n v="0"/>
    <n v="3"/>
    <n v="3"/>
    <n v="3"/>
    <x v="4"/>
    <x v="4"/>
    <n v="128"/>
    <n v="384"/>
  </r>
  <r>
    <x v="44"/>
    <n v="1"/>
    <n v="30"/>
    <n v="1"/>
    <n v="1"/>
    <n v="1"/>
    <x v="2"/>
    <x v="6"/>
    <n v="197"/>
    <n v="197"/>
  </r>
  <r>
    <x v="45"/>
    <n v="1"/>
    <n v="30"/>
    <n v="1"/>
    <n v="1"/>
    <n v="1"/>
    <x v="3"/>
    <x v="5"/>
    <n v="213"/>
    <n v="213"/>
  </r>
  <r>
    <x v="46"/>
    <n v="3"/>
    <n v="22"/>
    <n v="4"/>
    <n v="4"/>
    <n v="4"/>
    <x v="1"/>
    <x v="6"/>
    <n v="163"/>
    <n v="652"/>
  </r>
  <r>
    <x v="47"/>
    <n v="2"/>
    <n v="12"/>
    <n v="5"/>
    <n v="4"/>
    <n v="4"/>
    <x v="2"/>
    <x v="0"/>
    <n v="225"/>
    <n v="1125"/>
  </r>
  <r>
    <x v="48"/>
    <n v="3"/>
    <n v="30"/>
    <n v="3"/>
    <n v="3"/>
    <n v="2"/>
    <x v="6"/>
    <x v="6"/>
    <n v="285"/>
    <n v="855"/>
  </r>
  <r>
    <x v="49"/>
    <n v="2"/>
    <n v="10"/>
    <n v="6"/>
    <n v="6"/>
    <n v="4"/>
    <x v="6"/>
    <x v="6"/>
    <n v="209"/>
    <n v="1254"/>
  </r>
  <r>
    <x v="50"/>
    <n v="1"/>
    <n v="30"/>
    <n v="1"/>
    <n v="1"/>
    <n v="1"/>
    <x v="2"/>
    <x v="4"/>
    <n v="258"/>
    <n v="258"/>
  </r>
  <r>
    <x v="51"/>
    <n v="2"/>
    <n v="30"/>
    <n v="2"/>
    <n v="2"/>
    <n v="2"/>
    <x v="3"/>
    <x v="1"/>
    <n v="175"/>
    <n v="350"/>
  </r>
  <r>
    <x v="52"/>
    <n v="3"/>
    <n v="15"/>
    <n v="6"/>
    <n v="6"/>
    <n v="5"/>
    <x v="4"/>
    <x v="6"/>
    <n v="272"/>
    <n v="1632"/>
  </r>
  <r>
    <x v="53"/>
    <n v="1"/>
    <n v="30"/>
    <n v="1"/>
    <n v="1"/>
    <n v="1"/>
    <x v="3"/>
    <x v="6"/>
    <n v="253"/>
    <n v="253"/>
  </r>
  <r>
    <x v="54"/>
    <n v="1"/>
    <n v="15"/>
    <n v="2"/>
    <n v="2"/>
    <n v="2"/>
    <x v="2"/>
    <x v="6"/>
    <n v="165"/>
    <n v="330"/>
  </r>
  <r>
    <x v="55"/>
    <n v="3"/>
    <n v="18"/>
    <n v="5"/>
    <n v="4"/>
    <n v="4"/>
    <x v="1"/>
    <x v="4"/>
    <n v="214"/>
    <n v="1070"/>
  </r>
  <r>
    <x v="56"/>
    <n v="1"/>
    <n v="30"/>
    <n v="1"/>
    <n v="1"/>
    <n v="1"/>
    <x v="1"/>
    <x v="3"/>
    <n v="177"/>
    <n v="177"/>
  </r>
  <r>
    <x v="57"/>
    <n v="6"/>
    <n v="30"/>
    <n v="6"/>
    <n v="6"/>
    <n v="5"/>
    <x v="1"/>
    <x v="2"/>
    <n v="276"/>
    <n v="1656"/>
  </r>
  <r>
    <x v="58"/>
    <n v="1"/>
    <n v="15"/>
    <n v="2"/>
    <n v="2"/>
    <n v="2"/>
    <x v="0"/>
    <x v="2"/>
    <n v="226"/>
    <n v="452"/>
  </r>
  <r>
    <x v="59"/>
    <n v="-1"/>
    <n v="0"/>
    <n v="1"/>
    <n v="1"/>
    <n v="1"/>
    <x v="6"/>
    <x v="4"/>
    <n v="216"/>
    <n v="216"/>
  </r>
  <r>
    <x v="60"/>
    <n v="2"/>
    <n v="20"/>
    <n v="3"/>
    <n v="3"/>
    <n v="3"/>
    <x v="2"/>
    <x v="0"/>
    <n v="144"/>
    <n v="432"/>
  </r>
  <r>
    <x v="61"/>
    <n v="1"/>
    <n v="30"/>
    <n v="1"/>
    <n v="1"/>
    <n v="1"/>
    <x v="6"/>
    <x v="3"/>
    <n v="240"/>
    <n v="240"/>
  </r>
  <r>
    <x v="62"/>
    <n v="5"/>
    <n v="25"/>
    <n v="6"/>
    <n v="6"/>
    <n v="6"/>
    <x v="1"/>
    <x v="4"/>
    <n v="127"/>
    <n v="762"/>
  </r>
  <r>
    <x v="63"/>
    <n v="-1"/>
    <n v="0"/>
    <n v="1"/>
    <n v="1"/>
    <n v="1"/>
    <x v="0"/>
    <x v="4"/>
    <n v="181"/>
    <n v="181"/>
  </r>
  <r>
    <x v="64"/>
    <n v="7"/>
    <n v="26"/>
    <n v="8"/>
    <n v="8"/>
    <n v="6"/>
    <x v="5"/>
    <x v="0"/>
    <n v="271"/>
    <n v="2168"/>
  </r>
  <r>
    <x v="65"/>
    <n v="4"/>
    <n v="30"/>
    <n v="4"/>
    <n v="4"/>
    <n v="3"/>
    <x v="5"/>
    <x v="1"/>
    <n v="203"/>
    <n v="812"/>
  </r>
  <r>
    <x v="66"/>
    <n v="1"/>
    <n v="30"/>
    <n v="1"/>
    <n v="1"/>
    <n v="1"/>
    <x v="4"/>
    <x v="0"/>
    <n v="222"/>
    <n v="222"/>
  </r>
  <r>
    <x v="67"/>
    <n v="3"/>
    <n v="30"/>
    <n v="3"/>
    <n v="3"/>
    <n v="3"/>
    <x v="3"/>
    <x v="2"/>
    <n v="181"/>
    <n v="543"/>
  </r>
  <r>
    <x v="68"/>
    <n v="5"/>
    <n v="13"/>
    <n v="11"/>
    <n v="11"/>
    <n v="9"/>
    <x v="6"/>
    <x v="4"/>
    <n v="166"/>
    <n v="1826"/>
  </r>
  <r>
    <x v="69"/>
    <n v="3"/>
    <n v="18"/>
    <n v="5"/>
    <n v="5"/>
    <n v="5"/>
    <x v="6"/>
    <x v="6"/>
    <n v="185"/>
    <n v="925"/>
  </r>
  <r>
    <x v="70"/>
    <n v="0"/>
    <n v="0"/>
    <n v="1"/>
    <n v="1"/>
    <n v="1"/>
    <x v="0"/>
    <x v="3"/>
    <n v="247"/>
    <n v="247"/>
  </r>
  <r>
    <x v="71"/>
    <n v="0"/>
    <n v="0"/>
    <n v="1"/>
    <n v="1"/>
    <n v="1"/>
    <x v="5"/>
    <x v="3"/>
    <n v="268"/>
    <n v="268"/>
  </r>
  <r>
    <x v="72"/>
    <n v="2"/>
    <n v="30"/>
    <n v="2"/>
    <n v="2"/>
    <n v="2"/>
    <x v="2"/>
    <x v="4"/>
    <n v="220"/>
    <n v="440"/>
  </r>
  <r>
    <x v="73"/>
    <n v="0"/>
    <n v="0"/>
    <n v="2"/>
    <n v="2"/>
    <n v="2"/>
    <x v="5"/>
    <x v="5"/>
    <n v="229"/>
    <n v="458"/>
  </r>
  <r>
    <x v="74"/>
    <n v="0"/>
    <n v="0"/>
    <n v="3"/>
    <n v="3"/>
    <n v="3"/>
    <x v="6"/>
    <x v="1"/>
    <n v="231"/>
    <n v="693"/>
  </r>
  <r>
    <x v="75"/>
    <n v="0"/>
    <n v="0"/>
    <n v="2"/>
    <n v="1"/>
    <n v="1"/>
    <x v="6"/>
    <x v="1"/>
    <n v="189"/>
    <n v="378"/>
  </r>
  <r>
    <x v="76"/>
    <n v="-210"/>
    <n v="0"/>
    <n v="20"/>
    <n v="2"/>
    <n v="2"/>
    <x v="3"/>
    <x v="6"/>
    <n v="160"/>
    <n v="3200"/>
  </r>
  <r>
    <x v="77"/>
    <n v="-6"/>
    <n v="0"/>
    <n v="1"/>
    <n v="1"/>
    <n v="1"/>
    <x v="0"/>
    <x v="1"/>
    <n v="182"/>
    <n v="182"/>
  </r>
  <r>
    <x v="78"/>
    <n v="-2"/>
    <n v="0"/>
    <n v="4"/>
    <n v="2"/>
    <n v="2"/>
    <x v="0"/>
    <x v="0"/>
    <n v="80"/>
    <n v="320"/>
  </r>
  <r>
    <x v="79"/>
    <n v="0"/>
    <n v="0"/>
    <n v="1"/>
    <n v="1"/>
    <n v="1"/>
    <x v="1"/>
    <x v="0"/>
    <n v="145"/>
    <n v="145"/>
  </r>
  <r>
    <x v="80"/>
    <n v="7"/>
    <n v="23"/>
    <n v="9"/>
    <n v="5"/>
    <n v="5"/>
    <x v="4"/>
    <x v="4"/>
    <n v="185"/>
    <n v="1665"/>
  </r>
  <r>
    <x v="81"/>
    <n v="1"/>
    <n v="3"/>
    <n v="8"/>
    <n v="7"/>
    <n v="7"/>
    <x v="3"/>
    <x v="5"/>
    <n v="122"/>
    <n v="976"/>
  </r>
  <r>
    <x v="82"/>
    <n v="0"/>
    <n v="0"/>
    <n v="1"/>
    <n v="1"/>
    <n v="1"/>
    <x v="4"/>
    <x v="2"/>
    <n v="81"/>
    <n v="81"/>
  </r>
  <r>
    <x v="83"/>
    <n v="2"/>
    <n v="30"/>
    <n v="2"/>
    <n v="2"/>
    <n v="2"/>
    <x v="0"/>
    <x v="4"/>
    <n v="192"/>
    <n v="384"/>
  </r>
  <r>
    <x v="84"/>
    <n v="1"/>
    <n v="30"/>
    <n v="1"/>
    <n v="1"/>
    <n v="1"/>
    <x v="4"/>
    <x v="5"/>
    <n v="108"/>
    <n v="108"/>
  </r>
  <r>
    <x v="85"/>
    <n v="1"/>
    <n v="7"/>
    <n v="4"/>
    <n v="4"/>
    <n v="4"/>
    <x v="5"/>
    <x v="0"/>
    <n v="157"/>
    <n v="628"/>
  </r>
  <r>
    <x v="86"/>
    <n v="-3"/>
    <n v="0"/>
    <n v="2"/>
    <n v="2"/>
    <n v="2"/>
    <x v="2"/>
    <x v="1"/>
    <n v="70"/>
    <n v="140"/>
  </r>
  <r>
    <x v="87"/>
    <n v="-2"/>
    <n v="0"/>
    <n v="1"/>
    <n v="1"/>
    <n v="1"/>
    <x v="2"/>
    <x v="3"/>
    <n v="93"/>
    <n v="93"/>
  </r>
  <r>
    <x v="88"/>
    <n v="1"/>
    <n v="15"/>
    <n v="2"/>
    <n v="2"/>
    <n v="2"/>
    <x v="0"/>
    <x v="6"/>
    <n v="200"/>
    <n v="400"/>
  </r>
  <r>
    <x v="89"/>
    <n v="20"/>
    <n v="20"/>
    <n v="30"/>
    <n v="3"/>
    <n v="3"/>
    <x v="0"/>
    <x v="2"/>
    <n v="121"/>
    <n v="3630"/>
  </r>
  <r>
    <x v="90"/>
    <n v="6"/>
    <n v="25"/>
    <n v="7"/>
    <n v="9"/>
    <n v="8"/>
    <x v="3"/>
    <x v="1"/>
    <n v="152"/>
    <n v="1064"/>
  </r>
  <r>
    <x v="91"/>
    <n v="2"/>
    <n v="30"/>
    <n v="2"/>
    <n v="2"/>
    <n v="2"/>
    <x v="4"/>
    <x v="2"/>
    <n v="184"/>
    <n v="368"/>
  </r>
  <r>
    <x v="92"/>
    <n v="10"/>
    <n v="30"/>
    <n v="10"/>
    <n v="1"/>
    <n v="1"/>
    <x v="2"/>
    <x v="2"/>
    <n v="181"/>
    <n v="1810"/>
  </r>
  <r>
    <x v="93"/>
    <n v="3"/>
    <n v="30"/>
    <n v="3"/>
    <n v="3"/>
    <n v="3"/>
    <x v="4"/>
    <x v="5"/>
    <n v="92"/>
    <n v="276"/>
  </r>
  <r>
    <x v="94"/>
    <n v="1"/>
    <n v="30"/>
    <n v="1"/>
    <n v="1"/>
    <n v="1"/>
    <x v="5"/>
    <x v="2"/>
    <n v="102"/>
    <n v="102"/>
  </r>
  <r>
    <x v="95"/>
    <n v="30"/>
    <n v="30"/>
    <n v="30"/>
    <n v="1"/>
    <n v="1"/>
    <x v="5"/>
    <x v="5"/>
    <n v="110"/>
    <n v="3300"/>
  </r>
  <r>
    <x v="96"/>
    <n v="0"/>
    <n v="0"/>
    <n v="2"/>
    <n v="2"/>
    <n v="2"/>
    <x v="6"/>
    <x v="5"/>
    <n v="110"/>
    <n v="220"/>
  </r>
  <r>
    <x v="97"/>
    <n v="458"/>
    <n v="23"/>
    <n v="580"/>
    <n v="41"/>
    <n v="20"/>
    <x v="0"/>
    <x v="4"/>
    <n v="141"/>
    <n v="81780"/>
  </r>
  <r>
    <x v="98"/>
    <n v="-1"/>
    <n v="0"/>
    <n v="2"/>
    <n v="2"/>
    <n v="2"/>
    <x v="3"/>
    <x v="4"/>
    <n v="178"/>
    <n v="356"/>
  </r>
  <r>
    <x v="99"/>
    <n v="-8"/>
    <n v="0"/>
    <n v="3"/>
    <n v="3"/>
    <n v="3"/>
    <x v="6"/>
    <x v="2"/>
    <n v="174"/>
    <n v="522"/>
  </r>
  <r>
    <x v="100"/>
    <n v="2"/>
    <n v="15"/>
    <n v="4"/>
    <n v="4"/>
    <n v="4"/>
    <x v="4"/>
    <x v="5"/>
    <n v="160"/>
    <n v="640"/>
  </r>
  <r>
    <x v="101"/>
    <n v="0"/>
    <n v="0"/>
    <n v="1"/>
    <n v="1"/>
    <n v="1"/>
    <x v="1"/>
    <x v="0"/>
    <n v="124"/>
    <n v="124"/>
  </r>
  <r>
    <x v="102"/>
    <n v="1"/>
    <n v="7"/>
    <n v="4"/>
    <n v="3"/>
    <n v="3"/>
    <x v="5"/>
    <x v="6"/>
    <n v="128"/>
    <n v="512"/>
  </r>
  <r>
    <x v="103"/>
    <n v="-1"/>
    <n v="0"/>
    <n v="1"/>
    <n v="1"/>
    <n v="1"/>
    <x v="4"/>
    <x v="1"/>
    <n v="161"/>
    <n v="161"/>
  </r>
  <r>
    <x v="104"/>
    <n v="3"/>
    <n v="15"/>
    <n v="6"/>
    <n v="6"/>
    <n v="4"/>
    <x v="4"/>
    <x v="5"/>
    <n v="193"/>
    <n v="1158"/>
  </r>
  <r>
    <x v="105"/>
    <n v="1"/>
    <n v="10"/>
    <n v="3"/>
    <n v="3"/>
    <n v="3"/>
    <x v="5"/>
    <x v="0"/>
    <n v="130"/>
    <n v="390"/>
  </r>
  <r>
    <x v="106"/>
    <n v="30"/>
    <n v="30"/>
    <n v="30"/>
    <n v="1"/>
    <n v="1"/>
    <x v="5"/>
    <x v="5"/>
    <n v="173"/>
    <n v="5190"/>
  </r>
  <r>
    <x v="107"/>
    <n v="1"/>
    <n v="30"/>
    <n v="1"/>
    <n v="1"/>
    <n v="1"/>
    <x v="2"/>
    <x v="2"/>
    <n v="116"/>
    <n v="116"/>
  </r>
  <r>
    <x v="108"/>
    <n v="-56"/>
    <n v="0"/>
    <n v="30"/>
    <n v="2"/>
    <n v="2"/>
    <x v="5"/>
    <x v="4"/>
    <n v="157"/>
    <n v="4710"/>
  </r>
  <r>
    <x v="109"/>
    <n v="-5"/>
    <n v="0"/>
    <n v="2"/>
    <n v="2"/>
    <n v="2"/>
    <x v="4"/>
    <x v="6"/>
    <n v="193"/>
    <n v="386"/>
  </r>
  <r>
    <x v="110"/>
    <n v="1"/>
    <n v="30"/>
    <n v="1"/>
    <n v="1"/>
    <n v="1"/>
    <x v="0"/>
    <x v="4"/>
    <n v="188"/>
    <n v="188"/>
  </r>
  <r>
    <x v="111"/>
    <n v="1"/>
    <n v="30"/>
    <n v="1"/>
    <n v="1"/>
    <n v="1"/>
    <x v="1"/>
    <x v="1"/>
    <n v="147"/>
    <n v="147"/>
  </r>
  <r>
    <x v="112"/>
    <n v="-1"/>
    <n v="0"/>
    <n v="2"/>
    <n v="2"/>
    <n v="2"/>
    <x v="2"/>
    <x v="0"/>
    <n v="181"/>
    <n v="362"/>
  </r>
  <r>
    <x v="113"/>
    <n v="0"/>
    <n v="0"/>
    <n v="1"/>
    <n v="1"/>
    <n v="1"/>
    <x v="0"/>
    <x v="0"/>
    <n v="75"/>
    <n v="75"/>
  </r>
  <r>
    <x v="114"/>
    <n v="1"/>
    <n v="10"/>
    <n v="3"/>
    <n v="3"/>
    <n v="3"/>
    <x v="3"/>
    <x v="3"/>
    <n v="157"/>
    <n v="471"/>
  </r>
  <r>
    <x v="115"/>
    <n v="3"/>
    <n v="30"/>
    <n v="3"/>
    <n v="2"/>
    <n v="2"/>
    <x v="1"/>
    <x v="0"/>
    <n v="158"/>
    <n v="474"/>
  </r>
  <r>
    <x v="116"/>
    <n v="60"/>
    <n v="30"/>
    <n v="60"/>
    <n v="2"/>
    <n v="2"/>
    <x v="5"/>
    <x v="1"/>
    <n v="126"/>
    <n v="7560"/>
  </r>
  <r>
    <x v="117"/>
    <n v="1"/>
    <n v="30"/>
    <n v="1"/>
    <n v="1"/>
    <n v="1"/>
    <x v="5"/>
    <x v="5"/>
    <n v="136"/>
    <n v="136"/>
  </r>
  <r>
    <x v="118"/>
    <n v="0"/>
    <n v="0"/>
    <n v="2"/>
    <n v="2"/>
    <n v="2"/>
    <x v="1"/>
    <x v="0"/>
    <n v="139"/>
    <n v="278"/>
  </r>
  <r>
    <x v="119"/>
    <n v="100"/>
    <n v="13"/>
    <n v="225"/>
    <n v="10"/>
    <n v="10"/>
    <x v="6"/>
    <x v="0"/>
    <n v="166"/>
    <n v="37350"/>
  </r>
  <r>
    <x v="120"/>
    <n v="20"/>
    <n v="15"/>
    <n v="40"/>
    <n v="2"/>
    <n v="2"/>
    <x v="1"/>
    <x v="3"/>
    <n v="83"/>
    <n v="3320"/>
  </r>
  <r>
    <x v="121"/>
    <n v="1"/>
    <n v="15"/>
    <n v="2"/>
    <n v="2"/>
    <n v="1"/>
    <x v="6"/>
    <x v="2"/>
    <n v="72"/>
    <n v="144"/>
  </r>
  <r>
    <x v="122"/>
    <n v="3"/>
    <n v="22"/>
    <n v="4"/>
    <n v="4"/>
    <n v="4"/>
    <x v="4"/>
    <x v="3"/>
    <n v="137"/>
    <n v="548"/>
  </r>
  <r>
    <x v="123"/>
    <n v="4"/>
    <n v="30"/>
    <n v="4"/>
    <n v="3"/>
    <n v="3"/>
    <x v="1"/>
    <x v="6"/>
    <n v="205"/>
    <n v="820"/>
  </r>
  <r>
    <x v="124"/>
    <n v="-3"/>
    <n v="0"/>
    <n v="3"/>
    <n v="3"/>
    <n v="3"/>
    <x v="6"/>
    <x v="2"/>
    <n v="167"/>
    <n v="501"/>
  </r>
  <r>
    <x v="125"/>
    <n v="-6"/>
    <n v="0"/>
    <n v="2"/>
    <n v="2"/>
    <n v="2"/>
    <x v="0"/>
    <x v="1"/>
    <n v="175"/>
    <n v="350"/>
  </r>
  <r>
    <x v="126"/>
    <n v="-21"/>
    <n v="0"/>
    <n v="3"/>
    <n v="1"/>
    <n v="1"/>
    <x v="5"/>
    <x v="6"/>
    <n v="173"/>
    <n v="519"/>
  </r>
  <r>
    <x v="127"/>
    <n v="0"/>
    <n v="0"/>
    <n v="2"/>
    <n v="2"/>
    <n v="2"/>
    <x v="3"/>
    <x v="0"/>
    <n v="83"/>
    <n v="166"/>
  </r>
  <r>
    <x v="128"/>
    <n v="30"/>
    <n v="15"/>
    <n v="60"/>
    <n v="4"/>
    <n v="4"/>
    <x v="2"/>
    <x v="2"/>
    <n v="183"/>
    <n v="10980"/>
  </r>
  <r>
    <x v="129"/>
    <n v="4"/>
    <n v="30"/>
    <n v="4"/>
    <n v="1"/>
    <n v="1"/>
    <x v="3"/>
    <x v="6"/>
    <n v="163"/>
    <n v="652"/>
  </r>
  <r>
    <x v="130"/>
    <n v="2"/>
    <n v="30"/>
    <n v="2"/>
    <n v="2"/>
    <n v="2"/>
    <x v="3"/>
    <x v="5"/>
    <n v="82"/>
    <n v="164"/>
  </r>
  <r>
    <x v="131"/>
    <n v="0"/>
    <n v="0"/>
    <n v="2"/>
    <n v="2"/>
    <n v="2"/>
    <x v="0"/>
    <x v="1"/>
    <n v="119"/>
    <n v="238"/>
  </r>
  <r>
    <x v="132"/>
    <n v="-1"/>
    <n v="0"/>
    <n v="1"/>
    <n v="1"/>
    <n v="1"/>
    <x v="1"/>
    <x v="5"/>
    <n v="122"/>
    <n v="122"/>
  </r>
  <r>
    <x v="133"/>
    <n v="10"/>
    <n v="15"/>
    <n v="20"/>
    <n v="2"/>
    <n v="2"/>
    <x v="3"/>
    <x v="1"/>
    <n v="196"/>
    <n v="3920"/>
  </r>
  <r>
    <x v="134"/>
    <n v="4"/>
    <n v="30"/>
    <n v="4"/>
    <n v="4"/>
    <n v="4"/>
    <x v="1"/>
    <x v="5"/>
    <n v="83"/>
    <n v="332"/>
  </r>
  <r>
    <x v="135"/>
    <n v="2"/>
    <n v="20"/>
    <n v="3"/>
    <n v="3"/>
    <n v="3"/>
    <x v="6"/>
    <x v="3"/>
    <n v="136"/>
    <n v="408"/>
  </r>
  <r>
    <x v="136"/>
    <n v="0"/>
    <n v="0"/>
    <n v="2"/>
    <n v="2"/>
    <n v="2"/>
    <x v="4"/>
    <x v="2"/>
    <n v="135"/>
    <n v="270"/>
  </r>
  <r>
    <x v="137"/>
    <n v="0"/>
    <n v="0"/>
    <n v="2"/>
    <n v="2"/>
    <n v="2"/>
    <x v="6"/>
    <x v="4"/>
    <n v="80"/>
    <n v="160"/>
  </r>
  <r>
    <x v="138"/>
    <n v="-7"/>
    <n v="0"/>
    <n v="1"/>
    <n v="1"/>
    <n v="1"/>
    <x v="5"/>
    <x v="2"/>
    <n v="123"/>
    <n v="123"/>
  </r>
  <r>
    <x v="139"/>
    <n v="0"/>
    <n v="0"/>
    <n v="1"/>
    <n v="1"/>
    <n v="1"/>
    <x v="4"/>
    <x v="0"/>
    <n v="117"/>
    <n v="117"/>
  </r>
  <r>
    <x v="140"/>
    <n v="-4"/>
    <n v="0"/>
    <n v="2"/>
    <n v="2"/>
    <n v="2"/>
    <x v="1"/>
    <x v="0"/>
    <n v="181"/>
    <n v="362"/>
  </r>
  <r>
    <x v="141"/>
    <n v="-1"/>
    <n v="0"/>
    <n v="4"/>
    <n v="4"/>
    <n v="3"/>
    <x v="1"/>
    <x v="0"/>
    <n v="227"/>
    <n v="908"/>
  </r>
  <r>
    <x v="142"/>
    <n v="0"/>
    <n v="0"/>
    <n v="24"/>
    <n v="1"/>
    <n v="1"/>
    <x v="4"/>
    <x v="1"/>
    <n v="161"/>
    <n v="3864"/>
  </r>
  <r>
    <x v="143"/>
    <n v="1"/>
    <n v="30"/>
    <n v="1"/>
    <n v="1"/>
    <n v="1"/>
    <x v="6"/>
    <x v="2"/>
    <n v="172"/>
    <n v="172"/>
  </r>
  <r>
    <x v="144"/>
    <n v="60"/>
    <n v="30"/>
    <n v="60"/>
    <n v="2"/>
    <n v="2"/>
    <x v="2"/>
    <x v="5"/>
    <n v="132"/>
    <n v="7920"/>
  </r>
  <r>
    <x v="145"/>
    <n v="0"/>
    <n v="0"/>
    <n v="2"/>
    <n v="2"/>
    <n v="2"/>
    <x v="1"/>
    <x v="6"/>
    <n v="193"/>
    <n v="386"/>
  </r>
  <r>
    <x v="146"/>
    <n v="-4"/>
    <n v="0"/>
    <n v="2"/>
    <n v="2"/>
    <n v="2"/>
    <x v="6"/>
    <x v="2"/>
    <n v="170"/>
    <n v="340"/>
  </r>
  <r>
    <x v="147"/>
    <n v="-7"/>
    <n v="0"/>
    <n v="1"/>
    <n v="1"/>
    <n v="1"/>
    <x v="3"/>
    <x v="1"/>
    <n v="91"/>
    <n v="91"/>
  </r>
  <r>
    <x v="148"/>
    <n v="0"/>
    <n v="0"/>
    <n v="1"/>
    <n v="1"/>
    <n v="1"/>
    <x v="1"/>
    <x v="1"/>
    <n v="161"/>
    <n v="161"/>
  </r>
  <r>
    <x v="149"/>
    <n v="0"/>
    <n v="0"/>
    <n v="2"/>
    <n v="2"/>
    <n v="2"/>
    <x v="1"/>
    <x v="2"/>
    <n v="177"/>
    <n v="354"/>
  </r>
  <r>
    <x v="150"/>
    <n v="2"/>
    <n v="12"/>
    <n v="5"/>
    <n v="5"/>
    <n v="4"/>
    <x v="2"/>
    <x v="2"/>
    <n v="250"/>
    <n v="1250"/>
  </r>
  <r>
    <x v="151"/>
    <n v="-5"/>
    <n v="0"/>
    <n v="1"/>
    <n v="1"/>
    <n v="1"/>
    <x v="0"/>
    <x v="2"/>
    <n v="179"/>
    <n v="179"/>
  </r>
  <r>
    <x v="152"/>
    <n v="0"/>
    <n v="0"/>
    <n v="7"/>
    <n v="7"/>
    <n v="6"/>
    <x v="4"/>
    <x v="1"/>
    <n v="114"/>
    <n v="798"/>
  </r>
  <r>
    <x v="153"/>
    <n v="199"/>
    <n v="17"/>
    <n v="341"/>
    <n v="22"/>
    <n v="14"/>
    <x v="0"/>
    <x v="4"/>
    <n v="116"/>
    <n v="39556"/>
  </r>
  <r>
    <x v="154"/>
    <n v="2"/>
    <n v="30"/>
    <n v="2"/>
    <n v="2"/>
    <n v="2"/>
    <x v="2"/>
    <x v="5"/>
    <n v="117"/>
    <n v="234"/>
  </r>
  <r>
    <x v="155"/>
    <n v="1"/>
    <n v="5"/>
    <n v="6"/>
    <n v="6"/>
    <n v="5"/>
    <x v="5"/>
    <x v="0"/>
    <n v="191"/>
    <n v="1146"/>
  </r>
  <r>
    <x v="156"/>
    <n v="2"/>
    <n v="20"/>
    <n v="3"/>
    <n v="2"/>
    <n v="2"/>
    <x v="4"/>
    <x v="6"/>
    <n v="138"/>
    <n v="414"/>
  </r>
  <r>
    <x v="157"/>
    <n v="1"/>
    <n v="7"/>
    <n v="4"/>
    <n v="4"/>
    <n v="3"/>
    <x v="0"/>
    <x v="5"/>
    <n v="139"/>
    <n v="556"/>
  </r>
  <r>
    <x v="158"/>
    <n v="0"/>
    <n v="0"/>
    <n v="2"/>
    <n v="2"/>
    <n v="2"/>
    <x v="3"/>
    <x v="6"/>
    <n v="165"/>
    <n v="330"/>
  </r>
  <r>
    <x v="159"/>
    <n v="6"/>
    <n v="22"/>
    <n v="8"/>
    <n v="9"/>
    <n v="7"/>
    <x v="5"/>
    <x v="2"/>
    <n v="172"/>
    <n v="1376"/>
  </r>
  <r>
    <x v="160"/>
    <n v="1"/>
    <n v="30"/>
    <n v="1"/>
    <n v="1"/>
    <n v="1"/>
    <x v="2"/>
    <x v="0"/>
    <n v="138"/>
    <n v="138"/>
  </r>
  <r>
    <x v="161"/>
    <n v="1"/>
    <n v="30"/>
    <n v="1"/>
    <n v="1"/>
    <n v="1"/>
    <x v="6"/>
    <x v="5"/>
    <n v="185"/>
    <n v="185"/>
  </r>
  <r>
    <x v="162"/>
    <n v="1"/>
    <n v="30"/>
    <n v="1"/>
    <n v="1"/>
    <n v="1"/>
    <x v="1"/>
    <x v="1"/>
    <n v="168"/>
    <n v="168"/>
  </r>
  <r>
    <x v="163"/>
    <n v="-1"/>
    <n v="0"/>
    <n v="1"/>
    <n v="1"/>
    <n v="1"/>
    <x v="3"/>
    <x v="3"/>
    <n v="114"/>
    <n v="114"/>
  </r>
  <r>
    <x v="164"/>
    <n v="-14"/>
    <n v="0"/>
    <n v="1"/>
    <n v="1"/>
    <n v="1"/>
    <x v="4"/>
    <x v="1"/>
    <n v="168"/>
    <n v="168"/>
  </r>
  <r>
    <x v="165"/>
    <n v="-9"/>
    <n v="0"/>
    <n v="2"/>
    <n v="2"/>
    <n v="2"/>
    <x v="4"/>
    <x v="1"/>
    <n v="175"/>
    <n v="350"/>
  </r>
  <r>
    <x v="166"/>
    <n v="0"/>
    <n v="0"/>
    <n v="1"/>
    <n v="1"/>
    <n v="1"/>
    <x v="3"/>
    <x v="4"/>
    <n v="188"/>
    <n v="188"/>
  </r>
  <r>
    <x v="167"/>
    <n v="-5"/>
    <n v="0"/>
    <n v="1"/>
    <n v="1"/>
    <n v="1"/>
    <x v="1"/>
    <x v="5"/>
    <n v="80"/>
    <n v="80"/>
  </r>
  <r>
    <x v="168"/>
    <n v="-2"/>
    <n v="0"/>
    <n v="1"/>
    <n v="1"/>
    <n v="1"/>
    <x v="6"/>
    <x v="3"/>
    <n v="156"/>
    <n v="156"/>
  </r>
  <r>
    <x v="169"/>
    <n v="2"/>
    <n v="30"/>
    <n v="2"/>
    <n v="2"/>
    <n v="2"/>
    <x v="3"/>
    <x v="2"/>
    <n v="191"/>
    <n v="382"/>
  </r>
  <r>
    <x v="170"/>
    <n v="20"/>
    <n v="30"/>
    <n v="20"/>
    <n v="2"/>
    <n v="2"/>
    <x v="6"/>
    <x v="3"/>
    <n v="117"/>
    <n v="2340"/>
  </r>
  <r>
    <x v="171"/>
    <n v="0"/>
    <n v="0"/>
    <n v="1"/>
    <n v="1"/>
    <n v="1"/>
    <x v="0"/>
    <x v="1"/>
    <n v="133"/>
    <n v="133"/>
  </r>
  <r>
    <x v="172"/>
    <n v="0"/>
    <n v="0"/>
    <n v="3"/>
    <n v="3"/>
    <n v="2"/>
    <x v="2"/>
    <x v="0"/>
    <n v="137"/>
    <n v="411"/>
  </r>
  <r>
    <x v="173"/>
    <n v="0"/>
    <n v="0"/>
    <n v="3"/>
    <n v="2"/>
    <n v="2"/>
    <x v="6"/>
    <x v="4"/>
    <n v="72"/>
    <n v="216"/>
  </r>
  <r>
    <x v="174"/>
    <n v="2"/>
    <n v="10"/>
    <n v="6"/>
    <n v="6"/>
    <n v="5"/>
    <x v="2"/>
    <x v="2"/>
    <n v="80"/>
    <n v="480"/>
  </r>
  <r>
    <x v="175"/>
    <n v="20"/>
    <n v="30"/>
    <n v="20"/>
    <n v="2"/>
    <n v="2"/>
    <x v="1"/>
    <x v="0"/>
    <n v="170"/>
    <n v="3400"/>
  </r>
  <r>
    <x v="176"/>
    <n v="1"/>
    <n v="30"/>
    <n v="1"/>
    <n v="1"/>
    <n v="1"/>
    <x v="5"/>
    <x v="6"/>
    <n v="120"/>
    <n v="120"/>
  </r>
  <r>
    <x v="177"/>
    <n v="1"/>
    <n v="30"/>
    <n v="1"/>
    <n v="1"/>
    <n v="1"/>
    <x v="1"/>
    <x v="0"/>
    <n v="75"/>
    <n v="75"/>
  </r>
  <r>
    <x v="178"/>
    <n v="1"/>
    <n v="30"/>
    <n v="1"/>
    <n v="1"/>
    <n v="1"/>
    <x v="4"/>
    <x v="4"/>
    <n v="160"/>
    <n v="160"/>
  </r>
  <r>
    <x v="179"/>
    <n v="-5"/>
    <n v="0"/>
    <n v="4"/>
    <n v="3"/>
    <n v="3"/>
    <x v="1"/>
    <x v="2"/>
    <n v="134"/>
    <n v="536"/>
  </r>
  <r>
    <x v="180"/>
    <n v="1"/>
    <n v="15"/>
    <n v="2"/>
    <n v="2"/>
    <n v="2"/>
    <x v="3"/>
    <x v="1"/>
    <n v="189"/>
    <n v="378"/>
  </r>
  <r>
    <x v="181"/>
    <n v="60"/>
    <n v="25"/>
    <n v="70"/>
    <n v="4"/>
    <n v="3"/>
    <x v="0"/>
    <x v="1"/>
    <n v="177"/>
    <n v="12390"/>
  </r>
  <r>
    <x v="182"/>
    <n v="-1"/>
    <n v="0"/>
    <n v="1"/>
    <n v="1"/>
    <n v="1"/>
    <x v="2"/>
    <x v="1"/>
    <n v="105"/>
    <n v="105"/>
  </r>
  <r>
    <x v="183"/>
    <n v="1"/>
    <n v="15"/>
    <n v="2"/>
    <n v="2"/>
    <n v="2"/>
    <x v="4"/>
    <x v="0"/>
    <n v="174"/>
    <n v="348"/>
  </r>
  <r>
    <x v="184"/>
    <n v="5"/>
    <n v="18"/>
    <n v="8"/>
    <n v="8"/>
    <n v="7"/>
    <x v="0"/>
    <x v="0"/>
    <n v="173"/>
    <n v="1384"/>
  </r>
  <r>
    <x v="185"/>
    <n v="1"/>
    <n v="30"/>
    <n v="1"/>
    <n v="1"/>
    <n v="1"/>
    <x v="2"/>
    <x v="5"/>
    <n v="199"/>
    <n v="199"/>
  </r>
  <r>
    <x v="186"/>
    <n v="20"/>
    <n v="30"/>
    <n v="20"/>
    <n v="2"/>
    <n v="2"/>
    <x v="6"/>
    <x v="4"/>
    <n v="176"/>
    <n v="3520"/>
  </r>
  <r>
    <x v="187"/>
    <n v="6"/>
    <n v="30"/>
    <n v="6"/>
    <n v="5"/>
    <n v="4"/>
    <x v="1"/>
    <x v="6"/>
    <n v="111"/>
    <n v="666"/>
  </r>
  <r>
    <x v="188"/>
    <n v="2"/>
    <n v="30"/>
    <n v="2"/>
    <n v="2"/>
    <n v="1"/>
    <x v="5"/>
    <x v="1"/>
    <n v="182"/>
    <n v="364"/>
  </r>
  <r>
    <x v="189"/>
    <n v="1"/>
    <n v="30"/>
    <n v="1"/>
    <n v="1"/>
    <n v="1"/>
    <x v="3"/>
    <x v="4"/>
    <n v="90"/>
    <n v="90"/>
  </r>
  <r>
    <x v="190"/>
    <n v="10"/>
    <n v="30"/>
    <n v="10"/>
    <n v="1"/>
    <n v="1"/>
    <x v="3"/>
    <x v="6"/>
    <n v="131"/>
    <n v="1310"/>
  </r>
  <r>
    <x v="191"/>
    <n v="0"/>
    <n v="0"/>
    <n v="10"/>
    <n v="1"/>
    <n v="1"/>
    <x v="0"/>
    <x v="4"/>
    <n v="177"/>
    <n v="1770"/>
  </r>
  <r>
    <x v="192"/>
    <n v="-14"/>
    <n v="0"/>
    <n v="1"/>
    <n v="1"/>
    <n v="1"/>
    <x v="2"/>
    <x v="0"/>
    <n v="145"/>
    <n v="145"/>
  </r>
  <r>
    <x v="193"/>
    <n v="-1"/>
    <n v="0"/>
    <n v="1"/>
    <n v="1"/>
    <n v="1"/>
    <x v="1"/>
    <x v="3"/>
    <n v="121"/>
    <n v="121"/>
  </r>
  <r>
    <x v="194"/>
    <n v="2"/>
    <n v="30"/>
    <n v="2"/>
    <n v="2"/>
    <n v="2"/>
    <x v="5"/>
    <x v="1"/>
    <n v="84"/>
    <n v="168"/>
  </r>
  <r>
    <x v="195"/>
    <n v="3"/>
    <n v="22"/>
    <n v="4"/>
    <n v="4"/>
    <n v="4"/>
    <x v="4"/>
    <x v="4"/>
    <n v="138"/>
    <n v="552"/>
  </r>
  <r>
    <x v="196"/>
    <n v="15"/>
    <n v="30"/>
    <n v="15"/>
    <n v="1"/>
    <n v="1"/>
    <x v="3"/>
    <x v="3"/>
    <n v="191"/>
    <n v="2865"/>
  </r>
  <r>
    <x v="197"/>
    <n v="0"/>
    <n v="0"/>
    <n v="4"/>
    <n v="4"/>
    <n v="4"/>
    <x v="6"/>
    <x v="3"/>
    <n v="151"/>
    <n v="604"/>
  </r>
  <r>
    <x v="198"/>
    <n v="-1"/>
    <n v="0"/>
    <n v="1"/>
    <n v="1"/>
    <n v="1"/>
    <x v="4"/>
    <x v="1"/>
    <n v="168"/>
    <n v="168"/>
  </r>
  <r>
    <x v="199"/>
    <n v="-3"/>
    <n v="0"/>
    <n v="2"/>
    <n v="1"/>
    <n v="1"/>
    <x v="6"/>
    <x v="1"/>
    <n v="105"/>
    <n v="210"/>
  </r>
  <r>
    <x v="200"/>
    <n v="-67"/>
    <n v="0"/>
    <n v="5"/>
    <n v="5"/>
    <n v="5"/>
    <x v="2"/>
    <x v="3"/>
    <n v="90"/>
    <n v="450"/>
  </r>
  <r>
    <x v="201"/>
    <n v="1"/>
    <n v="10"/>
    <n v="3"/>
    <n v="2"/>
    <n v="2"/>
    <x v="0"/>
    <x v="1"/>
    <n v="231"/>
    <n v="693"/>
  </r>
  <r>
    <x v="202"/>
    <n v="1"/>
    <n v="15"/>
    <n v="2"/>
    <n v="2"/>
    <n v="2"/>
    <x v="6"/>
    <x v="4"/>
    <n v="262"/>
    <n v="524"/>
  </r>
  <r>
    <x v="203"/>
    <n v="3"/>
    <n v="11"/>
    <n v="8"/>
    <n v="1"/>
    <n v="1"/>
    <x v="2"/>
    <x v="6"/>
    <n v="148"/>
    <n v="1184"/>
  </r>
  <r>
    <x v="204"/>
    <n v="3"/>
    <n v="12"/>
    <n v="7"/>
    <n v="7"/>
    <n v="6"/>
    <x v="4"/>
    <x v="1"/>
    <n v="111"/>
    <n v="777"/>
  </r>
  <r>
    <x v="205"/>
    <n v="0"/>
    <n v="0"/>
    <n v="9"/>
    <n v="9"/>
    <n v="9"/>
    <x v="5"/>
    <x v="0"/>
    <n v="83"/>
    <n v="747"/>
  </r>
  <r>
    <x v="206"/>
    <n v="0"/>
    <n v="0"/>
    <n v="5"/>
    <n v="5"/>
    <n v="3"/>
    <x v="6"/>
    <x v="3"/>
    <n v="104"/>
    <n v="520"/>
  </r>
  <r>
    <x v="207"/>
    <n v="-1"/>
    <n v="0"/>
    <n v="1"/>
    <n v="1"/>
    <n v="1"/>
    <x v="0"/>
    <x v="5"/>
    <n v="164"/>
    <n v="164"/>
  </r>
  <r>
    <x v="208"/>
    <n v="1"/>
    <n v="3"/>
    <n v="10"/>
    <n v="5"/>
    <n v="5"/>
    <x v="1"/>
    <x v="4"/>
    <n v="128"/>
    <n v="1280"/>
  </r>
  <r>
    <x v="209"/>
    <n v="0"/>
    <n v="0"/>
    <n v="1"/>
    <n v="1"/>
    <n v="1"/>
    <x v="3"/>
    <x v="3"/>
    <n v="184"/>
    <n v="184"/>
  </r>
  <r>
    <x v="210"/>
    <n v="0"/>
    <n v="0"/>
    <n v="1"/>
    <n v="1"/>
    <n v="1"/>
    <x v="1"/>
    <x v="6"/>
    <n v="176"/>
    <n v="176"/>
  </r>
  <r>
    <x v="211"/>
    <n v="5"/>
    <n v="18"/>
    <n v="8"/>
    <n v="7"/>
    <n v="7"/>
    <x v="2"/>
    <x v="2"/>
    <n v="193"/>
    <n v="1544"/>
  </r>
  <r>
    <x v="212"/>
    <n v="0"/>
    <n v="0"/>
    <n v="1"/>
    <n v="1"/>
    <n v="1"/>
    <x v="1"/>
    <x v="3"/>
    <n v="93"/>
    <n v="93"/>
  </r>
  <r>
    <x v="213"/>
    <n v="-6"/>
    <n v="0"/>
    <n v="2"/>
    <n v="2"/>
    <n v="2"/>
    <x v="1"/>
    <x v="4"/>
    <n v="171"/>
    <n v="342"/>
  </r>
  <r>
    <x v="214"/>
    <n v="-10"/>
    <n v="0"/>
    <n v="4"/>
    <n v="1"/>
    <n v="1"/>
    <x v="6"/>
    <x v="2"/>
    <n v="183"/>
    <n v="732"/>
  </r>
  <r>
    <x v="215"/>
    <n v="-22"/>
    <n v="0"/>
    <n v="1"/>
    <n v="1"/>
    <n v="1"/>
    <x v="0"/>
    <x v="1"/>
    <n v="175"/>
    <n v="175"/>
  </r>
  <r>
    <x v="216"/>
    <n v="20"/>
    <n v="12"/>
    <n v="50"/>
    <n v="4"/>
    <n v="4"/>
    <x v="2"/>
    <x v="4"/>
    <n v="153"/>
    <n v="7650"/>
  </r>
  <r>
    <x v="217"/>
    <n v="1"/>
    <n v="15"/>
    <n v="2"/>
    <n v="2"/>
    <n v="2"/>
    <x v="1"/>
    <x v="4"/>
    <n v="185"/>
    <n v="370"/>
  </r>
  <r>
    <x v="218"/>
    <n v="-14"/>
    <n v="0"/>
    <n v="1"/>
    <n v="1"/>
    <n v="1"/>
    <x v="4"/>
    <x v="5"/>
    <n v="115"/>
    <n v="115"/>
  </r>
  <r>
    <x v="219"/>
    <n v="10"/>
    <n v="30"/>
    <n v="10"/>
    <n v="1"/>
    <n v="1"/>
    <x v="4"/>
    <x v="4"/>
    <n v="135"/>
    <n v="1350"/>
  </r>
  <r>
    <x v="220"/>
    <n v="0"/>
    <n v="0"/>
    <n v="10"/>
    <n v="1"/>
    <n v="1"/>
    <x v="4"/>
    <x v="5"/>
    <n v="190"/>
    <n v="1900"/>
  </r>
  <r>
    <x v="221"/>
    <n v="-1"/>
    <n v="0"/>
    <n v="3"/>
    <n v="3"/>
    <n v="3"/>
    <x v="6"/>
    <x v="2"/>
    <n v="188"/>
    <n v="564"/>
  </r>
  <r>
    <x v="222"/>
    <n v="0"/>
    <n v="0"/>
    <n v="1"/>
    <n v="1"/>
    <n v="1"/>
    <x v="1"/>
    <x v="5"/>
    <n v="164"/>
    <n v="164"/>
  </r>
  <r>
    <x v="223"/>
    <n v="-1"/>
    <n v="0"/>
    <n v="1"/>
    <n v="1"/>
    <n v="1"/>
    <x v="2"/>
    <x v="6"/>
    <n v="155"/>
    <n v="155"/>
  </r>
  <r>
    <x v="224"/>
    <n v="30"/>
    <n v="8"/>
    <n v="105"/>
    <n v="5"/>
    <n v="5"/>
    <x v="0"/>
    <x v="1"/>
    <n v="159"/>
    <n v="16695"/>
  </r>
  <r>
    <x v="225"/>
    <n v="1"/>
    <n v="10"/>
    <n v="3"/>
    <n v="3"/>
    <n v="3"/>
    <x v="1"/>
    <x v="6"/>
    <n v="117"/>
    <n v="351"/>
  </r>
  <r>
    <x v="226"/>
    <n v="45"/>
    <n v="30"/>
    <n v="45"/>
    <n v="2"/>
    <n v="2"/>
    <x v="6"/>
    <x v="3"/>
    <n v="199"/>
    <n v="8955"/>
  </r>
  <r>
    <x v="227"/>
    <n v="1"/>
    <n v="30"/>
    <n v="1"/>
    <n v="1"/>
    <n v="1"/>
    <x v="6"/>
    <x v="2"/>
    <n v="186"/>
    <n v="186"/>
  </r>
  <r>
    <x v="228"/>
    <n v="-10"/>
    <n v="0"/>
    <n v="10"/>
    <n v="1"/>
    <n v="1"/>
    <x v="6"/>
    <x v="0"/>
    <n v="172"/>
    <n v="1720"/>
  </r>
  <r>
    <x v="229"/>
    <n v="-138"/>
    <n v="0"/>
    <n v="3"/>
    <n v="1"/>
    <n v="1"/>
    <x v="4"/>
    <x v="6"/>
    <n v="187"/>
    <n v="561"/>
  </r>
  <r>
    <x v="230"/>
    <n v="8"/>
    <n v="24"/>
    <n v="10"/>
    <n v="10"/>
    <n v="8"/>
    <x v="0"/>
    <x v="6"/>
    <n v="138"/>
    <n v="1380"/>
  </r>
  <r>
    <x v="231"/>
    <n v="461"/>
    <n v="23"/>
    <n v="580"/>
    <n v="22"/>
    <n v="17"/>
    <x v="0"/>
    <x v="3"/>
    <n v="117"/>
    <n v="67860"/>
  </r>
  <r>
    <x v="232"/>
    <n v="2"/>
    <n v="30"/>
    <n v="2"/>
    <n v="2"/>
    <n v="2"/>
    <x v="6"/>
    <x v="2"/>
    <n v="149"/>
    <n v="298"/>
  </r>
  <r>
    <x v="233"/>
    <n v="3"/>
    <n v="22"/>
    <n v="4"/>
    <n v="4"/>
    <n v="3"/>
    <x v="5"/>
    <x v="5"/>
    <n v="83"/>
    <n v="332"/>
  </r>
  <r>
    <x v="234"/>
    <n v="0"/>
    <n v="0"/>
    <n v="1"/>
    <n v="1"/>
    <n v="1"/>
    <x v="6"/>
    <x v="3"/>
    <n v="191"/>
    <n v="191"/>
  </r>
  <r>
    <x v="235"/>
    <n v="-13"/>
    <n v="0"/>
    <n v="2"/>
    <n v="2"/>
    <n v="2"/>
    <x v="2"/>
    <x v="6"/>
    <n v="200"/>
    <n v="400"/>
  </r>
  <r>
    <x v="236"/>
    <n v="-2"/>
    <n v="0"/>
    <n v="2"/>
    <n v="1"/>
    <n v="1"/>
    <x v="2"/>
    <x v="1"/>
    <n v="91"/>
    <n v="182"/>
  </r>
  <r>
    <x v="237"/>
    <n v="-13"/>
    <n v="0"/>
    <n v="2"/>
    <n v="2"/>
    <n v="2"/>
    <x v="6"/>
    <x v="3"/>
    <n v="176"/>
    <n v="352"/>
  </r>
  <r>
    <x v="238"/>
    <n v="1"/>
    <n v="30"/>
    <n v="1"/>
    <n v="1"/>
    <n v="1"/>
    <x v="0"/>
    <x v="1"/>
    <n v="112"/>
    <n v="112"/>
  </r>
  <r>
    <x v="239"/>
    <n v="50"/>
    <n v="25"/>
    <n v="60"/>
    <n v="5"/>
    <n v="4"/>
    <x v="2"/>
    <x v="1"/>
    <n v="161"/>
    <n v="9660"/>
  </r>
  <r>
    <x v="240"/>
    <n v="10"/>
    <n v="3"/>
    <n v="80"/>
    <n v="5"/>
    <n v="3"/>
    <x v="6"/>
    <x v="6"/>
    <n v="131"/>
    <n v="10480"/>
  </r>
  <r>
    <x v="241"/>
    <n v="-15"/>
    <n v="0"/>
    <n v="60"/>
    <n v="4"/>
    <n v="4"/>
    <x v="0"/>
    <x v="3"/>
    <n v="123"/>
    <n v="7380"/>
  </r>
  <r>
    <x v="242"/>
    <n v="0"/>
    <n v="0"/>
    <n v="2"/>
    <n v="2"/>
    <n v="2"/>
    <x v="2"/>
    <x v="2"/>
    <n v="93"/>
    <n v="186"/>
  </r>
  <r>
    <x v="243"/>
    <n v="1"/>
    <n v="2"/>
    <n v="11"/>
    <n v="3"/>
    <n v="3"/>
    <x v="6"/>
    <x v="2"/>
    <n v="85"/>
    <n v="935"/>
  </r>
  <r>
    <x v="244"/>
    <n v="0"/>
    <n v="0"/>
    <n v="2"/>
    <n v="2"/>
    <n v="2"/>
    <x v="1"/>
    <x v="5"/>
    <n v="187"/>
    <n v="374"/>
  </r>
  <r>
    <x v="245"/>
    <n v="4"/>
    <n v="24"/>
    <n v="5"/>
    <n v="5"/>
    <n v="4"/>
    <x v="2"/>
    <x v="2"/>
    <n v="173"/>
    <n v="865"/>
  </r>
  <r>
    <x v="246"/>
    <n v="1"/>
    <n v="6"/>
    <n v="5"/>
    <n v="7"/>
    <n v="6"/>
    <x v="6"/>
    <x v="4"/>
    <n v="81"/>
    <n v="405"/>
  </r>
  <r>
    <x v="247"/>
    <n v="0"/>
    <n v="0"/>
    <n v="3"/>
    <n v="3"/>
    <n v="3"/>
    <x v="5"/>
    <x v="2"/>
    <n v="125"/>
    <n v="375"/>
  </r>
  <r>
    <x v="248"/>
    <n v="-3"/>
    <n v="0"/>
    <n v="1"/>
    <n v="1"/>
    <n v="1"/>
    <x v="6"/>
    <x v="2"/>
    <n v="165"/>
    <n v="165"/>
  </r>
  <r>
    <x v="249"/>
    <n v="0"/>
    <n v="0"/>
    <n v="2"/>
    <n v="2"/>
    <n v="1"/>
    <x v="2"/>
    <x v="6"/>
    <n v="88"/>
    <n v="176"/>
  </r>
  <r>
    <x v="250"/>
    <n v="1"/>
    <n v="15"/>
    <n v="2"/>
    <n v="2"/>
    <n v="2"/>
    <x v="3"/>
    <x v="1"/>
    <n v="119"/>
    <n v="238"/>
  </r>
  <r>
    <x v="251"/>
    <n v="2"/>
    <n v="30"/>
    <n v="2"/>
    <n v="2"/>
    <n v="2"/>
    <x v="6"/>
    <x v="3"/>
    <n v="113"/>
    <n v="226"/>
  </r>
  <r>
    <x v="252"/>
    <n v="0"/>
    <n v="0"/>
    <n v="1"/>
    <n v="1"/>
    <n v="1"/>
    <x v="6"/>
    <x v="0"/>
    <n v="117"/>
    <n v="117"/>
  </r>
  <r>
    <x v="253"/>
    <n v="0"/>
    <n v="0"/>
    <n v="1"/>
    <n v="1"/>
    <n v="1"/>
    <x v="5"/>
    <x v="1"/>
    <n v="182"/>
    <n v="182"/>
  </r>
  <r>
    <x v="254"/>
    <n v="-45"/>
    <n v="0"/>
    <n v="15"/>
    <n v="1"/>
    <n v="1"/>
    <x v="4"/>
    <x v="3"/>
    <n v="156"/>
    <n v="2340"/>
  </r>
  <r>
    <x v="255"/>
    <n v="-7"/>
    <n v="0"/>
    <n v="2"/>
    <n v="2"/>
    <n v="2"/>
    <x v="0"/>
    <x v="4"/>
    <n v="80"/>
    <n v="160"/>
  </r>
  <r>
    <x v="256"/>
    <n v="1"/>
    <n v="15"/>
    <n v="2"/>
    <n v="2"/>
    <n v="2"/>
    <x v="1"/>
    <x v="6"/>
    <n v="158"/>
    <n v="316"/>
  </r>
  <r>
    <x v="257"/>
    <n v="101"/>
    <n v="17"/>
    <n v="169"/>
    <n v="13"/>
    <n v="9"/>
    <x v="6"/>
    <x v="5"/>
    <n v="150"/>
    <n v="25350"/>
  </r>
  <r>
    <x v="258"/>
    <n v="4"/>
    <n v="24"/>
    <n v="5"/>
    <n v="5"/>
    <n v="4"/>
    <x v="5"/>
    <x v="2"/>
    <n v="131"/>
    <n v="655"/>
  </r>
  <r>
    <x v="259"/>
    <n v="1"/>
    <n v="30"/>
    <n v="1"/>
    <n v="1"/>
    <n v="1"/>
    <x v="4"/>
    <x v="2"/>
    <n v="102"/>
    <n v="102"/>
  </r>
  <r>
    <x v="260"/>
    <n v="1"/>
    <n v="30"/>
    <n v="1"/>
    <n v="1"/>
    <n v="1"/>
    <x v="5"/>
    <x v="3"/>
    <n v="100"/>
    <n v="100"/>
  </r>
  <r>
    <x v="261"/>
    <n v="1"/>
    <n v="30"/>
    <n v="1"/>
    <n v="1"/>
    <n v="1"/>
    <x v="3"/>
    <x v="3"/>
    <n v="114"/>
    <n v="114"/>
  </r>
  <r>
    <x v="262"/>
    <n v="-2"/>
    <n v="0"/>
    <n v="3"/>
    <n v="3"/>
    <n v="3"/>
    <x v="5"/>
    <x v="4"/>
    <n v="114"/>
    <n v="342"/>
  </r>
  <r>
    <x v="263"/>
    <n v="-10"/>
    <n v="0"/>
    <n v="10"/>
    <n v="1"/>
    <n v="1"/>
    <x v="4"/>
    <x v="5"/>
    <n v="169"/>
    <n v="1690"/>
  </r>
  <r>
    <x v="264"/>
    <n v="-4"/>
    <n v="0"/>
    <n v="4"/>
    <n v="4"/>
    <n v="3"/>
    <x v="4"/>
    <x v="4"/>
    <n v="103"/>
    <n v="412"/>
  </r>
  <r>
    <x v="265"/>
    <n v="3"/>
    <n v="22"/>
    <n v="4"/>
    <n v="3"/>
    <n v="3"/>
    <x v="5"/>
    <x v="2"/>
    <n v="141"/>
    <n v="564"/>
  </r>
  <r>
    <x v="266"/>
    <n v="0"/>
    <n v="0"/>
    <n v="4"/>
    <n v="4"/>
    <n v="3"/>
    <x v="4"/>
    <x v="2"/>
    <n v="127"/>
    <n v="508"/>
  </r>
  <r>
    <x v="267"/>
    <n v="-10"/>
    <n v="0"/>
    <n v="2"/>
    <n v="2"/>
    <n v="2"/>
    <x v="6"/>
    <x v="0"/>
    <n v="118"/>
    <n v="236"/>
  </r>
  <r>
    <x v="268"/>
    <n v="-11"/>
    <n v="0"/>
    <n v="3"/>
    <n v="2"/>
    <n v="2"/>
    <x v="4"/>
    <x v="4"/>
    <n v="72"/>
    <n v="216"/>
  </r>
  <r>
    <x v="269"/>
    <n v="2"/>
    <n v="15"/>
    <n v="4"/>
    <n v="4"/>
    <n v="4"/>
    <x v="4"/>
    <x v="6"/>
    <n v="86"/>
    <n v="344"/>
  </r>
  <r>
    <x v="270"/>
    <n v="5"/>
    <n v="30"/>
    <n v="5"/>
    <n v="3"/>
    <n v="3"/>
    <x v="4"/>
    <x v="5"/>
    <n v="79"/>
    <n v="395"/>
  </r>
  <r>
    <x v="271"/>
    <n v="1"/>
    <n v="30"/>
    <n v="1"/>
    <n v="1"/>
    <n v="1"/>
    <x v="5"/>
    <x v="5"/>
    <n v="122"/>
    <n v="122"/>
  </r>
  <r>
    <x v="272"/>
    <n v="-12"/>
    <n v="0"/>
    <n v="4"/>
    <n v="4"/>
    <n v="4"/>
    <x v="2"/>
    <x v="6"/>
    <n v="156"/>
    <n v="624"/>
  </r>
  <r>
    <x v="273"/>
    <n v="0"/>
    <n v="0"/>
    <n v="5"/>
    <n v="5"/>
    <n v="4"/>
    <x v="6"/>
    <x v="6"/>
    <n v="129"/>
    <n v="645"/>
  </r>
  <r>
    <x v="274"/>
    <n v="-2"/>
    <n v="0"/>
    <n v="2"/>
    <n v="2"/>
    <n v="2"/>
    <x v="4"/>
    <x v="5"/>
    <n v="117"/>
    <n v="234"/>
  </r>
  <r>
    <x v="275"/>
    <n v="0"/>
    <n v="0"/>
    <n v="2"/>
    <n v="2"/>
    <n v="2"/>
    <x v="5"/>
    <x v="6"/>
    <n v="200"/>
    <n v="400"/>
  </r>
  <r>
    <x v="276"/>
    <n v="-6"/>
    <n v="0"/>
    <n v="1"/>
    <n v="1"/>
    <n v="1"/>
    <x v="6"/>
    <x v="4"/>
    <n v="188"/>
    <n v="188"/>
  </r>
  <r>
    <x v="277"/>
    <n v="-10"/>
    <n v="0"/>
    <n v="10"/>
    <n v="1"/>
    <n v="1"/>
    <x v="6"/>
    <x v="2"/>
    <n v="104"/>
    <n v="1040"/>
  </r>
  <r>
    <x v="278"/>
    <n v="2"/>
    <n v="12"/>
    <n v="5"/>
    <n v="5"/>
    <n v="4"/>
    <x v="5"/>
    <x v="0"/>
    <n v="113"/>
    <n v="565"/>
  </r>
  <r>
    <x v="279"/>
    <n v="11"/>
    <n v="19"/>
    <n v="17"/>
    <n v="17"/>
    <n v="13"/>
    <x v="3"/>
    <x v="5"/>
    <n v="71"/>
    <n v="1207"/>
  </r>
  <r>
    <x v="280"/>
    <n v="4"/>
    <n v="30"/>
    <n v="4"/>
    <n v="1"/>
    <n v="1"/>
    <x v="1"/>
    <x v="0"/>
    <n v="164"/>
    <n v="656"/>
  </r>
  <r>
    <x v="281"/>
    <n v="1"/>
    <n v="30"/>
    <n v="1"/>
    <n v="1"/>
    <n v="1"/>
    <x v="5"/>
    <x v="5"/>
    <n v="192"/>
    <n v="192"/>
  </r>
  <r>
    <x v="282"/>
    <n v="0"/>
    <n v="0"/>
    <n v="1"/>
    <n v="1"/>
    <n v="1"/>
    <x v="4"/>
    <x v="4"/>
    <n v="83"/>
    <n v="83"/>
  </r>
  <r>
    <x v="283"/>
    <n v="72"/>
    <n v="16"/>
    <n v="128"/>
    <n v="6"/>
    <n v="6"/>
    <x v="4"/>
    <x v="2"/>
    <n v="184"/>
    <n v="23552"/>
  </r>
  <r>
    <x v="284"/>
    <n v="1"/>
    <n v="10"/>
    <n v="3"/>
    <n v="3"/>
    <n v="3"/>
    <x v="1"/>
    <x v="0"/>
    <n v="158"/>
    <n v="474"/>
  </r>
  <r>
    <x v="285"/>
    <n v="45"/>
    <n v="30"/>
    <n v="45"/>
    <n v="3"/>
    <n v="3"/>
    <x v="2"/>
    <x v="0"/>
    <n v="102"/>
    <n v="4590"/>
  </r>
  <r>
    <x v="286"/>
    <n v="5"/>
    <n v="30"/>
    <n v="5"/>
    <n v="5"/>
    <n v="4"/>
    <x v="4"/>
    <x v="6"/>
    <n v="290"/>
    <n v="1450"/>
  </r>
  <r>
    <x v="287"/>
    <n v="1"/>
    <n v="30"/>
    <n v="1"/>
    <n v="1"/>
    <n v="1"/>
    <x v="1"/>
    <x v="1"/>
    <n v="168"/>
    <n v="168"/>
  </r>
  <r>
    <x v="288"/>
    <n v="1"/>
    <n v="30"/>
    <n v="1"/>
    <n v="1"/>
    <n v="1"/>
    <x v="1"/>
    <x v="3"/>
    <n v="170"/>
    <n v="170"/>
  </r>
  <r>
    <x v="289"/>
    <n v="3"/>
    <n v="30"/>
    <n v="3"/>
    <n v="2"/>
    <n v="2"/>
    <x v="6"/>
    <x v="6"/>
    <n v="138"/>
    <n v="414"/>
  </r>
  <r>
    <x v="290"/>
    <n v="1"/>
    <n v="30"/>
    <n v="1"/>
    <n v="1"/>
    <n v="1"/>
    <x v="6"/>
    <x v="1"/>
    <n v="133"/>
    <n v="133"/>
  </r>
  <r>
    <x v="291"/>
    <n v="1"/>
    <n v="6"/>
    <n v="5"/>
    <n v="1"/>
    <n v="1"/>
    <x v="5"/>
    <x v="6"/>
    <n v="122"/>
    <n v="610"/>
  </r>
  <r>
    <x v="292"/>
    <n v="-3"/>
    <n v="0"/>
    <n v="2"/>
    <n v="2"/>
    <n v="2"/>
    <x v="4"/>
    <x v="3"/>
    <n v="120"/>
    <n v="240"/>
  </r>
  <r>
    <x v="293"/>
    <n v="0"/>
    <n v="0"/>
    <n v="1"/>
    <n v="1"/>
    <n v="1"/>
    <x v="5"/>
    <x v="4"/>
    <n v="125"/>
    <n v="125"/>
  </r>
  <r>
    <x v="294"/>
    <n v="3"/>
    <n v="30"/>
    <n v="3"/>
    <n v="3"/>
    <n v="3"/>
    <x v="4"/>
    <x v="1"/>
    <n v="119"/>
    <n v="357"/>
  </r>
  <r>
    <x v="295"/>
    <n v="5"/>
    <n v="25"/>
    <n v="6"/>
    <n v="5"/>
    <n v="4"/>
    <x v="6"/>
    <x v="0"/>
    <n v="86"/>
    <n v="516"/>
  </r>
  <r>
    <x v="296"/>
    <n v="2"/>
    <n v="20"/>
    <n v="3"/>
    <n v="3"/>
    <n v="3"/>
    <x v="6"/>
    <x v="1"/>
    <n v="126"/>
    <n v="378"/>
  </r>
  <r>
    <x v="297"/>
    <n v="10"/>
    <n v="4"/>
    <n v="70"/>
    <n v="2"/>
    <n v="2"/>
    <x v="4"/>
    <x v="1"/>
    <n v="158"/>
    <n v="11060"/>
  </r>
  <r>
    <x v="298"/>
    <n v="-2"/>
    <n v="0"/>
    <n v="2"/>
    <n v="2"/>
    <n v="2"/>
    <x v="4"/>
    <x v="4"/>
    <n v="129"/>
    <n v="258"/>
  </r>
  <r>
    <x v="299"/>
    <n v="-5"/>
    <n v="0"/>
    <n v="1"/>
    <n v="1"/>
    <n v="1"/>
    <x v="2"/>
    <x v="4"/>
    <n v="153"/>
    <n v="153"/>
  </r>
  <r>
    <x v="300"/>
    <n v="-1"/>
    <n v="0"/>
    <n v="1"/>
    <n v="1"/>
    <n v="1"/>
    <x v="3"/>
    <x v="3"/>
    <n v="177"/>
    <n v="177"/>
  </r>
  <r>
    <x v="301"/>
    <n v="0"/>
    <n v="0"/>
    <n v="2"/>
    <n v="2"/>
    <n v="2"/>
    <x v="4"/>
    <x v="2"/>
    <n v="170"/>
    <n v="340"/>
  </r>
  <r>
    <x v="302"/>
    <n v="0"/>
    <n v="0"/>
    <n v="1"/>
    <n v="1"/>
    <n v="1"/>
    <x v="0"/>
    <x v="4"/>
    <n v="188"/>
    <n v="188"/>
  </r>
  <r>
    <x v="303"/>
    <n v="3"/>
    <n v="12"/>
    <n v="7"/>
    <n v="7"/>
    <n v="6"/>
    <x v="2"/>
    <x v="1"/>
    <n v="90"/>
    <n v="630"/>
  </r>
  <r>
    <x v="304"/>
    <n v="28"/>
    <n v="30"/>
    <n v="28"/>
    <n v="3"/>
    <n v="3"/>
    <x v="4"/>
    <x v="1"/>
    <n v="132"/>
    <n v="3696"/>
  </r>
  <r>
    <x v="305"/>
    <n v="15"/>
    <n v="30"/>
    <n v="15"/>
    <n v="1"/>
    <n v="1"/>
    <x v="2"/>
    <x v="6"/>
    <n v="148"/>
    <n v="2220"/>
  </r>
  <r>
    <x v="306"/>
    <n v="63"/>
    <n v="18"/>
    <n v="100"/>
    <n v="15"/>
    <n v="10"/>
    <x v="5"/>
    <x v="2"/>
    <n v="184"/>
    <n v="18400"/>
  </r>
  <r>
    <x v="307"/>
    <n v="2"/>
    <n v="20"/>
    <n v="3"/>
    <n v="3"/>
    <n v="3"/>
    <x v="1"/>
    <x v="4"/>
    <n v="128"/>
    <n v="384"/>
  </r>
  <r>
    <x v="308"/>
    <n v="1"/>
    <n v="30"/>
    <n v="1"/>
    <n v="1"/>
    <n v="1"/>
    <x v="4"/>
    <x v="5"/>
    <n v="185"/>
    <n v="185"/>
  </r>
  <r>
    <x v="309"/>
    <n v="1"/>
    <n v="6"/>
    <n v="5"/>
    <n v="5"/>
    <n v="5"/>
    <x v="2"/>
    <x v="2"/>
    <n v="75"/>
    <n v="375"/>
  </r>
  <r>
    <x v="310"/>
    <n v="0"/>
    <n v="0"/>
    <n v="15"/>
    <n v="1"/>
    <n v="1"/>
    <x v="2"/>
    <x v="2"/>
    <n v="130"/>
    <n v="1950"/>
  </r>
  <r>
    <x v="311"/>
    <n v="0"/>
    <n v="0"/>
    <n v="2"/>
    <n v="2"/>
    <n v="2"/>
    <x v="2"/>
    <x v="3"/>
    <n v="197"/>
    <n v="394"/>
  </r>
  <r>
    <x v="312"/>
    <n v="-2"/>
    <n v="0"/>
    <n v="2"/>
    <n v="2"/>
    <n v="2"/>
    <x v="3"/>
    <x v="0"/>
    <n v="167"/>
    <n v="334"/>
  </r>
  <r>
    <x v="313"/>
    <n v="20"/>
    <n v="20"/>
    <n v="30"/>
    <n v="3"/>
    <n v="3"/>
    <x v="1"/>
    <x v="1"/>
    <n v="182"/>
    <n v="5460"/>
  </r>
  <r>
    <x v="314"/>
    <n v="-7"/>
    <n v="0"/>
    <n v="1"/>
    <n v="1"/>
    <n v="1"/>
    <x v="2"/>
    <x v="2"/>
    <n v="158"/>
    <n v="158"/>
  </r>
  <r>
    <x v="315"/>
    <n v="3"/>
    <n v="30"/>
    <n v="3"/>
    <n v="3"/>
    <n v="3"/>
    <x v="4"/>
    <x v="5"/>
    <n v="78"/>
    <n v="234"/>
  </r>
  <r>
    <x v="316"/>
    <n v="0"/>
    <n v="0"/>
    <n v="2"/>
    <n v="2"/>
    <n v="2"/>
    <x v="5"/>
    <x v="3"/>
    <n v="162"/>
    <n v="324"/>
  </r>
  <r>
    <x v="317"/>
    <n v="0"/>
    <n v="0"/>
    <n v="2"/>
    <n v="2"/>
    <n v="2"/>
    <x v="1"/>
    <x v="4"/>
    <n v="199"/>
    <n v="398"/>
  </r>
  <r>
    <x v="318"/>
    <n v="0"/>
    <n v="0"/>
    <n v="1"/>
    <n v="1"/>
    <n v="1"/>
    <x v="4"/>
    <x v="0"/>
    <n v="89"/>
    <n v="89"/>
  </r>
  <r>
    <x v="319"/>
    <n v="1"/>
    <n v="10"/>
    <n v="3"/>
    <n v="3"/>
    <n v="2"/>
    <x v="2"/>
    <x v="4"/>
    <n v="184"/>
    <n v="552"/>
  </r>
  <r>
    <x v="320"/>
    <n v="7"/>
    <n v="21"/>
    <n v="10"/>
    <n v="9"/>
    <n v="8"/>
    <x v="3"/>
    <x v="3"/>
    <n v="178"/>
    <n v="1780"/>
  </r>
  <r>
    <x v="321"/>
    <n v="6"/>
    <n v="30"/>
    <n v="6"/>
    <n v="1"/>
    <n v="1"/>
    <x v="6"/>
    <x v="1"/>
    <n v="140"/>
    <n v="840"/>
  </r>
  <r>
    <x v="322"/>
    <n v="-3"/>
    <n v="0"/>
    <n v="3"/>
    <n v="3"/>
    <n v="3"/>
    <x v="5"/>
    <x v="3"/>
    <n v="185"/>
    <n v="555"/>
  </r>
  <r>
    <x v="323"/>
    <n v="-17"/>
    <n v="0"/>
    <n v="3"/>
    <n v="3"/>
    <n v="3"/>
    <x v="2"/>
    <x v="2"/>
    <n v="111"/>
    <n v="333"/>
  </r>
  <r>
    <x v="324"/>
    <n v="0"/>
    <n v="0"/>
    <n v="1"/>
    <n v="1"/>
    <n v="1"/>
    <x v="5"/>
    <x v="0"/>
    <n v="103"/>
    <n v="103"/>
  </r>
  <r>
    <x v="325"/>
    <n v="1"/>
    <n v="15"/>
    <n v="2"/>
    <n v="2"/>
    <n v="2"/>
    <x v="1"/>
    <x v="6"/>
    <n v="144"/>
    <n v="288"/>
  </r>
  <r>
    <x v="326"/>
    <n v="3"/>
    <n v="30"/>
    <n v="3"/>
    <n v="3"/>
    <n v="3"/>
    <x v="6"/>
    <x v="0"/>
    <n v="123"/>
    <n v="369"/>
  </r>
  <r>
    <x v="327"/>
    <n v="0"/>
    <n v="0"/>
    <n v="1"/>
    <n v="1"/>
    <n v="1"/>
    <x v="4"/>
    <x v="5"/>
    <n v="185"/>
    <n v="185"/>
  </r>
  <r>
    <x v="328"/>
    <n v="-2"/>
    <n v="0"/>
    <n v="1"/>
    <n v="1"/>
    <n v="1"/>
    <x v="5"/>
    <x v="5"/>
    <n v="199"/>
    <n v="199"/>
  </r>
  <r>
    <x v="329"/>
    <n v="1"/>
    <n v="15"/>
    <n v="2"/>
    <n v="2"/>
    <n v="2"/>
    <x v="1"/>
    <x v="6"/>
    <n v="137"/>
    <n v="274"/>
  </r>
  <r>
    <x v="330"/>
    <n v="30"/>
    <n v="15"/>
    <n v="60"/>
    <n v="1"/>
    <n v="1"/>
    <x v="4"/>
    <x v="5"/>
    <n v="111"/>
    <n v="6660"/>
  </r>
  <r>
    <x v="331"/>
    <n v="20"/>
    <n v="30"/>
    <n v="20"/>
    <n v="2"/>
    <n v="2"/>
    <x v="2"/>
    <x v="6"/>
    <n v="132"/>
    <n v="2640"/>
  </r>
  <r>
    <x v="332"/>
    <n v="1"/>
    <n v="30"/>
    <n v="1"/>
    <n v="1"/>
    <n v="1"/>
    <x v="1"/>
    <x v="4"/>
    <n v="104"/>
    <n v="104"/>
  </r>
  <r>
    <x v="333"/>
    <n v="1"/>
    <n v="30"/>
    <n v="1"/>
    <n v="1"/>
    <n v="1"/>
    <x v="2"/>
    <x v="6"/>
    <n v="120"/>
    <n v="120"/>
  </r>
  <r>
    <x v="334"/>
    <n v="4"/>
    <n v="30"/>
    <n v="4"/>
    <n v="1"/>
    <n v="1"/>
    <x v="6"/>
    <x v="2"/>
    <n v="78"/>
    <n v="312"/>
  </r>
  <r>
    <x v="335"/>
    <n v="-1"/>
    <n v="0"/>
    <n v="1"/>
    <n v="1"/>
    <n v="1"/>
    <x v="3"/>
    <x v="5"/>
    <n v="150"/>
    <n v="150"/>
  </r>
  <r>
    <x v="336"/>
    <n v="0"/>
    <n v="0"/>
    <n v="10"/>
    <n v="1"/>
    <n v="1"/>
    <x v="6"/>
    <x v="2"/>
    <n v="195"/>
    <n v="1950"/>
  </r>
  <r>
    <x v="337"/>
    <n v="-84"/>
    <n v="0"/>
    <n v="20"/>
    <n v="2"/>
    <n v="2"/>
    <x v="3"/>
    <x v="3"/>
    <n v="187"/>
    <n v="3740"/>
  </r>
  <r>
    <x v="338"/>
    <n v="0"/>
    <n v="0"/>
    <n v="2"/>
    <n v="2"/>
    <n v="2"/>
    <x v="3"/>
    <x v="5"/>
    <n v="110"/>
    <n v="220"/>
  </r>
  <r>
    <x v="339"/>
    <m/>
    <m/>
    <m/>
    <m/>
    <m/>
    <x v="0"/>
    <x v="1"/>
    <n v="122"/>
    <n v="0"/>
  </r>
  <r>
    <x v="340"/>
    <n v="0"/>
    <n v="0"/>
    <n v="6"/>
    <n v="6"/>
    <n v="5"/>
    <x v="5"/>
    <x v="5"/>
    <n v="123"/>
    <n v="738"/>
  </r>
  <r>
    <x v="341"/>
    <n v="-13"/>
    <n v="0"/>
    <n v="4"/>
    <n v="4"/>
    <n v="4"/>
    <x v="3"/>
    <x v="6"/>
    <n v="184"/>
    <n v="736"/>
  </r>
  <r>
    <x v="342"/>
    <n v="0"/>
    <n v="0"/>
    <n v="75"/>
    <n v="4"/>
    <n v="4"/>
    <x v="6"/>
    <x v="4"/>
    <n v="74"/>
    <n v="5550"/>
  </r>
  <r>
    <x v="343"/>
    <n v="40"/>
    <n v="10"/>
    <n v="120"/>
    <n v="6"/>
    <n v="5"/>
    <x v="4"/>
    <x v="2"/>
    <n v="74"/>
    <n v="8880"/>
  </r>
  <r>
    <x v="344"/>
    <n v="3"/>
    <n v="15"/>
    <n v="6"/>
    <n v="6"/>
    <n v="6"/>
    <x v="0"/>
    <x v="1"/>
    <n v="70"/>
    <n v="420"/>
  </r>
  <r>
    <x v="345"/>
    <n v="90"/>
    <n v="22"/>
    <n v="120"/>
    <n v="4"/>
    <n v="3"/>
    <x v="2"/>
    <x v="5"/>
    <n v="115"/>
    <n v="13800"/>
  </r>
  <r>
    <x v="346"/>
    <n v="28"/>
    <n v="20"/>
    <n v="42"/>
    <n v="3"/>
    <n v="3"/>
    <x v="0"/>
    <x v="1"/>
    <n v="61"/>
    <n v="2562"/>
  </r>
  <r>
    <x v="347"/>
    <n v="1"/>
    <n v="30"/>
    <n v="1"/>
    <n v="1"/>
    <n v="1"/>
    <x v="0"/>
    <x v="1"/>
    <n v="140"/>
    <n v="140"/>
  </r>
  <r>
    <x v="348"/>
    <n v="-20"/>
    <n v="0"/>
    <n v="40"/>
    <n v="3"/>
    <n v="3"/>
    <x v="2"/>
    <x v="6"/>
    <n v="136"/>
    <n v="5440"/>
  </r>
  <r>
    <x v="349"/>
    <n v="-10"/>
    <n v="0"/>
    <n v="1"/>
    <n v="1"/>
    <n v="1"/>
    <x v="3"/>
    <x v="0"/>
    <n v="103"/>
    <n v="103"/>
  </r>
  <r>
    <x v="350"/>
    <n v="0"/>
    <n v="0"/>
    <n v="1"/>
    <n v="1"/>
    <n v="1"/>
    <x v="6"/>
    <x v="3"/>
    <n v="128"/>
    <n v="128"/>
  </r>
  <r>
    <x v="351"/>
    <n v="0"/>
    <n v="0"/>
    <n v="2"/>
    <n v="2"/>
    <n v="2"/>
    <x v="4"/>
    <x v="1"/>
    <n v="70"/>
    <n v="140"/>
  </r>
  <r>
    <x v="352"/>
    <n v="0"/>
    <n v="0"/>
    <n v="20"/>
    <n v="2"/>
    <n v="2"/>
    <x v="2"/>
    <x v="2"/>
    <n v="66"/>
    <n v="1320"/>
  </r>
  <r>
    <x v="353"/>
    <n v="30"/>
    <n v="15"/>
    <n v="60"/>
    <n v="3"/>
    <n v="3"/>
    <x v="0"/>
    <x v="5"/>
    <n v="111"/>
    <n v="6660"/>
  </r>
  <r>
    <x v="354"/>
    <n v="3"/>
    <n v="15"/>
    <n v="6"/>
    <n v="6"/>
    <n v="6"/>
    <x v="6"/>
    <x v="4"/>
    <n v="127"/>
    <n v="762"/>
  </r>
  <r>
    <x v="355"/>
    <n v="50"/>
    <n v="15"/>
    <n v="100"/>
    <n v="2"/>
    <n v="2"/>
    <x v="1"/>
    <x v="1"/>
    <n v="70"/>
    <n v="7000"/>
  </r>
  <r>
    <x v="356"/>
    <n v="75"/>
    <n v="30"/>
    <n v="75"/>
    <n v="4"/>
    <n v="4"/>
    <x v="4"/>
    <x v="1"/>
    <n v="70"/>
    <n v="5250"/>
  </r>
  <r>
    <x v="357"/>
    <n v="75"/>
    <n v="16"/>
    <n v="135"/>
    <n v="9"/>
    <n v="8"/>
    <x v="2"/>
    <x v="5"/>
    <n v="68"/>
    <n v="9180"/>
  </r>
  <r>
    <x v="358"/>
    <n v="75"/>
    <n v="30"/>
    <n v="75"/>
    <n v="5"/>
    <n v="5"/>
    <x v="0"/>
    <x v="6"/>
    <n v="136"/>
    <n v="10200"/>
  </r>
  <r>
    <x v="359"/>
    <n v="15"/>
    <n v="30"/>
    <n v="15"/>
    <n v="1"/>
    <n v="1"/>
    <x v="3"/>
    <x v="0"/>
    <n v="124"/>
    <n v="1860"/>
  </r>
  <r>
    <x v="360"/>
    <n v="30"/>
    <n v="30"/>
    <n v="30"/>
    <n v="3"/>
    <n v="2"/>
    <x v="1"/>
    <x v="5"/>
    <n v="131"/>
    <n v="3930"/>
  </r>
  <r>
    <x v="361"/>
    <n v="4"/>
    <n v="30"/>
    <n v="4"/>
    <n v="4"/>
    <n v="4"/>
    <x v="3"/>
    <x v="0"/>
    <n v="108"/>
    <n v="432"/>
  </r>
  <r>
    <x v="362"/>
    <n v="210"/>
    <n v="30"/>
    <n v="210"/>
    <n v="7"/>
    <n v="6"/>
    <x v="2"/>
    <x v="1"/>
    <n v="119"/>
    <n v="24990"/>
  </r>
  <r>
    <x v="363"/>
    <n v="-15"/>
    <n v="0"/>
    <n v="60"/>
    <n v="3"/>
    <n v="3"/>
    <x v="5"/>
    <x v="4"/>
    <n v="82"/>
    <n v="4920"/>
  </r>
  <r>
    <x v="364"/>
    <n v="0"/>
    <n v="0"/>
    <n v="5"/>
    <n v="5"/>
    <n v="5"/>
    <x v="6"/>
    <x v="6"/>
    <n v="185"/>
    <n v="925"/>
  </r>
  <r>
    <x v="365"/>
    <n v="0"/>
    <n v="0"/>
    <n v="60"/>
    <n v="2"/>
    <n v="2"/>
    <x v="0"/>
    <x v="6"/>
    <n v="135"/>
    <n v="8100"/>
  </r>
  <r>
    <x v="366"/>
    <n v="0"/>
    <n v="0"/>
    <n v="3"/>
    <n v="3"/>
    <n v="3"/>
    <x v="6"/>
    <x v="1"/>
    <n v="91"/>
    <n v="273"/>
  </r>
  <r>
    <x v="367"/>
    <n v="9"/>
    <n v="7"/>
    <n v="36"/>
    <n v="4"/>
    <n v="4"/>
    <x v="5"/>
    <x v="5"/>
    <n v="150"/>
    <n v="5400"/>
  </r>
  <r>
    <x v="368"/>
    <n v="120"/>
    <n v="10"/>
    <n v="360"/>
    <n v="9"/>
    <n v="9"/>
    <x v="1"/>
    <x v="1"/>
    <n v="91"/>
    <n v="32760"/>
  </r>
  <r>
    <x v="339"/>
    <m/>
    <m/>
    <m/>
    <m/>
    <m/>
    <x v="1"/>
    <x v="1"/>
    <n v="89"/>
    <n v="0"/>
  </r>
  <r>
    <x v="369"/>
    <n v="60"/>
    <n v="16"/>
    <n v="110"/>
    <n v="8"/>
    <n v="8"/>
    <x v="5"/>
    <x v="0"/>
    <n v="64"/>
    <n v="7040"/>
  </r>
  <r>
    <x v="370"/>
    <n v="30"/>
    <n v="18"/>
    <n v="50"/>
    <n v="2"/>
    <n v="2"/>
    <x v="0"/>
    <x v="1"/>
    <n v="63"/>
    <n v="3150"/>
  </r>
  <r>
    <x v="371"/>
    <n v="3"/>
    <n v="30"/>
    <n v="3"/>
    <n v="3"/>
    <n v="2"/>
    <x v="0"/>
    <x v="3"/>
    <n v="101"/>
    <n v="303"/>
  </r>
  <r>
    <x v="372"/>
    <n v="4"/>
    <n v="24"/>
    <n v="5"/>
    <n v="4"/>
    <n v="4"/>
    <x v="4"/>
    <x v="6"/>
    <n v="115"/>
    <n v="575"/>
  </r>
  <r>
    <x v="373"/>
    <n v="-4"/>
    <n v="0"/>
    <n v="1"/>
    <n v="1"/>
    <n v="1"/>
    <x v="3"/>
    <x v="5"/>
    <n v="164"/>
    <n v="164"/>
  </r>
  <r>
    <x v="374"/>
    <n v="-15"/>
    <n v="0"/>
    <n v="15"/>
    <n v="1"/>
    <n v="1"/>
    <x v="5"/>
    <x v="0"/>
    <n v="68"/>
    <n v="1020"/>
  </r>
  <r>
    <x v="375"/>
    <n v="-3"/>
    <n v="0"/>
    <n v="2"/>
    <n v="2"/>
    <n v="2"/>
    <x v="1"/>
    <x v="0"/>
    <n v="83"/>
    <n v="166"/>
  </r>
  <r>
    <x v="376"/>
    <n v="1"/>
    <n v="1"/>
    <n v="22"/>
    <n v="6"/>
    <n v="6"/>
    <x v="1"/>
    <x v="1"/>
    <n v="98"/>
    <n v="2156"/>
  </r>
  <r>
    <x v="377"/>
    <n v="1"/>
    <n v="15"/>
    <n v="2"/>
    <n v="1"/>
    <n v="1"/>
    <x v="5"/>
    <x v="0"/>
    <n v="76"/>
    <n v="152"/>
  </r>
  <r>
    <x v="378"/>
    <n v="2"/>
    <n v="20"/>
    <n v="3"/>
    <n v="3"/>
    <n v="1"/>
    <x v="0"/>
    <x v="1"/>
    <n v="91"/>
    <n v="273"/>
  </r>
  <r>
    <x v="379"/>
    <n v="10"/>
    <n v="30"/>
    <n v="10"/>
    <n v="1"/>
    <n v="1"/>
    <x v="1"/>
    <x v="5"/>
    <n v="148"/>
    <n v="1480"/>
  </r>
  <r>
    <x v="380"/>
    <n v="-45"/>
    <n v="0"/>
    <n v="90"/>
    <n v="6"/>
    <n v="5"/>
    <x v="4"/>
    <x v="2"/>
    <n v="94"/>
    <n v="8460"/>
  </r>
  <r>
    <x v="381"/>
    <n v="-116"/>
    <n v="0"/>
    <n v="61"/>
    <n v="10"/>
    <n v="9"/>
    <x v="4"/>
    <x v="0"/>
    <n v="127"/>
    <n v="7747"/>
  </r>
  <r>
    <x v="382"/>
    <n v="0"/>
    <n v="0"/>
    <n v="80"/>
    <n v="7"/>
    <n v="7"/>
    <x v="5"/>
    <x v="5"/>
    <n v="78"/>
    <n v="6240"/>
  </r>
  <r>
    <x v="383"/>
    <n v="-1"/>
    <n v="0"/>
    <n v="1"/>
    <n v="1"/>
    <n v="1"/>
    <x v="6"/>
    <x v="1"/>
    <n v="154"/>
    <n v="154"/>
  </r>
  <r>
    <x v="384"/>
    <n v="2"/>
    <n v="15"/>
    <n v="4"/>
    <n v="4"/>
    <n v="3"/>
    <x v="1"/>
    <x v="5"/>
    <n v="97"/>
    <n v="388"/>
  </r>
  <r>
    <x v="385"/>
    <n v="10"/>
    <n v="15"/>
    <n v="20"/>
    <n v="1"/>
    <n v="1"/>
    <x v="2"/>
    <x v="3"/>
    <n v="124"/>
    <n v="2480"/>
  </r>
  <r>
    <x v="386"/>
    <n v="7"/>
    <n v="8"/>
    <n v="24"/>
    <n v="3"/>
    <n v="3"/>
    <x v="2"/>
    <x v="1"/>
    <n v="63"/>
    <n v="1512"/>
  </r>
  <r>
    <x v="387"/>
    <n v="50"/>
    <n v="15"/>
    <n v="100"/>
    <n v="5"/>
    <n v="5"/>
    <x v="4"/>
    <x v="1"/>
    <n v="133"/>
    <n v="13300"/>
  </r>
  <r>
    <x v="388"/>
    <n v="80"/>
    <n v="21"/>
    <n v="112"/>
    <n v="10"/>
    <n v="8"/>
    <x v="5"/>
    <x v="1"/>
    <n v="92"/>
    <n v="10304"/>
  </r>
  <r>
    <x v="389"/>
    <n v="1"/>
    <n v="30"/>
    <n v="1"/>
    <n v="3"/>
    <n v="3"/>
    <x v="0"/>
    <x v="5"/>
    <n v="94"/>
    <n v="94"/>
  </r>
  <r>
    <x v="390"/>
    <n v="0"/>
    <n v="0"/>
    <n v="3"/>
    <n v="3"/>
    <n v="2"/>
    <x v="1"/>
    <x v="1"/>
    <n v="196"/>
    <n v="588"/>
  </r>
  <r>
    <x v="391"/>
    <n v="0"/>
    <n v="0"/>
    <n v="1"/>
    <n v="1"/>
    <n v="1"/>
    <x v="3"/>
    <x v="6"/>
    <n v="162"/>
    <n v="162"/>
  </r>
  <r>
    <x v="392"/>
    <n v="10"/>
    <n v="10"/>
    <n v="30"/>
    <n v="3"/>
    <n v="3"/>
    <x v="2"/>
    <x v="3"/>
    <n v="78"/>
    <n v="2340"/>
  </r>
  <r>
    <x v="393"/>
    <n v="56"/>
    <n v="20"/>
    <n v="84"/>
    <n v="2"/>
    <n v="2"/>
    <x v="2"/>
    <x v="1"/>
    <n v="96"/>
    <n v="8064"/>
  </r>
  <r>
    <x v="394"/>
    <n v="20"/>
    <n v="30"/>
    <n v="20"/>
    <n v="2"/>
    <n v="2"/>
    <x v="0"/>
    <x v="2"/>
    <n v="73"/>
    <n v="1460"/>
  </r>
  <r>
    <x v="395"/>
    <n v="60"/>
    <n v="20"/>
    <n v="90"/>
    <n v="3"/>
    <n v="3"/>
    <x v="1"/>
    <x v="4"/>
    <n v="134"/>
    <n v="12060"/>
  </r>
  <r>
    <x v="396"/>
    <n v="0"/>
    <n v="0"/>
    <n v="45"/>
    <n v="2"/>
    <n v="2"/>
    <x v="4"/>
    <x v="6"/>
    <n v="96"/>
    <n v="4320"/>
  </r>
  <r>
    <x v="397"/>
    <n v="10"/>
    <n v="7"/>
    <n v="40"/>
    <n v="2"/>
    <n v="2"/>
    <x v="2"/>
    <x v="5"/>
    <n v="114"/>
    <n v="4560"/>
  </r>
  <r>
    <x v="398"/>
    <n v="0"/>
    <n v="0"/>
    <n v="75"/>
    <n v="5"/>
    <n v="3"/>
    <x v="4"/>
    <x v="1"/>
    <n v="105"/>
    <n v="7875"/>
  </r>
  <r>
    <x v="399"/>
    <n v="-6"/>
    <n v="0"/>
    <n v="1"/>
    <n v="1"/>
    <n v="1"/>
    <x v="1"/>
    <x v="6"/>
    <n v="85"/>
    <n v="85"/>
  </r>
  <r>
    <x v="400"/>
    <n v="120"/>
    <n v="9"/>
    <n v="380"/>
    <n v="11"/>
    <n v="9"/>
    <x v="3"/>
    <x v="6"/>
    <n v="116"/>
    <n v="44080"/>
  </r>
  <r>
    <x v="401"/>
    <n v="10"/>
    <n v="15"/>
    <n v="20"/>
    <n v="2"/>
    <n v="2"/>
    <x v="6"/>
    <x v="3"/>
    <n v="68"/>
    <n v="1360"/>
  </r>
  <r>
    <x v="402"/>
    <n v="500"/>
    <n v="30"/>
    <n v="500"/>
    <n v="5"/>
    <n v="4"/>
    <x v="2"/>
    <x v="0"/>
    <n v="123"/>
    <n v="61500"/>
  </r>
  <r>
    <x v="403"/>
    <n v="75"/>
    <n v="30"/>
    <n v="75"/>
    <n v="3"/>
    <n v="3"/>
    <x v="3"/>
    <x v="5"/>
    <n v="107"/>
    <n v="8025"/>
  </r>
  <r>
    <x v="404"/>
    <n v="10"/>
    <n v="4"/>
    <n v="70"/>
    <n v="5"/>
    <n v="4"/>
    <x v="2"/>
    <x v="1"/>
    <n v="76"/>
    <n v="5320"/>
  </r>
  <r>
    <x v="405"/>
    <n v="-4"/>
    <n v="0"/>
    <n v="2"/>
    <n v="2"/>
    <n v="2"/>
    <x v="0"/>
    <x v="1"/>
    <n v="168"/>
    <n v="336"/>
  </r>
  <r>
    <x v="406"/>
    <n v="0"/>
    <n v="0"/>
    <n v="15"/>
    <n v="1"/>
    <n v="1"/>
    <x v="1"/>
    <x v="0"/>
    <n v="82"/>
    <n v="1230"/>
  </r>
  <r>
    <x v="407"/>
    <n v="-10"/>
    <n v="0"/>
    <n v="20"/>
    <n v="2"/>
    <n v="2"/>
    <x v="2"/>
    <x v="4"/>
    <n v="92"/>
    <n v="1840"/>
  </r>
  <r>
    <x v="408"/>
    <n v="0"/>
    <n v="0"/>
    <n v="1"/>
    <n v="1"/>
    <n v="1"/>
    <x v="0"/>
    <x v="0"/>
    <n v="138"/>
    <n v="138"/>
  </r>
  <r>
    <x v="409"/>
    <n v="-2"/>
    <n v="0"/>
    <n v="2"/>
    <n v="2"/>
    <n v="2"/>
    <x v="3"/>
    <x v="2"/>
    <n v="107"/>
    <n v="214"/>
  </r>
  <r>
    <x v="410"/>
    <n v="-17"/>
    <n v="0"/>
    <n v="46"/>
    <n v="7"/>
    <n v="6"/>
    <x v="6"/>
    <x v="1"/>
    <n v="161"/>
    <n v="7406"/>
  </r>
  <r>
    <x v="411"/>
    <n v="10"/>
    <n v="15"/>
    <n v="20"/>
    <n v="2"/>
    <n v="2"/>
    <x v="0"/>
    <x v="5"/>
    <n v="130"/>
    <n v="2600"/>
  </r>
  <r>
    <x v="412"/>
    <n v="290"/>
    <n v="28"/>
    <n v="310"/>
    <n v="15"/>
    <n v="11"/>
    <x v="3"/>
    <x v="4"/>
    <n v="129"/>
    <n v="39990"/>
  </r>
  <r>
    <x v="413"/>
    <n v="90"/>
    <n v="25"/>
    <n v="105"/>
    <n v="6"/>
    <n v="6"/>
    <x v="1"/>
    <x v="1"/>
    <n v="63"/>
    <n v="6615"/>
  </r>
  <r>
    <x v="414"/>
    <n v="40"/>
    <n v="17"/>
    <n v="70"/>
    <n v="6"/>
    <n v="6"/>
    <x v="6"/>
    <x v="1"/>
    <n v="148"/>
    <n v="10360"/>
  </r>
  <r>
    <x v="415"/>
    <n v="1"/>
    <n v="1"/>
    <n v="16"/>
    <n v="16"/>
    <n v="12"/>
    <x v="2"/>
    <x v="5"/>
    <n v="180"/>
    <n v="2880"/>
  </r>
  <r>
    <x v="416"/>
    <n v="0"/>
    <n v="0"/>
    <n v="10"/>
    <n v="1"/>
    <n v="1"/>
    <x v="4"/>
    <x v="0"/>
    <n v="60"/>
    <n v="600"/>
  </r>
  <r>
    <x v="417"/>
    <n v="-6"/>
    <n v="0"/>
    <n v="1"/>
    <n v="1"/>
    <n v="1"/>
    <x v="2"/>
    <x v="3"/>
    <n v="135"/>
    <n v="135"/>
  </r>
  <r>
    <x v="418"/>
    <n v="0"/>
    <n v="0"/>
    <n v="10"/>
    <n v="1"/>
    <n v="1"/>
    <x v="3"/>
    <x v="5"/>
    <n v="71"/>
    <n v="710"/>
  </r>
  <r>
    <x v="419"/>
    <n v="20"/>
    <n v="15"/>
    <n v="40"/>
    <n v="4"/>
    <n v="4"/>
    <x v="1"/>
    <x v="5"/>
    <n v="107"/>
    <n v="4280"/>
  </r>
  <r>
    <x v="420"/>
    <n v="10"/>
    <n v="15"/>
    <n v="20"/>
    <n v="2"/>
    <n v="2"/>
    <x v="1"/>
    <x v="6"/>
    <n v="132"/>
    <n v="2640"/>
  </r>
  <r>
    <x v="421"/>
    <n v="70"/>
    <n v="23"/>
    <n v="90"/>
    <n v="7"/>
    <n v="6"/>
    <x v="3"/>
    <x v="1"/>
    <n v="161"/>
    <n v="14490"/>
  </r>
  <r>
    <x v="422"/>
    <n v="20"/>
    <n v="30"/>
    <n v="20"/>
    <n v="2"/>
    <n v="2"/>
    <x v="1"/>
    <x v="6"/>
    <n v="153"/>
    <n v="3060"/>
  </r>
  <r>
    <x v="423"/>
    <n v="45"/>
    <n v="30"/>
    <n v="45"/>
    <n v="2"/>
    <n v="1"/>
    <x v="6"/>
    <x v="4"/>
    <n v="114"/>
    <n v="5130"/>
  </r>
  <r>
    <x v="424"/>
    <n v="30"/>
    <n v="30"/>
    <n v="30"/>
    <n v="1"/>
    <n v="1"/>
    <x v="5"/>
    <x v="6"/>
    <n v="137"/>
    <n v="4110"/>
  </r>
  <r>
    <x v="425"/>
    <n v="10"/>
    <n v="30"/>
    <n v="10"/>
    <n v="1"/>
    <n v="1"/>
    <x v="6"/>
    <x v="4"/>
    <n v="79"/>
    <n v="790"/>
  </r>
  <r>
    <x v="426"/>
    <n v="2"/>
    <n v="30"/>
    <n v="2"/>
    <n v="2"/>
    <n v="2"/>
    <x v="0"/>
    <x v="6"/>
    <n v="102"/>
    <n v="204"/>
  </r>
  <r>
    <x v="427"/>
    <n v="1"/>
    <n v="30"/>
    <n v="1"/>
    <n v="1"/>
    <n v="1"/>
    <x v="1"/>
    <x v="3"/>
    <n v="212"/>
    <n v="212"/>
  </r>
  <r>
    <x v="428"/>
    <n v="0"/>
    <n v="0"/>
    <n v="40"/>
    <n v="4"/>
    <n v="4"/>
    <x v="2"/>
    <x v="3"/>
    <n v="104"/>
    <n v="4160"/>
  </r>
  <r>
    <x v="429"/>
    <n v="7"/>
    <n v="7"/>
    <n v="30"/>
    <n v="3"/>
    <n v="3"/>
    <x v="1"/>
    <x v="4"/>
    <n v="66"/>
    <n v="1980"/>
  </r>
  <r>
    <x v="430"/>
    <n v="-4"/>
    <n v="0"/>
    <n v="4"/>
    <n v="4"/>
    <n v="4"/>
    <x v="5"/>
    <x v="6"/>
    <n v="86"/>
    <n v="344"/>
  </r>
  <r>
    <x v="431"/>
    <n v="4"/>
    <n v="9"/>
    <n v="13"/>
    <n v="13"/>
    <n v="12"/>
    <x v="6"/>
    <x v="0"/>
    <n v="72"/>
    <n v="936"/>
  </r>
  <r>
    <x v="432"/>
    <n v="30"/>
    <n v="15"/>
    <n v="60"/>
    <n v="2"/>
    <n v="2"/>
    <x v="3"/>
    <x v="5"/>
    <n v="69"/>
    <n v="4140"/>
  </r>
  <r>
    <x v="433"/>
    <n v="10"/>
    <n v="15"/>
    <n v="20"/>
    <n v="2"/>
    <n v="2"/>
    <x v="5"/>
    <x v="4"/>
    <n v="64"/>
    <n v="1280"/>
  </r>
  <r>
    <x v="434"/>
    <n v="141"/>
    <n v="25"/>
    <n v="168"/>
    <n v="24"/>
    <n v="16"/>
    <x v="1"/>
    <x v="1"/>
    <n v="145"/>
    <n v="24360"/>
  </r>
  <r>
    <x v="435"/>
    <n v="75"/>
    <n v="30"/>
    <n v="75"/>
    <n v="4"/>
    <n v="4"/>
    <x v="2"/>
    <x v="1"/>
    <n v="84"/>
    <n v="6300"/>
  </r>
  <r>
    <x v="436"/>
    <n v="30"/>
    <n v="30"/>
    <n v="30"/>
    <n v="3"/>
    <n v="3"/>
    <x v="1"/>
    <x v="5"/>
    <n v="124"/>
    <n v="3720"/>
  </r>
  <r>
    <x v="437"/>
    <n v="20"/>
    <n v="20"/>
    <n v="30"/>
    <n v="2"/>
    <n v="2"/>
    <x v="2"/>
    <x v="4"/>
    <n v="94"/>
    <n v="2820"/>
  </r>
  <r>
    <x v="438"/>
    <n v="1"/>
    <n v="30"/>
    <n v="1"/>
    <n v="1"/>
    <n v="1"/>
    <x v="6"/>
    <x v="3"/>
    <n v="170"/>
    <n v="170"/>
  </r>
  <r>
    <x v="439"/>
    <n v="15"/>
    <n v="22"/>
    <n v="20"/>
    <n v="2"/>
    <n v="2"/>
    <x v="0"/>
    <x v="3"/>
    <n v="82"/>
    <n v="1640"/>
  </r>
  <r>
    <x v="440"/>
    <n v="40"/>
    <n v="6"/>
    <n v="190"/>
    <n v="9"/>
    <n v="7"/>
    <x v="5"/>
    <x v="6"/>
    <n v="141"/>
    <n v="26790"/>
  </r>
  <r>
    <x v="441"/>
    <n v="0"/>
    <n v="0"/>
    <n v="45"/>
    <n v="1"/>
    <n v="1"/>
    <x v="4"/>
    <x v="5"/>
    <n v="64"/>
    <n v="2880"/>
  </r>
  <r>
    <x v="442"/>
    <n v="1"/>
    <n v="7"/>
    <n v="4"/>
    <n v="4"/>
    <n v="4"/>
    <x v="5"/>
    <x v="1"/>
    <n v="98"/>
    <n v="392"/>
  </r>
  <r>
    <x v="443"/>
    <n v="0"/>
    <n v="0"/>
    <n v="2"/>
    <n v="2"/>
    <n v="2"/>
    <x v="5"/>
    <x v="6"/>
    <n v="74"/>
    <n v="148"/>
  </r>
  <r>
    <x v="444"/>
    <n v="-13"/>
    <n v="0"/>
    <n v="5"/>
    <n v="1"/>
    <n v="1"/>
    <x v="5"/>
    <x v="3"/>
    <n v="181"/>
    <n v="905"/>
  </r>
  <r>
    <x v="445"/>
    <n v="-1"/>
    <n v="0"/>
    <n v="1"/>
    <n v="1"/>
    <n v="1"/>
    <x v="4"/>
    <x v="5"/>
    <n v="164"/>
    <n v="164"/>
  </r>
  <r>
    <x v="446"/>
    <n v="-8"/>
    <n v="0"/>
    <n v="1"/>
    <n v="1"/>
    <n v="1"/>
    <x v="0"/>
    <x v="1"/>
    <n v="196"/>
    <n v="196"/>
  </r>
  <r>
    <x v="447"/>
    <n v="45"/>
    <n v="15"/>
    <n v="90"/>
    <n v="1"/>
    <n v="1"/>
    <x v="3"/>
    <x v="0"/>
    <n v="107"/>
    <n v="9630"/>
  </r>
  <r>
    <x v="448"/>
    <n v="4"/>
    <n v="15"/>
    <n v="8"/>
    <n v="6"/>
    <n v="6"/>
    <x v="5"/>
    <x v="1"/>
    <n v="175"/>
    <n v="1400"/>
  </r>
  <r>
    <x v="449"/>
    <n v="30"/>
    <n v="18"/>
    <n v="50"/>
    <n v="4"/>
    <n v="4"/>
    <x v="6"/>
    <x v="0"/>
    <n v="75"/>
    <n v="3750"/>
  </r>
  <r>
    <x v="450"/>
    <n v="52"/>
    <n v="26"/>
    <n v="60"/>
    <n v="3"/>
    <n v="3"/>
    <x v="1"/>
    <x v="4"/>
    <n v="131"/>
    <n v="7860"/>
  </r>
  <r>
    <x v="451"/>
    <n v="30"/>
    <n v="20"/>
    <n v="45"/>
    <n v="3"/>
    <n v="3"/>
    <x v="5"/>
    <x v="3"/>
    <n v="143"/>
    <n v="6435"/>
  </r>
  <r>
    <x v="452"/>
    <n v="30"/>
    <n v="30"/>
    <n v="30"/>
    <n v="2"/>
    <n v="2"/>
    <x v="3"/>
    <x v="0"/>
    <n v="97"/>
    <n v="2910"/>
  </r>
  <r>
    <x v="453"/>
    <n v="10"/>
    <n v="30"/>
    <n v="10"/>
    <n v="1"/>
    <n v="1"/>
    <x v="5"/>
    <x v="3"/>
    <n v="87"/>
    <n v="870"/>
  </r>
  <r>
    <x v="454"/>
    <n v="30"/>
    <n v="30"/>
    <n v="30"/>
    <n v="2"/>
    <n v="2"/>
    <x v="0"/>
    <x v="5"/>
    <n v="96"/>
    <n v="2880"/>
  </r>
  <r>
    <x v="455"/>
    <n v="15"/>
    <n v="30"/>
    <n v="15"/>
    <n v="1"/>
    <n v="1"/>
    <x v="1"/>
    <x v="2"/>
    <n v="60"/>
    <n v="900"/>
  </r>
  <r>
    <x v="456"/>
    <n v="10"/>
    <n v="7"/>
    <n v="40"/>
    <n v="2"/>
    <n v="2"/>
    <x v="1"/>
    <x v="0"/>
    <n v="134"/>
    <n v="5360"/>
  </r>
  <r>
    <x v="457"/>
    <n v="300"/>
    <n v="15"/>
    <n v="600"/>
    <n v="10"/>
    <n v="9"/>
    <x v="6"/>
    <x v="1"/>
    <n v="133"/>
    <n v="79800"/>
  </r>
  <r>
    <x v="458"/>
    <n v="1"/>
    <n v="10"/>
    <n v="3"/>
    <n v="3"/>
    <n v="3"/>
    <x v="0"/>
    <x v="5"/>
    <n v="134"/>
    <n v="402"/>
  </r>
  <r>
    <x v="459"/>
    <n v="1"/>
    <n v="15"/>
    <n v="2"/>
    <n v="2"/>
    <n v="2"/>
    <x v="6"/>
    <x v="0"/>
    <n v="167"/>
    <n v="334"/>
  </r>
  <r>
    <x v="460"/>
    <n v="15"/>
    <n v="15"/>
    <n v="30"/>
    <n v="1"/>
    <n v="1"/>
    <x v="4"/>
    <x v="4"/>
    <n v="164"/>
    <n v="4920"/>
  </r>
  <r>
    <x v="461"/>
    <m/>
    <m/>
    <m/>
    <m/>
    <m/>
    <x v="1"/>
    <x v="1"/>
    <n v="188"/>
    <n v="0"/>
  </r>
  <r>
    <x v="462"/>
    <n v="30"/>
    <n v="30"/>
    <n v="30"/>
    <n v="2"/>
    <n v="2"/>
    <x v="1"/>
    <x v="1"/>
    <n v="112"/>
    <n v="3360"/>
  </r>
  <r>
    <x v="463"/>
    <n v="150"/>
    <n v="21"/>
    <n v="210"/>
    <n v="7"/>
    <n v="6"/>
    <x v="3"/>
    <x v="1"/>
    <n v="153"/>
    <n v="32130"/>
  </r>
  <r>
    <x v="464"/>
    <n v="30"/>
    <n v="30"/>
    <n v="30"/>
    <n v="2"/>
    <n v="2"/>
    <x v="6"/>
    <x v="5"/>
    <n v="145"/>
    <n v="4350"/>
  </r>
  <r>
    <x v="465"/>
    <n v="3"/>
    <n v="22"/>
    <n v="4"/>
    <n v="4"/>
    <n v="4"/>
    <x v="2"/>
    <x v="5"/>
    <n v="181"/>
    <n v="724"/>
  </r>
  <r>
    <x v="466"/>
    <n v="2"/>
    <n v="20"/>
    <n v="3"/>
    <n v="3"/>
    <n v="2"/>
    <x v="6"/>
    <x v="0"/>
    <n v="81"/>
    <n v="243"/>
  </r>
  <r>
    <x v="467"/>
    <n v="30"/>
    <n v="30"/>
    <n v="30"/>
    <n v="2"/>
    <n v="2"/>
    <x v="0"/>
    <x v="5"/>
    <n v="145"/>
    <n v="4350"/>
  </r>
  <r>
    <x v="468"/>
    <n v="1"/>
    <n v="30"/>
    <n v="1"/>
    <n v="1"/>
    <n v="1"/>
    <x v="6"/>
    <x v="6"/>
    <n v="190"/>
    <n v="190"/>
  </r>
  <r>
    <x v="469"/>
    <n v="1"/>
    <n v="30"/>
    <n v="1"/>
    <n v="1"/>
    <n v="1"/>
    <x v="5"/>
    <x v="3"/>
    <n v="135"/>
    <n v="135"/>
  </r>
  <r>
    <x v="470"/>
    <n v="30"/>
    <n v="4"/>
    <n v="210"/>
    <n v="10"/>
    <n v="9"/>
    <x v="0"/>
    <x v="1"/>
    <n v="131"/>
    <n v="27510"/>
  </r>
  <r>
    <x v="471"/>
    <n v="0"/>
    <n v="0"/>
    <n v="2"/>
    <n v="2"/>
    <n v="2"/>
    <x v="0"/>
    <x v="0"/>
    <n v="139"/>
    <n v="278"/>
  </r>
  <r>
    <x v="472"/>
    <n v="0"/>
    <n v="0"/>
    <n v="30"/>
    <n v="1"/>
    <n v="1"/>
    <x v="0"/>
    <x v="5"/>
    <n v="89"/>
    <n v="2670"/>
  </r>
  <r>
    <x v="473"/>
    <n v="-15"/>
    <n v="0"/>
    <n v="15"/>
    <n v="1"/>
    <n v="1"/>
    <x v="1"/>
    <x v="4"/>
    <n v="90"/>
    <n v="1350"/>
  </r>
  <r>
    <x v="474"/>
    <m/>
    <m/>
    <m/>
    <m/>
    <m/>
    <x v="0"/>
    <x v="1"/>
    <n v="166"/>
    <n v="0"/>
  </r>
  <r>
    <x v="475"/>
    <n v="15"/>
    <n v="15"/>
    <n v="30"/>
    <n v="1"/>
    <n v="1"/>
    <x v="0"/>
    <x v="3"/>
    <n v="141"/>
    <n v="4230"/>
  </r>
  <r>
    <x v="476"/>
    <n v="41"/>
    <n v="14"/>
    <n v="85"/>
    <n v="6"/>
    <n v="5"/>
    <x v="5"/>
    <x v="2"/>
    <n v="88"/>
    <n v="7480"/>
  </r>
  <r>
    <x v="477"/>
    <n v="120"/>
    <n v="21"/>
    <n v="165"/>
    <n v="7"/>
    <n v="5"/>
    <x v="2"/>
    <x v="6"/>
    <n v="86"/>
    <n v="14190"/>
  </r>
  <r>
    <x v="478"/>
    <n v="200"/>
    <n v="20"/>
    <n v="300"/>
    <n v="3"/>
    <n v="3"/>
    <x v="6"/>
    <x v="5"/>
    <n v="144"/>
    <n v="43200"/>
  </r>
  <r>
    <x v="479"/>
    <n v="1"/>
    <n v="30"/>
    <n v="1"/>
    <n v="1"/>
    <n v="1"/>
    <x v="3"/>
    <x v="3"/>
    <n v="121"/>
    <n v="121"/>
  </r>
  <r>
    <x v="480"/>
    <n v="3"/>
    <n v="18"/>
    <n v="5"/>
    <n v="5"/>
    <n v="5"/>
    <x v="2"/>
    <x v="2"/>
    <n v="145"/>
    <n v="725"/>
  </r>
  <r>
    <x v="481"/>
    <n v="1"/>
    <n v="30"/>
    <n v="1"/>
    <n v="1"/>
    <n v="1"/>
    <x v="1"/>
    <x v="6"/>
    <n v="120"/>
    <n v="120"/>
  </r>
  <r>
    <x v="482"/>
    <n v="1"/>
    <n v="30"/>
    <n v="1"/>
    <n v="1"/>
    <n v="1"/>
    <x v="5"/>
    <x v="3"/>
    <n v="79"/>
    <n v="79"/>
  </r>
  <r>
    <x v="483"/>
    <n v="26"/>
    <n v="26"/>
    <n v="30"/>
    <n v="1"/>
    <n v="1"/>
    <x v="2"/>
    <x v="1"/>
    <n v="147"/>
    <n v="4410"/>
  </r>
  <r>
    <x v="484"/>
    <n v="60"/>
    <n v="24"/>
    <n v="75"/>
    <n v="3"/>
    <n v="3"/>
    <x v="5"/>
    <x v="2"/>
    <n v="96"/>
    <n v="7200"/>
  </r>
  <r>
    <x v="485"/>
    <n v="6"/>
    <n v="30"/>
    <n v="6"/>
    <n v="2"/>
    <n v="2"/>
    <x v="4"/>
    <x v="4"/>
    <n v="183"/>
    <n v="1098"/>
  </r>
  <r>
    <x v="486"/>
    <n v="-14"/>
    <n v="0"/>
    <n v="1"/>
    <n v="1"/>
    <n v="1"/>
    <x v="4"/>
    <x v="1"/>
    <n v="112"/>
    <n v="112"/>
  </r>
  <r>
    <x v="487"/>
    <n v="-10"/>
    <n v="0"/>
    <n v="20"/>
    <n v="1"/>
    <n v="1"/>
    <x v="5"/>
    <x v="1"/>
    <n v="105"/>
    <n v="2100"/>
  </r>
  <r>
    <x v="488"/>
    <n v="0"/>
    <n v="0"/>
    <n v="2"/>
    <n v="2"/>
    <n v="1"/>
    <x v="4"/>
    <x v="1"/>
    <n v="98"/>
    <n v="196"/>
  </r>
  <r>
    <x v="489"/>
    <n v="0"/>
    <n v="0"/>
    <n v="1"/>
    <n v="1"/>
    <n v="1"/>
    <x v="1"/>
    <x v="5"/>
    <n v="108"/>
    <n v="108"/>
  </r>
  <r>
    <x v="490"/>
    <n v="20"/>
    <n v="20"/>
    <n v="30"/>
    <n v="2"/>
    <n v="2"/>
    <x v="0"/>
    <x v="3"/>
    <n v="148"/>
    <n v="4440"/>
  </r>
  <r>
    <x v="491"/>
    <n v="3"/>
    <n v="18"/>
    <n v="5"/>
    <n v="5"/>
    <n v="4"/>
    <x v="4"/>
    <x v="3"/>
    <n v="118"/>
    <n v="590"/>
  </r>
  <r>
    <x v="492"/>
    <n v="30"/>
    <n v="22"/>
    <n v="40"/>
    <n v="2"/>
    <n v="2"/>
    <x v="4"/>
    <x v="3"/>
    <n v="132"/>
    <n v="5280"/>
  </r>
  <r>
    <x v="493"/>
    <n v="45"/>
    <n v="22"/>
    <n v="60"/>
    <n v="3"/>
    <n v="3"/>
    <x v="2"/>
    <x v="5"/>
    <n v="118"/>
    <n v="7080"/>
  </r>
  <r>
    <x v="494"/>
    <n v="-81"/>
    <n v="0"/>
    <n v="81"/>
    <n v="3"/>
    <n v="3"/>
    <x v="0"/>
    <x v="2"/>
    <n v="127"/>
    <n v="10287"/>
  </r>
  <r>
    <x v="495"/>
    <n v="20"/>
    <n v="12"/>
    <n v="50"/>
    <n v="3"/>
    <n v="3"/>
    <x v="0"/>
    <x v="4"/>
    <n v="104"/>
    <n v="5200"/>
  </r>
  <r>
    <x v="496"/>
    <n v="10"/>
    <n v="10"/>
    <n v="30"/>
    <n v="1"/>
    <n v="1"/>
    <x v="3"/>
    <x v="1"/>
    <n v="133"/>
    <n v="3990"/>
  </r>
  <r>
    <x v="497"/>
    <n v="310"/>
    <n v="22"/>
    <n v="420"/>
    <n v="20"/>
    <n v="18"/>
    <x v="0"/>
    <x v="1"/>
    <n v="145"/>
    <n v="60900"/>
  </r>
  <r>
    <x v="498"/>
    <n v="4"/>
    <n v="30"/>
    <n v="4"/>
    <n v="4"/>
    <n v="4"/>
    <x v="5"/>
    <x v="4"/>
    <n v="152"/>
    <n v="608"/>
  </r>
  <r>
    <x v="499"/>
    <n v="30"/>
    <n v="20"/>
    <n v="45"/>
    <n v="3"/>
    <n v="3"/>
    <x v="0"/>
    <x v="4"/>
    <n v="107"/>
    <n v="4815"/>
  </r>
  <r>
    <x v="500"/>
    <n v="30"/>
    <n v="30"/>
    <n v="30"/>
    <n v="3"/>
    <n v="3"/>
    <x v="2"/>
    <x v="3"/>
    <n v="92"/>
    <n v="2760"/>
  </r>
  <r>
    <x v="501"/>
    <n v="14"/>
    <n v="30"/>
    <n v="14"/>
    <n v="2"/>
    <n v="2"/>
    <x v="1"/>
    <x v="1"/>
    <n v="93"/>
    <n v="1302"/>
  </r>
  <r>
    <x v="502"/>
    <n v="5"/>
    <n v="30"/>
    <n v="5"/>
    <n v="1"/>
    <n v="1"/>
    <x v="0"/>
    <x v="6"/>
    <n v="115"/>
    <n v="575"/>
  </r>
  <r>
    <x v="503"/>
    <n v="-1"/>
    <n v="0"/>
    <n v="2"/>
    <n v="2"/>
    <n v="2"/>
    <x v="2"/>
    <x v="5"/>
    <n v="194"/>
    <n v="388"/>
  </r>
  <r>
    <x v="504"/>
    <n v="0"/>
    <n v="0"/>
    <n v="10"/>
    <n v="1"/>
    <n v="1"/>
    <x v="0"/>
    <x v="1"/>
    <n v="119"/>
    <n v="1190"/>
  </r>
  <r>
    <x v="505"/>
    <n v="0"/>
    <n v="0"/>
    <n v="2"/>
    <n v="2"/>
    <n v="2"/>
    <x v="1"/>
    <x v="3"/>
    <n v="85"/>
    <n v="170"/>
  </r>
  <r>
    <x v="506"/>
    <n v="1"/>
    <n v="10"/>
    <n v="3"/>
    <n v="2"/>
    <n v="2"/>
    <x v="4"/>
    <x v="5"/>
    <n v="183"/>
    <n v="549"/>
  </r>
  <r>
    <x v="507"/>
    <n v="1"/>
    <n v="15"/>
    <n v="2"/>
    <n v="2"/>
    <n v="2"/>
    <x v="1"/>
    <x v="1"/>
    <n v="140"/>
    <n v="280"/>
  </r>
  <r>
    <x v="508"/>
    <n v="75"/>
    <n v="30"/>
    <n v="75"/>
    <n v="5"/>
    <n v="5"/>
    <x v="3"/>
    <x v="4"/>
    <n v="137"/>
    <n v="10275"/>
  </r>
  <r>
    <x v="509"/>
    <n v="3"/>
    <n v="22"/>
    <n v="4"/>
    <n v="4"/>
    <n v="4"/>
    <x v="1"/>
    <x v="5"/>
    <n v="83"/>
    <n v="332"/>
  </r>
  <r>
    <x v="510"/>
    <n v="20"/>
    <n v="30"/>
    <n v="20"/>
    <n v="2"/>
    <n v="2"/>
    <x v="1"/>
    <x v="0"/>
    <n v="135"/>
    <n v="2700"/>
  </r>
  <r>
    <x v="511"/>
    <n v="2"/>
    <n v="20"/>
    <n v="3"/>
    <n v="2"/>
    <n v="2"/>
    <x v="1"/>
    <x v="3"/>
    <n v="101"/>
    <n v="303"/>
  </r>
  <r>
    <x v="512"/>
    <n v="-15"/>
    <n v="0"/>
    <n v="75"/>
    <n v="4"/>
    <n v="4"/>
    <x v="4"/>
    <x v="0"/>
    <n v="134"/>
    <n v="10050"/>
  </r>
  <r>
    <x v="513"/>
    <n v="-1"/>
    <n v="0"/>
    <n v="4"/>
    <n v="4"/>
    <n v="4"/>
    <x v="0"/>
    <x v="5"/>
    <n v="160"/>
    <n v="640"/>
  </r>
  <r>
    <x v="514"/>
    <n v="-1"/>
    <n v="0"/>
    <n v="1"/>
    <n v="1"/>
    <n v="1"/>
    <x v="4"/>
    <x v="6"/>
    <n v="183"/>
    <n v="183"/>
  </r>
  <r>
    <x v="515"/>
    <n v="0"/>
    <n v="0"/>
    <n v="3"/>
    <n v="3"/>
    <n v="3"/>
    <x v="0"/>
    <x v="1"/>
    <n v="133"/>
    <n v="399"/>
  </r>
  <r>
    <x v="516"/>
    <n v="20"/>
    <n v="15"/>
    <n v="40"/>
    <n v="3"/>
    <n v="3"/>
    <x v="6"/>
    <x v="4"/>
    <n v="109"/>
    <n v="4360"/>
  </r>
  <r>
    <x v="517"/>
    <n v="10"/>
    <n v="15"/>
    <n v="20"/>
    <n v="2"/>
    <n v="2"/>
    <x v="6"/>
    <x v="0"/>
    <n v="121"/>
    <n v="2420"/>
  </r>
  <r>
    <x v="518"/>
    <n v="75"/>
    <n v="30"/>
    <n v="75"/>
    <n v="3"/>
    <n v="3"/>
    <x v="2"/>
    <x v="6"/>
    <n v="87"/>
    <n v="6525"/>
  </r>
  <r>
    <x v="519"/>
    <n v="40"/>
    <n v="30"/>
    <n v="40"/>
    <n v="4"/>
    <n v="4"/>
    <x v="2"/>
    <x v="3"/>
    <n v="139"/>
    <n v="5560"/>
  </r>
  <r>
    <x v="520"/>
    <n v="10"/>
    <n v="30"/>
    <n v="10"/>
    <n v="1"/>
    <n v="1"/>
    <x v="4"/>
    <x v="3"/>
    <n v="94"/>
    <n v="940"/>
  </r>
  <r>
    <x v="521"/>
    <n v="1"/>
    <n v="30"/>
    <n v="1"/>
    <n v="1"/>
    <n v="1"/>
    <x v="0"/>
    <x v="1"/>
    <n v="77"/>
    <n v="77"/>
  </r>
  <r>
    <x v="522"/>
    <n v="2"/>
    <n v="30"/>
    <n v="2"/>
    <n v="2"/>
    <n v="2"/>
    <x v="3"/>
    <x v="0"/>
    <n v="83"/>
    <n v="166"/>
  </r>
  <r>
    <x v="523"/>
    <n v="0"/>
    <n v="0"/>
    <n v="420"/>
    <n v="7"/>
    <n v="6"/>
    <x v="5"/>
    <x v="1"/>
    <n v="79"/>
    <n v="33180"/>
  </r>
  <r>
    <x v="524"/>
    <n v="110"/>
    <n v="30"/>
    <n v="110"/>
    <n v="11"/>
    <n v="9"/>
    <x v="3"/>
    <x v="4"/>
    <n v="109"/>
    <n v="11990"/>
  </r>
  <r>
    <x v="525"/>
    <n v="3"/>
    <n v="22"/>
    <n v="4"/>
    <n v="3"/>
    <n v="3"/>
    <x v="6"/>
    <x v="4"/>
    <n v="180"/>
    <n v="720"/>
  </r>
  <r>
    <x v="526"/>
    <n v="1"/>
    <n v="30"/>
    <n v="1"/>
    <n v="1"/>
    <n v="1"/>
    <x v="1"/>
    <x v="1"/>
    <n v="112"/>
    <n v="112"/>
  </r>
  <r>
    <x v="527"/>
    <n v="4"/>
    <n v="30"/>
    <n v="4"/>
    <n v="2"/>
    <n v="2"/>
    <x v="1"/>
    <x v="1"/>
    <n v="133"/>
    <n v="532"/>
  </r>
  <r>
    <x v="528"/>
    <n v="30"/>
    <n v="30"/>
    <n v="30"/>
    <n v="3"/>
    <n v="3"/>
    <x v="5"/>
    <x v="1"/>
    <n v="126"/>
    <n v="3780"/>
  </r>
  <r>
    <x v="529"/>
    <n v="20"/>
    <n v="30"/>
    <n v="20"/>
    <n v="2"/>
    <n v="2"/>
    <x v="6"/>
    <x v="0"/>
    <n v="79"/>
    <n v="1580"/>
  </r>
  <r>
    <x v="530"/>
    <n v="20"/>
    <n v="12"/>
    <n v="50"/>
    <n v="6"/>
    <n v="5"/>
    <x v="6"/>
    <x v="5"/>
    <n v="80"/>
    <n v="4000"/>
  </r>
  <r>
    <x v="531"/>
    <n v="2"/>
    <n v="15"/>
    <n v="4"/>
    <n v="4"/>
    <n v="4"/>
    <x v="5"/>
    <x v="2"/>
    <n v="120"/>
    <n v="480"/>
  </r>
  <r>
    <x v="532"/>
    <n v="1"/>
    <n v="15"/>
    <n v="2"/>
    <n v="2"/>
    <n v="2"/>
    <x v="5"/>
    <x v="6"/>
    <n v="123"/>
    <n v="246"/>
  </r>
  <r>
    <x v="533"/>
    <n v="5"/>
    <n v="25"/>
    <n v="6"/>
    <n v="4"/>
    <n v="4"/>
    <x v="3"/>
    <x v="2"/>
    <n v="199"/>
    <n v="1194"/>
  </r>
  <r>
    <x v="534"/>
    <n v="10"/>
    <n v="30"/>
    <n v="10"/>
    <n v="10"/>
    <n v="8"/>
    <x v="4"/>
    <x v="2"/>
    <n v="97"/>
    <n v="970"/>
  </r>
  <r>
    <x v="535"/>
    <n v="60"/>
    <n v="30"/>
    <n v="60"/>
    <n v="2"/>
    <n v="2"/>
    <x v="0"/>
    <x v="5"/>
    <n v="111"/>
    <n v="6660"/>
  </r>
  <r>
    <x v="536"/>
    <n v="30"/>
    <n v="30"/>
    <n v="30"/>
    <n v="2"/>
    <n v="2"/>
    <x v="5"/>
    <x v="2"/>
    <n v="128"/>
    <n v="3840"/>
  </r>
  <r>
    <x v="537"/>
    <n v="30"/>
    <n v="30"/>
    <n v="30"/>
    <n v="1"/>
    <n v="1"/>
    <x v="5"/>
    <x v="2"/>
    <n v="114"/>
    <n v="3420"/>
  </r>
  <r>
    <x v="538"/>
    <n v="3"/>
    <n v="30"/>
    <n v="3"/>
    <n v="3"/>
    <n v="3"/>
    <x v="4"/>
    <x v="1"/>
    <n v="196"/>
    <n v="588"/>
  </r>
  <r>
    <x v="539"/>
    <n v="30"/>
    <n v="30"/>
    <n v="30"/>
    <n v="2"/>
    <n v="2"/>
    <x v="5"/>
    <x v="0"/>
    <n v="97"/>
    <n v="2910"/>
  </r>
  <r>
    <x v="540"/>
    <n v="0"/>
    <n v="0"/>
    <n v="110"/>
    <n v="4"/>
    <n v="3"/>
    <x v="0"/>
    <x v="0"/>
    <n v="148"/>
    <n v="16280"/>
  </r>
  <r>
    <x v="541"/>
    <n v="-6"/>
    <n v="0"/>
    <n v="4"/>
    <n v="2"/>
    <n v="2"/>
    <x v="4"/>
    <x v="1"/>
    <n v="84"/>
    <n v="336"/>
  </r>
  <r>
    <x v="542"/>
    <n v="-4"/>
    <n v="0"/>
    <n v="1"/>
    <n v="1"/>
    <n v="1"/>
    <x v="0"/>
    <x v="2"/>
    <n v="144"/>
    <n v="144"/>
  </r>
  <r>
    <x v="543"/>
    <n v="225"/>
    <n v="12"/>
    <n v="540"/>
    <n v="14"/>
    <n v="9"/>
    <x v="3"/>
    <x v="0"/>
    <n v="61"/>
    <n v="32940"/>
  </r>
  <r>
    <x v="544"/>
    <n v="10"/>
    <n v="15"/>
    <n v="20"/>
    <n v="1"/>
    <n v="1"/>
    <x v="0"/>
    <x v="2"/>
    <n v="150"/>
    <n v="3000"/>
  </r>
  <r>
    <x v="545"/>
    <n v="30"/>
    <n v="22"/>
    <n v="40"/>
    <n v="4"/>
    <n v="4"/>
    <x v="0"/>
    <x v="4"/>
    <n v="88"/>
    <n v="3520"/>
  </r>
  <r>
    <x v="546"/>
    <n v="-3"/>
    <n v="0"/>
    <n v="1"/>
    <n v="1"/>
    <n v="1"/>
    <x v="5"/>
    <x v="4"/>
    <n v="160"/>
    <n v="160"/>
  </r>
  <r>
    <x v="547"/>
    <n v="-5"/>
    <n v="0"/>
    <n v="1"/>
    <n v="1"/>
    <n v="1"/>
    <x v="2"/>
    <x v="1"/>
    <n v="105"/>
    <n v="105"/>
  </r>
  <r>
    <x v="548"/>
    <n v="0"/>
    <n v="0"/>
    <n v="1"/>
    <n v="1"/>
    <n v="1"/>
    <x v="4"/>
    <x v="0"/>
    <n v="166"/>
    <n v="166"/>
  </r>
  <r>
    <x v="549"/>
    <n v="-15"/>
    <n v="0"/>
    <n v="1"/>
    <n v="1"/>
    <n v="1"/>
    <x v="4"/>
    <x v="2"/>
    <n v="74"/>
    <n v="74"/>
  </r>
  <r>
    <x v="550"/>
    <n v="2"/>
    <n v="6"/>
    <n v="9"/>
    <n v="5"/>
    <n v="5"/>
    <x v="2"/>
    <x v="2"/>
    <n v="191"/>
    <n v="1719"/>
  </r>
  <r>
    <x v="551"/>
    <n v="-9"/>
    <n v="0"/>
    <n v="2"/>
    <n v="2"/>
    <n v="2"/>
    <x v="1"/>
    <x v="3"/>
    <n v="141"/>
    <n v="282"/>
  </r>
  <r>
    <x v="552"/>
    <n v="-11"/>
    <n v="0"/>
    <n v="5"/>
    <n v="5"/>
    <n v="5"/>
    <x v="6"/>
    <x v="2"/>
    <n v="194"/>
    <n v="970"/>
  </r>
  <r>
    <x v="553"/>
    <n v="0"/>
    <n v="0"/>
    <n v="1"/>
    <n v="1"/>
    <n v="1"/>
    <x v="5"/>
    <x v="4"/>
    <n v="265"/>
    <n v="265"/>
  </r>
  <r>
    <x v="554"/>
    <n v="4"/>
    <n v="10"/>
    <n v="12"/>
    <n v="3"/>
    <n v="3"/>
    <x v="6"/>
    <x v="5"/>
    <n v="121"/>
    <n v="1452"/>
  </r>
  <r>
    <x v="555"/>
    <n v="15"/>
    <n v="15"/>
    <n v="30"/>
    <n v="1"/>
    <n v="1"/>
    <x v="1"/>
    <x v="0"/>
    <n v="90"/>
    <n v="2700"/>
  </r>
  <r>
    <x v="556"/>
    <n v="4"/>
    <n v="10"/>
    <n v="11"/>
    <n v="4"/>
    <n v="4"/>
    <x v="3"/>
    <x v="5"/>
    <n v="174"/>
    <n v="1914"/>
  </r>
  <r>
    <x v="557"/>
    <n v="10"/>
    <n v="15"/>
    <n v="20"/>
    <n v="1"/>
    <n v="1"/>
    <x v="0"/>
    <x v="0"/>
    <n v="100"/>
    <n v="2000"/>
  </r>
  <r>
    <x v="558"/>
    <n v="60"/>
    <n v="30"/>
    <n v="60"/>
    <n v="2"/>
    <n v="2"/>
    <x v="2"/>
    <x v="1"/>
    <n v="126"/>
    <n v="7560"/>
  </r>
  <r>
    <x v="559"/>
    <n v="1"/>
    <n v="30"/>
    <n v="1"/>
    <n v="1"/>
    <n v="1"/>
    <x v="1"/>
    <x v="5"/>
    <n v="73"/>
    <n v="73"/>
  </r>
  <r>
    <x v="560"/>
    <n v="1"/>
    <n v="30"/>
    <n v="1"/>
    <n v="1"/>
    <n v="1"/>
    <x v="4"/>
    <x v="2"/>
    <n v="158"/>
    <n v="158"/>
  </r>
  <r>
    <x v="561"/>
    <n v="15"/>
    <n v="30"/>
    <n v="15"/>
    <n v="1"/>
    <n v="1"/>
    <x v="0"/>
    <x v="5"/>
    <n v="136"/>
    <n v="2040"/>
  </r>
  <r>
    <x v="562"/>
    <n v="0"/>
    <n v="0"/>
    <n v="80"/>
    <n v="5"/>
    <n v="3"/>
    <x v="3"/>
    <x v="1"/>
    <n v="84"/>
    <n v="6720"/>
  </r>
  <r>
    <x v="563"/>
    <n v="0"/>
    <n v="0"/>
    <n v="1"/>
    <n v="1"/>
    <n v="1"/>
    <x v="0"/>
    <x v="6"/>
    <n v="281"/>
    <n v="281"/>
  </r>
  <r>
    <x v="564"/>
    <n v="220"/>
    <n v="12"/>
    <n v="550"/>
    <n v="11"/>
    <n v="11"/>
    <x v="2"/>
    <x v="2"/>
    <n v="92"/>
    <n v="50600"/>
  </r>
  <r>
    <x v="565"/>
    <n v="20"/>
    <n v="15"/>
    <n v="40"/>
    <n v="2"/>
    <n v="2"/>
    <x v="5"/>
    <x v="5"/>
    <n v="65"/>
    <n v="2600"/>
  </r>
  <r>
    <x v="566"/>
    <n v="20"/>
    <n v="15"/>
    <n v="40"/>
    <n v="2"/>
    <n v="2"/>
    <x v="1"/>
    <x v="2"/>
    <n v="131"/>
    <n v="5240"/>
  </r>
  <r>
    <x v="567"/>
    <n v="15"/>
    <n v="15"/>
    <n v="30"/>
    <n v="2"/>
    <n v="2"/>
    <x v="6"/>
    <x v="0"/>
    <n v="104"/>
    <n v="3120"/>
  </r>
  <r>
    <x v="568"/>
    <n v="90"/>
    <n v="22"/>
    <n v="120"/>
    <n v="4"/>
    <n v="4"/>
    <x v="1"/>
    <x v="6"/>
    <n v="106"/>
    <n v="12720"/>
  </r>
  <r>
    <x v="569"/>
    <n v="45"/>
    <n v="22"/>
    <n v="60"/>
    <n v="4"/>
    <n v="4"/>
    <x v="3"/>
    <x v="2"/>
    <n v="148"/>
    <n v="8880"/>
  </r>
  <r>
    <x v="570"/>
    <n v="1"/>
    <n v="30"/>
    <n v="1"/>
    <n v="1"/>
    <n v="1"/>
    <x v="2"/>
    <x v="4"/>
    <n v="139"/>
    <n v="139"/>
  </r>
  <r>
    <x v="571"/>
    <n v="15"/>
    <n v="30"/>
    <n v="15"/>
    <n v="1"/>
    <n v="1"/>
    <x v="0"/>
    <x v="6"/>
    <n v="141"/>
    <n v="2115"/>
  </r>
  <r>
    <x v="572"/>
    <n v="10"/>
    <n v="30"/>
    <n v="10"/>
    <n v="1"/>
    <n v="1"/>
    <x v="4"/>
    <x v="5"/>
    <n v="183"/>
    <n v="1830"/>
  </r>
  <r>
    <x v="573"/>
    <n v="-3"/>
    <n v="0"/>
    <n v="1"/>
    <n v="1"/>
    <n v="1"/>
    <x v="0"/>
    <x v="1"/>
    <n v="105"/>
    <n v="105"/>
  </r>
  <r>
    <x v="574"/>
    <n v="1"/>
    <n v="7"/>
    <n v="4"/>
    <n v="4"/>
    <n v="4"/>
    <x v="1"/>
    <x v="1"/>
    <n v="119"/>
    <n v="476"/>
  </r>
  <r>
    <x v="575"/>
    <n v="382"/>
    <n v="14"/>
    <n v="790"/>
    <n v="72"/>
    <n v="24"/>
    <x v="4"/>
    <x v="2"/>
    <n v="192"/>
    <n v="151680"/>
  </r>
  <r>
    <x v="576"/>
    <n v="60"/>
    <n v="20"/>
    <n v="90"/>
    <n v="6"/>
    <n v="4"/>
    <x v="3"/>
    <x v="1"/>
    <n v="91"/>
    <n v="8190"/>
  </r>
  <r>
    <x v="577"/>
    <n v="14"/>
    <n v="26"/>
    <n v="16"/>
    <n v="2"/>
    <n v="2"/>
    <x v="1"/>
    <x v="6"/>
    <n v="74"/>
    <n v="1184"/>
  </r>
  <r>
    <x v="578"/>
    <n v="16"/>
    <n v="24"/>
    <n v="20"/>
    <n v="2"/>
    <n v="2"/>
    <x v="2"/>
    <x v="6"/>
    <n v="111"/>
    <n v="2220"/>
  </r>
  <r>
    <x v="579"/>
    <n v="6"/>
    <n v="18"/>
    <n v="10"/>
    <n v="4"/>
    <n v="4"/>
    <x v="1"/>
    <x v="6"/>
    <n v="103"/>
    <n v="1030"/>
  </r>
  <r>
    <x v="580"/>
    <n v="15"/>
    <n v="5"/>
    <n v="90"/>
    <n v="5"/>
    <n v="5"/>
    <x v="4"/>
    <x v="1"/>
    <n v="84"/>
    <n v="7560"/>
  </r>
  <r>
    <x v="581"/>
    <n v="0"/>
    <n v="0"/>
    <n v="2"/>
    <n v="2"/>
    <n v="2"/>
    <x v="0"/>
    <x v="1"/>
    <n v="105"/>
    <n v="210"/>
  </r>
  <r>
    <x v="582"/>
    <n v="20"/>
    <n v="7"/>
    <n v="80"/>
    <n v="3"/>
    <n v="3"/>
    <x v="4"/>
    <x v="6"/>
    <n v="145"/>
    <n v="11600"/>
  </r>
  <r>
    <x v="583"/>
    <n v="0"/>
    <n v="0"/>
    <n v="1"/>
    <n v="1"/>
    <n v="1"/>
    <x v="6"/>
    <x v="2"/>
    <n v="144"/>
    <n v="144"/>
  </r>
  <r>
    <x v="584"/>
    <n v="-2"/>
    <n v="0"/>
    <n v="1"/>
    <n v="1"/>
    <n v="1"/>
    <x v="4"/>
    <x v="5"/>
    <n v="171"/>
    <n v="171"/>
  </r>
  <r>
    <x v="585"/>
    <n v="-2"/>
    <n v="0"/>
    <n v="36"/>
    <n v="9"/>
    <n v="7"/>
    <x v="0"/>
    <x v="4"/>
    <n v="139"/>
    <n v="5004"/>
  </r>
  <r>
    <x v="586"/>
    <n v="10"/>
    <n v="10"/>
    <n v="30"/>
    <n v="2"/>
    <n v="2"/>
    <x v="1"/>
    <x v="4"/>
    <n v="115"/>
    <n v="3450"/>
  </r>
  <r>
    <x v="587"/>
    <n v="1"/>
    <n v="15"/>
    <n v="2"/>
    <n v="2"/>
    <n v="2"/>
    <x v="2"/>
    <x v="0"/>
    <n v="160"/>
    <n v="320"/>
  </r>
  <r>
    <x v="588"/>
    <n v="5"/>
    <n v="15"/>
    <n v="10"/>
    <n v="10"/>
    <n v="7"/>
    <x v="3"/>
    <x v="3"/>
    <n v="108"/>
    <n v="1080"/>
  </r>
  <r>
    <x v="589"/>
    <n v="102"/>
    <n v="25"/>
    <n v="120"/>
    <n v="10"/>
    <n v="10"/>
    <x v="5"/>
    <x v="5"/>
    <n v="192"/>
    <n v="23040"/>
  </r>
  <r>
    <x v="590"/>
    <n v="-3"/>
    <n v="0"/>
    <n v="2"/>
    <n v="2"/>
    <n v="2"/>
    <x v="4"/>
    <x v="4"/>
    <n v="185"/>
    <n v="370"/>
  </r>
  <r>
    <x v="591"/>
    <n v="10"/>
    <n v="10"/>
    <n v="30"/>
    <n v="3"/>
    <n v="3"/>
    <x v="3"/>
    <x v="4"/>
    <n v="199"/>
    <n v="5970"/>
  </r>
  <r>
    <x v="592"/>
    <n v="77"/>
    <n v="11"/>
    <n v="195"/>
    <n v="9"/>
    <n v="8"/>
    <x v="2"/>
    <x v="2"/>
    <n v="143"/>
    <n v="27885"/>
  </r>
  <r>
    <x v="593"/>
    <n v="50"/>
    <n v="25"/>
    <n v="60"/>
    <n v="4"/>
    <n v="4"/>
    <x v="6"/>
    <x v="4"/>
    <n v="89"/>
    <n v="5340"/>
  </r>
  <r>
    <x v="594"/>
    <n v="40"/>
    <n v="24"/>
    <n v="50"/>
    <n v="5"/>
    <n v="5"/>
    <x v="1"/>
    <x v="5"/>
    <n v="73"/>
    <n v="3650"/>
  </r>
  <r>
    <x v="595"/>
    <n v="1"/>
    <n v="30"/>
    <n v="1"/>
    <n v="1"/>
    <n v="1"/>
    <x v="2"/>
    <x v="2"/>
    <n v="200"/>
    <n v="200"/>
  </r>
  <r>
    <x v="596"/>
    <n v="1"/>
    <n v="30"/>
    <n v="1"/>
    <n v="1"/>
    <n v="1"/>
    <x v="1"/>
    <x v="0"/>
    <n v="75"/>
    <n v="75"/>
  </r>
  <r>
    <x v="597"/>
    <n v="3"/>
    <n v="9"/>
    <n v="10"/>
    <n v="1"/>
    <n v="1"/>
    <x v="5"/>
    <x v="1"/>
    <n v="119"/>
    <n v="1190"/>
  </r>
  <r>
    <x v="598"/>
    <n v="1"/>
    <n v="15"/>
    <n v="2"/>
    <n v="2"/>
    <n v="2"/>
    <x v="0"/>
    <x v="2"/>
    <n v="93"/>
    <n v="186"/>
  </r>
  <r>
    <x v="599"/>
    <n v="20"/>
    <n v="15"/>
    <n v="40"/>
    <n v="2"/>
    <n v="2"/>
    <x v="2"/>
    <x v="1"/>
    <n v="63"/>
    <n v="2520"/>
  </r>
  <r>
    <x v="600"/>
    <n v="10"/>
    <n v="15"/>
    <n v="20"/>
    <n v="4"/>
    <n v="4"/>
    <x v="1"/>
    <x v="0"/>
    <n v="107"/>
    <n v="2140"/>
  </r>
  <r>
    <x v="601"/>
    <n v="2"/>
    <n v="15"/>
    <n v="4"/>
    <n v="3"/>
    <n v="1"/>
    <x v="2"/>
    <x v="2"/>
    <n v="92"/>
    <n v="368"/>
  </r>
  <r>
    <x v="602"/>
    <n v="2"/>
    <n v="20"/>
    <n v="3"/>
    <n v="3"/>
    <n v="3"/>
    <x v="3"/>
    <x v="5"/>
    <n v="155"/>
    <n v="465"/>
  </r>
  <r>
    <x v="603"/>
    <n v="30"/>
    <n v="30"/>
    <n v="30"/>
    <n v="3"/>
    <n v="3"/>
    <x v="5"/>
    <x v="3"/>
    <n v="99"/>
    <n v="2970"/>
  </r>
  <r>
    <x v="604"/>
    <n v="10"/>
    <n v="30"/>
    <n v="10"/>
    <n v="1"/>
    <n v="1"/>
    <x v="4"/>
    <x v="1"/>
    <n v="84"/>
    <n v="840"/>
  </r>
  <r>
    <x v="605"/>
    <n v="30"/>
    <n v="22"/>
    <n v="40"/>
    <n v="2"/>
    <n v="1"/>
    <x v="0"/>
    <x v="1"/>
    <n v="140"/>
    <n v="5600"/>
  </r>
  <r>
    <x v="606"/>
    <n v="0"/>
    <n v="0"/>
    <n v="50"/>
    <n v="5"/>
    <n v="5"/>
    <x v="5"/>
    <x v="5"/>
    <n v="150"/>
    <n v="7500"/>
  </r>
  <r>
    <x v="607"/>
    <n v="0"/>
    <n v="0"/>
    <n v="20"/>
    <n v="1"/>
    <n v="1"/>
    <x v="1"/>
    <x v="6"/>
    <n v="62"/>
    <n v="1240"/>
  </r>
  <r>
    <x v="608"/>
    <n v="-3"/>
    <n v="0"/>
    <n v="1"/>
    <n v="1"/>
    <n v="1"/>
    <x v="5"/>
    <x v="1"/>
    <n v="98"/>
    <n v="98"/>
  </r>
  <r>
    <x v="609"/>
    <n v="0"/>
    <n v="0"/>
    <n v="10"/>
    <n v="4"/>
    <n v="4"/>
    <x v="2"/>
    <x v="2"/>
    <n v="111"/>
    <n v="1110"/>
  </r>
  <r>
    <x v="610"/>
    <n v="6"/>
    <n v="13"/>
    <n v="13"/>
    <n v="12"/>
    <n v="9"/>
    <x v="5"/>
    <x v="1"/>
    <n v="168"/>
    <n v="2184"/>
  </r>
  <r>
    <x v="611"/>
    <n v="10"/>
    <n v="10"/>
    <n v="30"/>
    <n v="1"/>
    <n v="1"/>
    <x v="3"/>
    <x v="2"/>
    <n v="128"/>
    <n v="3840"/>
  </r>
  <r>
    <x v="612"/>
    <n v="14"/>
    <n v="15"/>
    <n v="28"/>
    <n v="1"/>
    <n v="1"/>
    <x v="1"/>
    <x v="1"/>
    <n v="106"/>
    <n v="2968"/>
  </r>
  <r>
    <x v="613"/>
    <n v="10"/>
    <n v="15"/>
    <n v="20"/>
    <n v="1"/>
    <n v="1"/>
    <x v="1"/>
    <x v="6"/>
    <n v="104"/>
    <n v="2080"/>
  </r>
  <r>
    <x v="614"/>
    <n v="100"/>
    <n v="20"/>
    <n v="150"/>
    <n v="9"/>
    <n v="9"/>
    <x v="5"/>
    <x v="1"/>
    <n v="140"/>
    <n v="21000"/>
  </r>
  <r>
    <x v="615"/>
    <n v="1"/>
    <n v="30"/>
    <n v="1"/>
    <n v="1"/>
    <n v="1"/>
    <x v="5"/>
    <x v="3"/>
    <n v="72"/>
    <n v="72"/>
  </r>
  <r>
    <x v="616"/>
    <n v="10"/>
    <n v="3"/>
    <n v="80"/>
    <n v="6"/>
    <n v="5"/>
    <x v="3"/>
    <x v="0"/>
    <n v="144"/>
    <n v="11520"/>
  </r>
  <r>
    <x v="617"/>
    <n v="0"/>
    <n v="0"/>
    <n v="220"/>
    <n v="9"/>
    <n v="6"/>
    <x v="1"/>
    <x v="3"/>
    <n v="101"/>
    <n v="22220"/>
  </r>
  <r>
    <x v="618"/>
    <n v="-6"/>
    <n v="0"/>
    <n v="1"/>
    <n v="1"/>
    <n v="1"/>
    <x v="6"/>
    <x v="0"/>
    <n v="138"/>
    <n v="138"/>
  </r>
  <r>
    <x v="619"/>
    <n v="0"/>
    <n v="0"/>
    <n v="30"/>
    <n v="2"/>
    <n v="2"/>
    <x v="5"/>
    <x v="4"/>
    <n v="143"/>
    <n v="4290"/>
  </r>
  <r>
    <x v="620"/>
    <n v="0"/>
    <n v="0"/>
    <n v="15"/>
    <n v="1"/>
    <n v="1"/>
    <x v="2"/>
    <x v="5"/>
    <n v="150"/>
    <n v="2250"/>
  </r>
  <r>
    <x v="621"/>
    <n v="10"/>
    <n v="4"/>
    <n v="70"/>
    <n v="5"/>
    <n v="4"/>
    <x v="5"/>
    <x v="1"/>
    <n v="144"/>
    <n v="10080"/>
  </r>
  <r>
    <x v="622"/>
    <n v="0"/>
    <n v="0"/>
    <n v="105"/>
    <n v="1"/>
    <n v="1"/>
    <x v="1"/>
    <x v="1"/>
    <n v="72"/>
    <n v="7560"/>
  </r>
  <r>
    <x v="623"/>
    <n v="600"/>
    <n v="15"/>
    <n v="1200"/>
    <n v="10"/>
    <n v="8"/>
    <x v="5"/>
    <x v="5"/>
    <n v="134"/>
    <n v="160800"/>
  </r>
  <r>
    <x v="624"/>
    <n v="20"/>
    <n v="15"/>
    <n v="40"/>
    <n v="2"/>
    <n v="2"/>
    <x v="3"/>
    <x v="5"/>
    <n v="114"/>
    <n v="4560"/>
  </r>
  <r>
    <x v="625"/>
    <n v="84"/>
    <n v="14"/>
    <n v="176"/>
    <n v="36"/>
    <n v="19"/>
    <x v="4"/>
    <x v="3"/>
    <n v="72"/>
    <n v="12672"/>
  </r>
  <r>
    <x v="626"/>
    <n v="1"/>
    <n v="10"/>
    <n v="3"/>
    <n v="2"/>
    <n v="2"/>
    <x v="2"/>
    <x v="6"/>
    <n v="103"/>
    <n v="309"/>
  </r>
  <r>
    <x v="627"/>
    <n v="60"/>
    <n v="20"/>
    <n v="90"/>
    <n v="8"/>
    <n v="6"/>
    <x v="5"/>
    <x v="4"/>
    <n v="169"/>
    <n v="15210"/>
  </r>
  <r>
    <x v="628"/>
    <n v="105"/>
    <n v="26"/>
    <n v="120"/>
    <n v="5"/>
    <n v="4"/>
    <x v="1"/>
    <x v="1"/>
    <n v="77"/>
    <n v="9240"/>
  </r>
  <r>
    <x v="629"/>
    <n v="1"/>
    <n v="30"/>
    <n v="1"/>
    <n v="1"/>
    <n v="1"/>
    <x v="1"/>
    <x v="2"/>
    <n v="123"/>
    <n v="123"/>
  </r>
  <r>
    <x v="630"/>
    <n v="74"/>
    <n v="24"/>
    <n v="90"/>
    <n v="2"/>
    <n v="2"/>
    <x v="1"/>
    <x v="6"/>
    <n v="69"/>
    <n v="6210"/>
  </r>
  <r>
    <x v="631"/>
    <n v="100"/>
    <n v="27"/>
    <n v="110"/>
    <n v="6"/>
    <n v="5"/>
    <x v="1"/>
    <x v="1"/>
    <n v="133"/>
    <n v="14630"/>
  </r>
  <r>
    <x v="632"/>
    <n v="-1"/>
    <n v="0"/>
    <n v="1"/>
    <n v="1"/>
    <n v="1"/>
    <x v="1"/>
    <x v="3"/>
    <n v="128"/>
    <n v="128"/>
  </r>
  <r>
    <x v="633"/>
    <n v="0"/>
    <n v="0"/>
    <n v="15"/>
    <n v="1"/>
    <n v="1"/>
    <x v="4"/>
    <x v="6"/>
    <n v="141"/>
    <n v="2115"/>
  </r>
  <r>
    <x v="634"/>
    <n v="-3"/>
    <n v="0"/>
    <n v="1"/>
    <n v="1"/>
    <n v="1"/>
    <x v="5"/>
    <x v="1"/>
    <n v="154"/>
    <n v="154"/>
  </r>
  <r>
    <x v="635"/>
    <n v="-10"/>
    <n v="0"/>
    <n v="30"/>
    <n v="3"/>
    <n v="2"/>
    <x v="2"/>
    <x v="4"/>
    <n v="87"/>
    <n v="2610"/>
  </r>
  <r>
    <x v="636"/>
    <n v="4"/>
    <n v="10"/>
    <n v="12"/>
    <n v="12"/>
    <n v="8"/>
    <x v="1"/>
    <x v="3"/>
    <n v="153"/>
    <n v="1836"/>
  </r>
  <r>
    <x v="637"/>
    <n v="15"/>
    <n v="10"/>
    <n v="45"/>
    <n v="2"/>
    <n v="2"/>
    <x v="1"/>
    <x v="4"/>
    <n v="128"/>
    <n v="5760"/>
  </r>
  <r>
    <x v="638"/>
    <n v="1"/>
    <n v="15"/>
    <n v="2"/>
    <n v="2"/>
    <n v="2"/>
    <x v="3"/>
    <x v="0"/>
    <n v="104"/>
    <n v="208"/>
  </r>
  <r>
    <x v="639"/>
    <n v="20"/>
    <n v="20"/>
    <n v="30"/>
    <n v="3"/>
    <n v="3"/>
    <x v="1"/>
    <x v="0"/>
    <n v="83"/>
    <n v="2490"/>
  </r>
  <r>
    <x v="640"/>
    <n v="2"/>
    <n v="30"/>
    <n v="2"/>
    <n v="2"/>
    <n v="2"/>
    <x v="1"/>
    <x v="4"/>
    <n v="164"/>
    <n v="328"/>
  </r>
  <r>
    <x v="641"/>
    <n v="4"/>
    <n v="30"/>
    <n v="4"/>
    <n v="4"/>
    <n v="4"/>
    <x v="6"/>
    <x v="3"/>
    <n v="123"/>
    <n v="492"/>
  </r>
  <r>
    <x v="642"/>
    <n v="10"/>
    <n v="30"/>
    <n v="10"/>
    <n v="1"/>
    <n v="1"/>
    <x v="3"/>
    <x v="4"/>
    <n v="72"/>
    <n v="720"/>
  </r>
  <r>
    <x v="643"/>
    <n v="20"/>
    <n v="30"/>
    <n v="20"/>
    <n v="1"/>
    <n v="1"/>
    <x v="5"/>
    <x v="6"/>
    <n v="62"/>
    <n v="1240"/>
  </r>
  <r>
    <x v="644"/>
    <n v="0"/>
    <n v="0"/>
    <n v="2"/>
    <n v="2"/>
    <n v="2"/>
    <x v="5"/>
    <x v="1"/>
    <n v="196"/>
    <n v="392"/>
  </r>
  <r>
    <x v="645"/>
    <n v="25"/>
    <n v="8"/>
    <n v="90"/>
    <n v="5"/>
    <n v="5"/>
    <x v="0"/>
    <x v="2"/>
    <n v="101"/>
    <n v="9090"/>
  </r>
  <r>
    <x v="646"/>
    <n v="60"/>
    <n v="30"/>
    <n v="60"/>
    <n v="2"/>
    <n v="1"/>
    <x v="5"/>
    <x v="5"/>
    <n v="139"/>
    <n v="8340"/>
  </r>
  <r>
    <x v="647"/>
    <n v="30"/>
    <n v="30"/>
    <n v="30"/>
    <n v="2"/>
    <n v="2"/>
    <x v="5"/>
    <x v="2"/>
    <n v="65"/>
    <n v="1950"/>
  </r>
  <r>
    <x v="648"/>
    <n v="35"/>
    <n v="23"/>
    <n v="45"/>
    <n v="3"/>
    <n v="3"/>
    <x v="1"/>
    <x v="1"/>
    <n v="196"/>
    <n v="8820"/>
  </r>
  <r>
    <x v="649"/>
    <n v="60"/>
    <n v="30"/>
    <n v="60"/>
    <n v="2"/>
    <n v="2"/>
    <x v="5"/>
    <x v="5"/>
    <n v="97"/>
    <n v="5820"/>
  </r>
  <r>
    <x v="650"/>
    <n v="40"/>
    <n v="24"/>
    <n v="50"/>
    <n v="3"/>
    <n v="3"/>
    <x v="4"/>
    <x v="3"/>
    <n v="100"/>
    <n v="5000"/>
  </r>
  <r>
    <x v="651"/>
    <n v="-9"/>
    <n v="0"/>
    <n v="2"/>
    <n v="2"/>
    <n v="2"/>
    <x v="0"/>
    <x v="1"/>
    <n v="175"/>
    <n v="350"/>
  </r>
  <r>
    <x v="652"/>
    <n v="-45"/>
    <n v="0"/>
    <n v="45"/>
    <n v="1"/>
    <n v="1"/>
    <x v="6"/>
    <x v="6"/>
    <n v="138"/>
    <n v="6210"/>
  </r>
  <r>
    <x v="653"/>
    <n v="1"/>
    <n v="10"/>
    <n v="3"/>
    <n v="3"/>
    <n v="3"/>
    <x v="0"/>
    <x v="5"/>
    <n v="197"/>
    <n v="591"/>
  </r>
  <r>
    <x v="654"/>
    <n v="20"/>
    <n v="12"/>
    <n v="50"/>
    <n v="3"/>
    <n v="3"/>
    <x v="1"/>
    <x v="1"/>
    <n v="105"/>
    <n v="5250"/>
  </r>
  <r>
    <x v="655"/>
    <n v="21"/>
    <n v="30"/>
    <n v="21"/>
    <n v="1"/>
    <n v="1"/>
    <x v="2"/>
    <x v="1"/>
    <n v="84"/>
    <n v="1764"/>
  </r>
  <r>
    <x v="656"/>
    <n v="10"/>
    <n v="30"/>
    <n v="10"/>
    <n v="1"/>
    <n v="1"/>
    <x v="6"/>
    <x v="2"/>
    <n v="69"/>
    <n v="690"/>
  </r>
  <r>
    <x v="657"/>
    <n v="120"/>
    <n v="30"/>
    <n v="120"/>
    <n v="1"/>
    <n v="1"/>
    <x v="0"/>
    <x v="6"/>
    <n v="99"/>
    <n v="11880"/>
  </r>
  <r>
    <x v="658"/>
    <n v="0"/>
    <n v="0"/>
    <n v="50"/>
    <n v="3"/>
    <n v="3"/>
    <x v="3"/>
    <x v="4"/>
    <n v="69"/>
    <n v="3450"/>
  </r>
  <r>
    <x v="659"/>
    <n v="0"/>
    <n v="0"/>
    <n v="60"/>
    <n v="2"/>
    <n v="2"/>
    <x v="5"/>
    <x v="3"/>
    <n v="95"/>
    <n v="5700"/>
  </r>
  <r>
    <x v="660"/>
    <n v="0"/>
    <n v="0"/>
    <n v="78"/>
    <n v="4"/>
    <n v="3"/>
    <x v="0"/>
    <x v="5"/>
    <n v="73"/>
    <n v="5694"/>
  </r>
  <r>
    <x v="661"/>
    <n v="0"/>
    <n v="0"/>
    <n v="1"/>
    <n v="1"/>
    <n v="1"/>
    <x v="0"/>
    <x v="5"/>
    <n v="143"/>
    <n v="143"/>
  </r>
  <r>
    <x v="662"/>
    <n v="20"/>
    <n v="20"/>
    <n v="30"/>
    <n v="2"/>
    <n v="1"/>
    <x v="0"/>
    <x v="6"/>
    <n v="88"/>
    <n v="2640"/>
  </r>
  <r>
    <x v="663"/>
    <n v="10"/>
    <n v="30"/>
    <n v="10"/>
    <n v="1"/>
    <n v="1"/>
    <x v="2"/>
    <x v="5"/>
    <n v="85"/>
    <n v="850"/>
  </r>
  <r>
    <x v="664"/>
    <n v="60"/>
    <n v="30"/>
    <n v="60"/>
    <n v="2"/>
    <n v="2"/>
    <x v="0"/>
    <x v="5"/>
    <n v="188"/>
    <n v="11280"/>
  </r>
  <r>
    <x v="665"/>
    <n v="30"/>
    <n v="30"/>
    <n v="30"/>
    <n v="1"/>
    <n v="1"/>
    <x v="3"/>
    <x v="6"/>
    <n v="144"/>
    <n v="4320"/>
  </r>
  <r>
    <x v="666"/>
    <n v="1"/>
    <n v="30"/>
    <n v="1"/>
    <n v="1"/>
    <n v="1"/>
    <x v="2"/>
    <x v="3"/>
    <n v="135"/>
    <n v="135"/>
  </r>
  <r>
    <x v="667"/>
    <n v="0"/>
    <n v="0"/>
    <n v="4"/>
    <n v="4"/>
    <n v="4"/>
    <x v="1"/>
    <x v="1"/>
    <n v="84"/>
    <n v="336"/>
  </r>
  <r>
    <x v="668"/>
    <n v="0"/>
    <n v="0"/>
    <n v="1"/>
    <n v="1"/>
    <n v="1"/>
    <x v="2"/>
    <x v="6"/>
    <n v="134"/>
    <n v="134"/>
  </r>
  <r>
    <x v="669"/>
    <n v="0"/>
    <n v="0"/>
    <n v="2"/>
    <n v="1"/>
    <n v="1"/>
    <x v="1"/>
    <x v="4"/>
    <n v="80"/>
    <n v="160"/>
  </r>
  <r>
    <x v="670"/>
    <n v="0"/>
    <n v="0"/>
    <n v="1"/>
    <n v="1"/>
    <n v="1"/>
    <x v="5"/>
    <x v="3"/>
    <n v="128"/>
    <n v="128"/>
  </r>
  <r>
    <x v="339"/>
    <m/>
    <m/>
    <m/>
    <m/>
    <m/>
    <x v="0"/>
    <x v="1"/>
    <n v="85"/>
    <n v="0"/>
  </r>
  <r>
    <x v="671"/>
    <n v="135"/>
    <n v="11"/>
    <n v="345"/>
    <n v="17"/>
    <n v="12"/>
    <x v="5"/>
    <x v="0"/>
    <n v="69"/>
    <n v="23805"/>
  </r>
  <r>
    <x v="672"/>
    <n v="20"/>
    <n v="20"/>
    <n v="30"/>
    <n v="3"/>
    <n v="3"/>
    <x v="3"/>
    <x v="4"/>
    <n v="150"/>
    <n v="4500"/>
  </r>
  <r>
    <x v="673"/>
    <n v="56"/>
    <n v="24"/>
    <n v="70"/>
    <n v="3"/>
    <n v="3"/>
    <x v="4"/>
    <x v="1"/>
    <n v="75"/>
    <n v="5250"/>
  </r>
  <r>
    <x v="674"/>
    <n v="2"/>
    <n v="30"/>
    <n v="2"/>
    <n v="2"/>
    <n v="2"/>
    <x v="1"/>
    <x v="6"/>
    <n v="74"/>
    <n v="148"/>
  </r>
  <r>
    <x v="675"/>
    <n v="105"/>
    <n v="23"/>
    <n v="135"/>
    <n v="9"/>
    <n v="7"/>
    <x v="2"/>
    <x v="2"/>
    <n v="79"/>
    <n v="10665"/>
  </r>
  <r>
    <x v="676"/>
    <n v="6"/>
    <n v="30"/>
    <n v="6"/>
    <n v="1"/>
    <n v="1"/>
    <x v="5"/>
    <x v="6"/>
    <n v="139"/>
    <n v="834"/>
  </r>
  <r>
    <x v="677"/>
    <n v="0"/>
    <n v="0"/>
    <n v="1"/>
    <n v="1"/>
    <n v="1"/>
    <x v="3"/>
    <x v="3"/>
    <n v="170"/>
    <n v="170"/>
  </r>
  <r>
    <x v="678"/>
    <n v="-2"/>
    <n v="0"/>
    <n v="2"/>
    <n v="2"/>
    <n v="2"/>
    <x v="3"/>
    <x v="1"/>
    <n v="168"/>
    <n v="336"/>
  </r>
  <r>
    <x v="679"/>
    <n v="2"/>
    <n v="30"/>
    <n v="2"/>
    <n v="1"/>
    <n v="1"/>
    <x v="6"/>
    <x v="3"/>
    <n v="78"/>
    <n v="156"/>
  </r>
  <r>
    <x v="680"/>
    <n v="-20"/>
    <n v="0"/>
    <n v="7"/>
    <n v="7"/>
    <n v="7"/>
    <x v="6"/>
    <x v="1"/>
    <n v="88"/>
    <n v="616"/>
  </r>
  <r>
    <x v="681"/>
    <n v="0"/>
    <n v="0"/>
    <n v="30"/>
    <n v="1"/>
    <n v="1"/>
    <x v="5"/>
    <x v="6"/>
    <n v="109"/>
    <n v="3270"/>
  </r>
  <r>
    <x v="682"/>
    <n v="0"/>
    <n v="0"/>
    <n v="1"/>
    <n v="1"/>
    <n v="1"/>
    <x v="3"/>
    <x v="4"/>
    <n v="90"/>
    <n v="90"/>
  </r>
  <r>
    <x v="683"/>
    <n v="-155"/>
    <n v="0"/>
    <n v="15"/>
    <n v="3"/>
    <n v="2"/>
    <x v="6"/>
    <x v="2"/>
    <n v="144"/>
    <n v="2160"/>
  </r>
  <r>
    <x v="684"/>
    <n v="-1"/>
    <n v="0"/>
    <n v="1"/>
    <n v="1"/>
    <n v="1"/>
    <x v="6"/>
    <x v="5"/>
    <n v="129"/>
    <n v="129"/>
  </r>
  <r>
    <x v="685"/>
    <n v="20"/>
    <n v="15"/>
    <n v="40"/>
    <n v="4"/>
    <n v="3"/>
    <x v="3"/>
    <x v="5"/>
    <n v="121"/>
    <n v="4840"/>
  </r>
  <r>
    <x v="686"/>
    <n v="14"/>
    <n v="15"/>
    <n v="28"/>
    <n v="2"/>
    <n v="2"/>
    <x v="6"/>
    <x v="1"/>
    <n v="133"/>
    <n v="3724"/>
  </r>
  <r>
    <x v="687"/>
    <n v="30"/>
    <n v="30"/>
    <n v="30"/>
    <n v="2"/>
    <n v="2"/>
    <x v="5"/>
    <x v="4"/>
    <n v="122"/>
    <n v="3660"/>
  </r>
  <r>
    <x v="688"/>
    <n v="60"/>
    <n v="30"/>
    <n v="60"/>
    <n v="2"/>
    <n v="2"/>
    <x v="4"/>
    <x v="3"/>
    <n v="67"/>
    <n v="4020"/>
  </r>
  <r>
    <x v="689"/>
    <n v="50"/>
    <n v="30"/>
    <n v="50"/>
    <n v="3"/>
    <n v="3"/>
    <x v="3"/>
    <x v="1"/>
    <n v="126"/>
    <n v="6300"/>
  </r>
  <r>
    <x v="690"/>
    <n v="2"/>
    <n v="30"/>
    <n v="2"/>
    <n v="2"/>
    <n v="2"/>
    <x v="5"/>
    <x v="3"/>
    <n v="78"/>
    <n v="156"/>
  </r>
  <r>
    <x v="691"/>
    <n v="20"/>
    <n v="30"/>
    <n v="20"/>
    <n v="2"/>
    <n v="2"/>
    <x v="2"/>
    <x v="5"/>
    <n v="144"/>
    <n v="2880"/>
  </r>
  <r>
    <x v="692"/>
    <n v="3"/>
    <n v="5"/>
    <n v="16"/>
    <n v="13"/>
    <n v="11"/>
    <x v="1"/>
    <x v="0"/>
    <n v="132"/>
    <n v="2112"/>
  </r>
  <r>
    <x v="693"/>
    <n v="-30"/>
    <n v="0"/>
    <n v="20"/>
    <n v="2"/>
    <n v="2"/>
    <x v="2"/>
    <x v="1"/>
    <n v="98"/>
    <n v="1960"/>
  </r>
  <r>
    <x v="694"/>
    <n v="-2"/>
    <n v="0"/>
    <n v="1"/>
    <n v="1"/>
    <n v="1"/>
    <x v="4"/>
    <x v="5"/>
    <n v="143"/>
    <n v="143"/>
  </r>
  <r>
    <x v="695"/>
    <n v="70"/>
    <n v="2"/>
    <n v="854"/>
    <n v="26"/>
    <n v="18"/>
    <x v="0"/>
    <x v="1"/>
    <n v="126"/>
    <n v="107604"/>
  </r>
  <r>
    <x v="696"/>
    <n v="-4"/>
    <n v="0"/>
    <n v="2"/>
    <n v="2"/>
    <n v="2"/>
    <x v="5"/>
    <x v="2"/>
    <n v="156"/>
    <n v="312"/>
  </r>
  <r>
    <x v="697"/>
    <n v="0"/>
    <n v="0"/>
    <n v="1"/>
    <n v="1"/>
    <n v="1"/>
    <x v="5"/>
    <x v="1"/>
    <n v="168"/>
    <n v="168"/>
  </r>
  <r>
    <x v="698"/>
    <n v="0"/>
    <n v="0"/>
    <n v="10"/>
    <n v="1"/>
    <n v="1"/>
    <x v="3"/>
    <x v="3"/>
    <n v="122"/>
    <n v="1220"/>
  </r>
  <r>
    <x v="699"/>
    <n v="15"/>
    <n v="10"/>
    <n v="45"/>
    <n v="2"/>
    <n v="2"/>
    <x v="6"/>
    <x v="0"/>
    <n v="74"/>
    <n v="3330"/>
  </r>
  <r>
    <x v="700"/>
    <n v="6"/>
    <n v="30"/>
    <n v="6"/>
    <n v="6"/>
    <n v="5"/>
    <x v="3"/>
    <x v="2"/>
    <n v="171"/>
    <n v="1026"/>
  </r>
  <r>
    <x v="701"/>
    <n v="120"/>
    <n v="20"/>
    <n v="180"/>
    <n v="5"/>
    <n v="4"/>
    <x v="1"/>
    <x v="0"/>
    <n v="120"/>
    <n v="21600"/>
  </r>
  <r>
    <x v="702"/>
    <n v="15"/>
    <n v="30"/>
    <n v="15"/>
    <n v="1"/>
    <n v="1"/>
    <x v="1"/>
    <x v="6"/>
    <n v="92"/>
    <n v="1380"/>
  </r>
  <r>
    <x v="703"/>
    <n v="0"/>
    <n v="0"/>
    <n v="4"/>
    <n v="1"/>
    <n v="1"/>
    <x v="1"/>
    <x v="5"/>
    <n v="97"/>
    <n v="388"/>
  </r>
  <r>
    <x v="704"/>
    <n v="195"/>
    <n v="20"/>
    <n v="285"/>
    <n v="13"/>
    <n v="12"/>
    <x v="4"/>
    <x v="0"/>
    <n v="78"/>
    <n v="22230"/>
  </r>
  <r>
    <x v="705"/>
    <n v="50"/>
    <n v="25"/>
    <n v="60"/>
    <n v="5"/>
    <n v="5"/>
    <x v="6"/>
    <x v="2"/>
    <n v="85"/>
    <n v="5100"/>
  </r>
  <r>
    <x v="706"/>
    <n v="41"/>
    <n v="18"/>
    <n v="66"/>
    <n v="10"/>
    <n v="8"/>
    <x v="4"/>
    <x v="4"/>
    <n v="149"/>
    <n v="9834"/>
  </r>
  <r>
    <x v="707"/>
    <n v="30"/>
    <n v="30"/>
    <n v="30"/>
    <n v="2"/>
    <n v="2"/>
    <x v="1"/>
    <x v="4"/>
    <n v="143"/>
    <n v="4290"/>
  </r>
  <r>
    <x v="708"/>
    <n v="1"/>
    <n v="30"/>
    <n v="1"/>
    <n v="1"/>
    <n v="1"/>
    <x v="3"/>
    <x v="4"/>
    <n v="76"/>
    <n v="76"/>
  </r>
  <r>
    <x v="709"/>
    <n v="-8"/>
    <n v="0"/>
    <n v="5"/>
    <n v="5"/>
    <n v="5"/>
    <x v="1"/>
    <x v="4"/>
    <n v="158"/>
    <n v="790"/>
  </r>
  <r>
    <x v="710"/>
    <n v="-8"/>
    <n v="0"/>
    <n v="11"/>
    <n v="11"/>
    <n v="10"/>
    <x v="6"/>
    <x v="3"/>
    <n v="186"/>
    <n v="2046"/>
  </r>
  <r>
    <x v="711"/>
    <n v="-2"/>
    <n v="0"/>
    <n v="1"/>
    <n v="1"/>
    <n v="1"/>
    <x v="4"/>
    <x v="4"/>
    <n v="90"/>
    <n v="90"/>
  </r>
  <r>
    <x v="712"/>
    <n v="-15"/>
    <n v="0"/>
    <n v="1"/>
    <n v="1"/>
    <n v="1"/>
    <x v="4"/>
    <x v="6"/>
    <n v="106"/>
    <n v="106"/>
  </r>
  <r>
    <x v="713"/>
    <n v="-5"/>
    <n v="0"/>
    <n v="5"/>
    <n v="2"/>
    <n v="2"/>
    <x v="5"/>
    <x v="0"/>
    <n v="134"/>
    <n v="670"/>
  </r>
  <r>
    <x v="714"/>
    <n v="-46"/>
    <n v="0"/>
    <n v="244"/>
    <n v="22"/>
    <n v="14"/>
    <x v="0"/>
    <x v="1"/>
    <n v="77"/>
    <n v="18788"/>
  </r>
  <r>
    <x v="715"/>
    <n v="60"/>
    <n v="8"/>
    <n v="210"/>
    <n v="10"/>
    <n v="7"/>
    <x v="3"/>
    <x v="1"/>
    <n v="150"/>
    <n v="31500"/>
  </r>
  <r>
    <x v="716"/>
    <n v="20"/>
    <n v="12"/>
    <n v="50"/>
    <n v="2"/>
    <n v="2"/>
    <x v="1"/>
    <x v="5"/>
    <n v="115"/>
    <n v="5750"/>
  </r>
  <r>
    <x v="717"/>
    <n v="45"/>
    <n v="15"/>
    <n v="90"/>
    <n v="5"/>
    <n v="5"/>
    <x v="6"/>
    <x v="5"/>
    <n v="137"/>
    <n v="12330"/>
  </r>
  <r>
    <x v="718"/>
    <n v="45"/>
    <n v="30"/>
    <n v="45"/>
    <n v="2"/>
    <n v="2"/>
    <x v="2"/>
    <x v="3"/>
    <n v="115"/>
    <n v="5175"/>
  </r>
  <r>
    <x v="719"/>
    <n v="2"/>
    <n v="30"/>
    <n v="2"/>
    <n v="2"/>
    <n v="2"/>
    <x v="0"/>
    <x v="5"/>
    <n v="187"/>
    <n v="374"/>
  </r>
  <r>
    <x v="720"/>
    <n v="1"/>
    <n v="30"/>
    <n v="1"/>
    <n v="1"/>
    <n v="1"/>
    <x v="5"/>
    <x v="0"/>
    <n v="152"/>
    <n v="152"/>
  </r>
  <r>
    <x v="721"/>
    <n v="30"/>
    <n v="18"/>
    <n v="50"/>
    <n v="2"/>
    <n v="2"/>
    <x v="2"/>
    <x v="3"/>
    <n v="72"/>
    <n v="3600"/>
  </r>
  <r>
    <x v="722"/>
    <n v="0"/>
    <n v="0"/>
    <n v="45"/>
    <n v="2"/>
    <n v="1"/>
    <x v="4"/>
    <x v="2"/>
    <n v="76"/>
    <n v="3420"/>
  </r>
  <r>
    <x v="723"/>
    <n v="-30"/>
    <n v="0"/>
    <n v="20"/>
    <n v="2"/>
    <n v="2"/>
    <x v="6"/>
    <x v="4"/>
    <n v="169"/>
    <n v="3380"/>
  </r>
  <r>
    <x v="724"/>
    <n v="0"/>
    <n v="0"/>
    <n v="2"/>
    <n v="2"/>
    <n v="2"/>
    <x v="4"/>
    <x v="1"/>
    <n v="112"/>
    <n v="224"/>
  </r>
  <r>
    <x v="725"/>
    <n v="0"/>
    <n v="0"/>
    <n v="4"/>
    <n v="4"/>
    <n v="3"/>
    <x v="3"/>
    <x v="5"/>
    <n v="76"/>
    <n v="304"/>
  </r>
  <r>
    <x v="726"/>
    <n v="30"/>
    <n v="15"/>
    <n v="60"/>
    <n v="2"/>
    <n v="2"/>
    <x v="3"/>
    <x v="0"/>
    <n v="94"/>
    <n v="5640"/>
  </r>
  <r>
    <x v="727"/>
    <n v="15"/>
    <n v="15"/>
    <n v="30"/>
    <n v="1"/>
    <n v="1"/>
    <x v="5"/>
    <x v="3"/>
    <n v="141"/>
    <n v="4230"/>
  </r>
  <r>
    <x v="728"/>
    <n v="130"/>
    <n v="20"/>
    <n v="190"/>
    <n v="10"/>
    <n v="8"/>
    <x v="6"/>
    <x v="5"/>
    <n v="136"/>
    <n v="25840"/>
  </r>
  <r>
    <x v="729"/>
    <n v="30"/>
    <n v="22"/>
    <n v="40"/>
    <n v="3"/>
    <n v="2"/>
    <x v="2"/>
    <x v="3"/>
    <n v="111"/>
    <n v="4440"/>
  </r>
  <r>
    <x v="730"/>
    <n v="20"/>
    <n v="30"/>
    <n v="20"/>
    <n v="1"/>
    <n v="1"/>
    <x v="1"/>
    <x v="1"/>
    <n v="98"/>
    <n v="1960"/>
  </r>
  <r>
    <x v="731"/>
    <n v="30"/>
    <n v="30"/>
    <n v="30"/>
    <n v="2"/>
    <n v="2"/>
    <x v="2"/>
    <x v="2"/>
    <n v="86"/>
    <n v="2580"/>
  </r>
  <r>
    <x v="732"/>
    <n v="-5"/>
    <n v="0"/>
    <n v="1"/>
    <n v="1"/>
    <n v="1"/>
    <x v="0"/>
    <x v="3"/>
    <n v="100"/>
    <n v="100"/>
  </r>
  <r>
    <x v="733"/>
    <n v="0"/>
    <n v="0"/>
    <n v="2"/>
    <n v="2"/>
    <n v="2"/>
    <x v="1"/>
    <x v="0"/>
    <n v="118"/>
    <n v="236"/>
  </r>
  <r>
    <x v="734"/>
    <n v="70"/>
    <n v="19"/>
    <n v="110"/>
    <n v="7"/>
    <n v="6"/>
    <x v="1"/>
    <x v="5"/>
    <n v="72"/>
    <n v="7920"/>
  </r>
  <r>
    <x v="735"/>
    <n v="20"/>
    <n v="30"/>
    <n v="20"/>
    <n v="2"/>
    <n v="2"/>
    <x v="0"/>
    <x v="2"/>
    <n v="136"/>
    <n v="2720"/>
  </r>
  <r>
    <x v="736"/>
    <n v="0"/>
    <n v="0"/>
    <n v="9"/>
    <n v="6"/>
    <n v="5"/>
    <x v="4"/>
    <x v="3"/>
    <n v="85"/>
    <n v="765"/>
  </r>
  <r>
    <x v="737"/>
    <n v="-28"/>
    <n v="0"/>
    <n v="18"/>
    <n v="17"/>
    <n v="11"/>
    <x v="1"/>
    <x v="5"/>
    <n v="160"/>
    <n v="2880"/>
  </r>
  <r>
    <x v="738"/>
    <n v="-10"/>
    <n v="0"/>
    <n v="60"/>
    <n v="5"/>
    <n v="5"/>
    <x v="5"/>
    <x v="2"/>
    <n v="99"/>
    <n v="5940"/>
  </r>
  <r>
    <x v="739"/>
    <n v="-8"/>
    <n v="0"/>
    <n v="5"/>
    <n v="5"/>
    <n v="5"/>
    <x v="6"/>
    <x v="4"/>
    <n v="130"/>
    <n v="650"/>
  </r>
  <r>
    <x v="740"/>
    <n v="1"/>
    <n v="6"/>
    <n v="5"/>
    <n v="5"/>
    <n v="5"/>
    <x v="6"/>
    <x v="1"/>
    <n v="175"/>
    <n v="875"/>
  </r>
  <r>
    <x v="741"/>
    <n v="-120"/>
    <n v="0"/>
    <n v="120"/>
    <n v="3"/>
    <n v="3"/>
    <x v="3"/>
    <x v="3"/>
    <n v="142"/>
    <n v="17040"/>
  </r>
  <r>
    <x v="742"/>
    <n v="-20"/>
    <n v="0"/>
    <n v="4"/>
    <n v="2"/>
    <n v="2"/>
    <x v="1"/>
    <x v="3"/>
    <n v="151"/>
    <n v="604"/>
  </r>
  <r>
    <x v="743"/>
    <n v="1"/>
    <n v="15"/>
    <n v="2"/>
    <n v="2"/>
    <n v="2"/>
    <x v="0"/>
    <x v="0"/>
    <n v="104"/>
    <n v="208"/>
  </r>
  <r>
    <x v="744"/>
    <n v="97"/>
    <n v="27"/>
    <n v="106"/>
    <n v="10"/>
    <n v="9"/>
    <x v="1"/>
    <x v="3"/>
    <n v="135"/>
    <n v="14310"/>
  </r>
  <r>
    <x v="745"/>
    <n v="90"/>
    <n v="16"/>
    <n v="165"/>
    <n v="9"/>
    <n v="6"/>
    <x v="5"/>
    <x v="2"/>
    <n v="106"/>
    <n v="17490"/>
  </r>
  <r>
    <x v="746"/>
    <n v="20"/>
    <n v="20"/>
    <n v="30"/>
    <n v="2"/>
    <n v="2"/>
    <x v="1"/>
    <x v="4"/>
    <n v="122"/>
    <n v="3660"/>
  </r>
  <r>
    <x v="747"/>
    <n v="0"/>
    <n v="0"/>
    <n v="30"/>
    <n v="2"/>
    <n v="2"/>
    <x v="5"/>
    <x v="5"/>
    <n v="117"/>
    <n v="3510"/>
  </r>
  <r>
    <x v="748"/>
    <n v="0"/>
    <n v="0"/>
    <n v="15"/>
    <n v="1"/>
    <n v="1"/>
    <x v="2"/>
    <x v="1"/>
    <n v="119"/>
    <n v="1785"/>
  </r>
  <r>
    <x v="749"/>
    <n v="0"/>
    <n v="0"/>
    <n v="1"/>
    <n v="1"/>
    <n v="1"/>
    <x v="3"/>
    <x v="2"/>
    <n v="193"/>
    <n v="193"/>
  </r>
  <r>
    <x v="750"/>
    <n v="0"/>
    <n v="0"/>
    <n v="2"/>
    <n v="1"/>
    <n v="1"/>
    <x v="0"/>
    <x v="2"/>
    <n v="135"/>
    <n v="270"/>
  </r>
  <r>
    <x v="751"/>
    <n v="1"/>
    <n v="15"/>
    <n v="2"/>
    <n v="1"/>
    <n v="1"/>
    <x v="4"/>
    <x v="3"/>
    <n v="162"/>
    <n v="324"/>
  </r>
  <r>
    <x v="752"/>
    <n v="15"/>
    <n v="15"/>
    <n v="30"/>
    <n v="2"/>
    <n v="2"/>
    <x v="1"/>
    <x v="1"/>
    <n v="147"/>
    <n v="4410"/>
  </r>
  <r>
    <x v="753"/>
    <n v="70"/>
    <n v="21"/>
    <n v="100"/>
    <n v="4"/>
    <n v="4"/>
    <x v="2"/>
    <x v="6"/>
    <n v="81"/>
    <n v="8100"/>
  </r>
  <r>
    <x v="754"/>
    <n v="14"/>
    <n v="28"/>
    <n v="15"/>
    <n v="1"/>
    <n v="1"/>
    <x v="4"/>
    <x v="6"/>
    <n v="134"/>
    <n v="2010"/>
  </r>
  <r>
    <x v="755"/>
    <n v="63"/>
    <n v="17"/>
    <n v="110"/>
    <n v="4"/>
    <n v="4"/>
    <x v="3"/>
    <x v="0"/>
    <n v="71"/>
    <n v="7810"/>
  </r>
  <r>
    <x v="756"/>
    <n v="30"/>
    <n v="30"/>
    <n v="30"/>
    <n v="1"/>
    <n v="1"/>
    <x v="4"/>
    <x v="4"/>
    <n v="66"/>
    <n v="1980"/>
  </r>
  <r>
    <x v="757"/>
    <n v="30"/>
    <n v="30"/>
    <n v="30"/>
    <n v="2"/>
    <n v="2"/>
    <x v="3"/>
    <x v="3"/>
    <n v="148"/>
    <n v="4440"/>
  </r>
  <r>
    <x v="758"/>
    <n v="20"/>
    <n v="20"/>
    <n v="30"/>
    <n v="3"/>
    <n v="3"/>
    <x v="1"/>
    <x v="3"/>
    <n v="120"/>
    <n v="3600"/>
  </r>
  <r>
    <x v="759"/>
    <n v="0"/>
    <n v="0"/>
    <n v="1"/>
    <n v="1"/>
    <n v="1"/>
    <x v="3"/>
    <x v="3"/>
    <n v="72"/>
    <n v="72"/>
  </r>
  <r>
    <x v="760"/>
    <n v="13"/>
    <n v="6"/>
    <n v="60"/>
    <n v="6"/>
    <n v="6"/>
    <x v="3"/>
    <x v="1"/>
    <n v="98"/>
    <n v="5880"/>
  </r>
  <r>
    <x v="761"/>
    <n v="15"/>
    <n v="7"/>
    <n v="60"/>
    <n v="2"/>
    <n v="2"/>
    <x v="0"/>
    <x v="0"/>
    <n v="101"/>
    <n v="6060"/>
  </r>
  <r>
    <x v="762"/>
    <n v="-1"/>
    <n v="0"/>
    <n v="1"/>
    <n v="1"/>
    <n v="1"/>
    <x v="4"/>
    <x v="4"/>
    <n v="167"/>
    <n v="167"/>
  </r>
  <r>
    <x v="763"/>
    <n v="0"/>
    <n v="0"/>
    <n v="2"/>
    <n v="2"/>
    <n v="2"/>
    <x v="5"/>
    <x v="5"/>
    <n v="117"/>
    <n v="234"/>
  </r>
  <r>
    <x v="764"/>
    <n v="15"/>
    <n v="15"/>
    <n v="30"/>
    <n v="2"/>
    <n v="2"/>
    <x v="5"/>
    <x v="2"/>
    <n v="65"/>
    <n v="1950"/>
  </r>
  <r>
    <x v="765"/>
    <n v="40"/>
    <n v="20"/>
    <n v="60"/>
    <n v="6"/>
    <n v="5"/>
    <x v="0"/>
    <x v="2"/>
    <n v="134"/>
    <n v="8040"/>
  </r>
  <r>
    <x v="766"/>
    <n v="50"/>
    <n v="25"/>
    <n v="60"/>
    <n v="4"/>
    <n v="4"/>
    <x v="2"/>
    <x v="4"/>
    <n v="110"/>
    <n v="6600"/>
  </r>
  <r>
    <x v="767"/>
    <n v="20"/>
    <n v="30"/>
    <n v="20"/>
    <n v="1"/>
    <n v="1"/>
    <x v="2"/>
    <x v="2"/>
    <n v="73"/>
    <n v="1460"/>
  </r>
  <r>
    <x v="768"/>
    <n v="20"/>
    <n v="30"/>
    <n v="20"/>
    <n v="2"/>
    <n v="2"/>
    <x v="4"/>
    <x v="2"/>
    <n v="94"/>
    <n v="1880"/>
  </r>
  <r>
    <x v="769"/>
    <n v="0"/>
    <n v="0"/>
    <n v="80"/>
    <n v="7"/>
    <n v="7"/>
    <x v="0"/>
    <x v="6"/>
    <n v="166"/>
    <n v="13280"/>
  </r>
  <r>
    <x v="770"/>
    <n v="0"/>
    <n v="0"/>
    <n v="50"/>
    <n v="4"/>
    <n v="4"/>
    <x v="1"/>
    <x v="6"/>
    <n v="134"/>
    <n v="6700"/>
  </r>
  <r>
    <x v="771"/>
    <n v="0"/>
    <n v="0"/>
    <n v="5"/>
    <n v="3"/>
    <n v="3"/>
    <x v="5"/>
    <x v="6"/>
    <n v="157"/>
    <n v="785"/>
  </r>
  <r>
    <x v="772"/>
    <n v="-30"/>
    <n v="0"/>
    <n v="90"/>
    <n v="4"/>
    <n v="3"/>
    <x v="0"/>
    <x v="6"/>
    <n v="62"/>
    <n v="5580"/>
  </r>
  <r>
    <x v="773"/>
    <n v="0"/>
    <n v="0"/>
    <n v="1"/>
    <n v="1"/>
    <n v="1"/>
    <x v="4"/>
    <x v="2"/>
    <n v="74"/>
    <n v="74"/>
  </r>
  <r>
    <x v="774"/>
    <n v="-3"/>
    <n v="0"/>
    <n v="1"/>
    <n v="1"/>
    <n v="1"/>
    <x v="6"/>
    <x v="1"/>
    <n v="154"/>
    <n v="154"/>
  </r>
  <r>
    <x v="775"/>
    <n v="-112"/>
    <n v="0"/>
    <n v="140"/>
    <n v="3"/>
    <n v="3"/>
    <x v="5"/>
    <x v="1"/>
    <n v="79"/>
    <n v="11060"/>
  </r>
  <r>
    <x v="776"/>
    <n v="-30"/>
    <n v="0"/>
    <n v="45"/>
    <n v="3"/>
    <n v="3"/>
    <x v="6"/>
    <x v="1"/>
    <n v="77"/>
    <n v="3465"/>
  </r>
  <r>
    <x v="777"/>
    <n v="0"/>
    <n v="0"/>
    <n v="1"/>
    <n v="1"/>
    <n v="1"/>
    <x v="4"/>
    <x v="2"/>
    <n v="172"/>
    <n v="172"/>
  </r>
  <r>
    <x v="778"/>
    <n v="15"/>
    <n v="9"/>
    <n v="50"/>
    <n v="5"/>
    <n v="4"/>
    <x v="0"/>
    <x v="3"/>
    <n v="86"/>
    <n v="4300"/>
  </r>
  <r>
    <x v="779"/>
    <n v="1"/>
    <n v="30"/>
    <n v="1"/>
    <n v="1"/>
    <n v="1"/>
    <x v="4"/>
    <x v="4"/>
    <n v="104"/>
    <n v="104"/>
  </r>
  <r>
    <x v="780"/>
    <n v="30"/>
    <n v="22"/>
    <n v="40"/>
    <n v="2"/>
    <n v="2"/>
    <x v="5"/>
    <x v="2"/>
    <n v="103"/>
    <n v="4120"/>
  </r>
  <r>
    <x v="781"/>
    <n v="1"/>
    <n v="30"/>
    <n v="1"/>
    <n v="1"/>
    <n v="1"/>
    <x v="1"/>
    <x v="1"/>
    <n v="189"/>
    <n v="189"/>
  </r>
  <r>
    <x v="782"/>
    <n v="10"/>
    <n v="30"/>
    <n v="10"/>
    <n v="1"/>
    <n v="1"/>
    <x v="6"/>
    <x v="2"/>
    <n v="139"/>
    <n v="1390"/>
  </r>
  <r>
    <x v="783"/>
    <n v="0"/>
    <n v="0"/>
    <n v="12"/>
    <n v="7"/>
    <n v="6"/>
    <x v="0"/>
    <x v="3"/>
    <n v="83"/>
    <n v="996"/>
  </r>
  <r>
    <x v="784"/>
    <n v="0"/>
    <n v="0"/>
    <n v="3"/>
    <n v="3"/>
    <n v="3"/>
    <x v="0"/>
    <x v="4"/>
    <n v="79"/>
    <n v="237"/>
  </r>
  <r>
    <x v="785"/>
    <n v="0"/>
    <n v="0"/>
    <n v="3"/>
    <n v="3"/>
    <n v="3"/>
    <x v="0"/>
    <x v="0"/>
    <n v="144"/>
    <n v="432"/>
  </r>
  <r>
    <x v="786"/>
    <n v="0"/>
    <n v="0"/>
    <n v="20"/>
    <n v="1"/>
    <n v="1"/>
    <x v="5"/>
    <x v="4"/>
    <n v="113"/>
    <n v="2260"/>
  </r>
  <r>
    <x v="787"/>
    <n v="-3"/>
    <n v="0"/>
    <n v="1"/>
    <n v="1"/>
    <n v="1"/>
    <x v="1"/>
    <x v="5"/>
    <n v="87"/>
    <n v="87"/>
  </r>
  <r>
    <x v="788"/>
    <n v="0"/>
    <n v="0"/>
    <n v="20"/>
    <n v="2"/>
    <n v="2"/>
    <x v="6"/>
    <x v="1"/>
    <n v="70"/>
    <n v="1400"/>
  </r>
  <r>
    <x v="789"/>
    <n v="1"/>
    <n v="15"/>
    <n v="2"/>
    <n v="2"/>
    <n v="2"/>
    <x v="5"/>
    <x v="0"/>
    <n v="132"/>
    <n v="264"/>
  </r>
  <r>
    <x v="790"/>
    <n v="1"/>
    <n v="15"/>
    <n v="2"/>
    <n v="2"/>
    <n v="2"/>
    <x v="4"/>
    <x v="4"/>
    <n v="73"/>
    <n v="146"/>
  </r>
  <r>
    <x v="791"/>
    <n v="30"/>
    <n v="15"/>
    <n v="60"/>
    <n v="2"/>
    <n v="2"/>
    <x v="6"/>
    <x v="5"/>
    <n v="83"/>
    <n v="4980"/>
  </r>
  <r>
    <x v="792"/>
    <n v="1"/>
    <n v="30"/>
    <n v="1"/>
    <n v="1"/>
    <n v="1"/>
    <x v="2"/>
    <x v="1"/>
    <n v="105"/>
    <n v="105"/>
  </r>
  <r>
    <x v="793"/>
    <n v="3"/>
    <n v="30"/>
    <n v="3"/>
    <n v="3"/>
    <n v="3"/>
    <x v="6"/>
    <x v="5"/>
    <n v="134"/>
    <n v="402"/>
  </r>
  <r>
    <x v="794"/>
    <n v="10"/>
    <n v="30"/>
    <n v="10"/>
    <n v="1"/>
    <n v="1"/>
    <x v="6"/>
    <x v="2"/>
    <n v="76"/>
    <n v="760"/>
  </r>
  <r>
    <x v="795"/>
    <n v="40"/>
    <n v="30"/>
    <n v="40"/>
    <n v="3"/>
    <n v="3"/>
    <x v="1"/>
    <x v="3"/>
    <n v="97"/>
    <n v="3880"/>
  </r>
  <r>
    <x v="796"/>
    <n v="-60"/>
    <n v="0"/>
    <n v="90"/>
    <n v="3"/>
    <n v="3"/>
    <x v="3"/>
    <x v="5"/>
    <n v="123"/>
    <n v="11070"/>
  </r>
  <r>
    <x v="797"/>
    <n v="0"/>
    <n v="0"/>
    <n v="4"/>
    <n v="4"/>
    <n v="4"/>
    <x v="1"/>
    <x v="0"/>
    <n v="171"/>
    <n v="684"/>
  </r>
  <r>
    <x v="798"/>
    <n v="-5"/>
    <n v="0"/>
    <n v="3"/>
    <n v="3"/>
    <n v="2"/>
    <x v="6"/>
    <x v="3"/>
    <n v="150"/>
    <n v="450"/>
  </r>
  <r>
    <x v="799"/>
    <n v="-1"/>
    <n v="0"/>
    <n v="2"/>
    <n v="1"/>
    <n v="1"/>
    <x v="4"/>
    <x v="4"/>
    <n v="87"/>
    <n v="174"/>
  </r>
  <r>
    <x v="800"/>
    <n v="-30"/>
    <n v="0"/>
    <n v="30"/>
    <n v="3"/>
    <n v="3"/>
    <x v="5"/>
    <x v="0"/>
    <n v="132"/>
    <n v="3960"/>
  </r>
  <r>
    <x v="801"/>
    <n v="134"/>
    <n v="28"/>
    <n v="140"/>
    <n v="49"/>
    <n v="23"/>
    <x v="0"/>
    <x v="1"/>
    <n v="103"/>
    <n v="14420"/>
  </r>
  <r>
    <x v="802"/>
    <n v="480"/>
    <n v="20"/>
    <n v="720"/>
    <n v="6"/>
    <n v="6"/>
    <x v="4"/>
    <x v="4"/>
    <n v="106"/>
    <n v="76320"/>
  </r>
  <r>
    <x v="803"/>
    <n v="30"/>
    <n v="30"/>
    <n v="30"/>
    <n v="1"/>
    <n v="1"/>
    <x v="1"/>
    <x v="6"/>
    <n v="109"/>
    <n v="3270"/>
  </r>
  <r>
    <x v="804"/>
    <n v="-70"/>
    <n v="0"/>
    <n v="170"/>
    <n v="11"/>
    <n v="9"/>
    <x v="1"/>
    <x v="1"/>
    <n v="77"/>
    <n v="13090"/>
  </r>
  <r>
    <x v="805"/>
    <n v="0"/>
    <n v="0"/>
    <n v="10"/>
    <n v="1"/>
    <n v="1"/>
    <x v="5"/>
    <x v="3"/>
    <n v="108"/>
    <n v="1080"/>
  </r>
  <r>
    <x v="806"/>
    <n v="-4"/>
    <n v="0"/>
    <n v="1"/>
    <n v="1"/>
    <n v="1"/>
    <x v="6"/>
    <x v="4"/>
    <n v="139"/>
    <n v="139"/>
  </r>
  <r>
    <x v="807"/>
    <n v="1"/>
    <n v="7"/>
    <n v="4"/>
    <n v="4"/>
    <n v="4"/>
    <x v="0"/>
    <x v="0"/>
    <n v="150"/>
    <n v="600"/>
  </r>
  <r>
    <x v="808"/>
    <n v="0"/>
    <n v="0"/>
    <n v="30"/>
    <n v="2"/>
    <n v="1"/>
    <x v="3"/>
    <x v="4"/>
    <n v="115"/>
    <n v="3450"/>
  </r>
  <r>
    <x v="809"/>
    <n v="15"/>
    <n v="15"/>
    <n v="30"/>
    <n v="2"/>
    <n v="2"/>
    <x v="6"/>
    <x v="6"/>
    <n v="60"/>
    <n v="1800"/>
  </r>
  <r>
    <x v="810"/>
    <n v="9"/>
    <n v="30"/>
    <n v="9"/>
    <n v="9"/>
    <n v="8"/>
    <x v="6"/>
    <x v="6"/>
    <n v="193"/>
    <n v="1737"/>
  </r>
  <r>
    <x v="811"/>
    <n v="45"/>
    <n v="18"/>
    <n v="75"/>
    <n v="4"/>
    <n v="4"/>
    <x v="1"/>
    <x v="1"/>
    <n v="126"/>
    <n v="9450"/>
  </r>
  <r>
    <x v="812"/>
    <n v="2"/>
    <n v="20"/>
    <n v="3"/>
    <n v="2"/>
    <n v="2"/>
    <x v="3"/>
    <x v="5"/>
    <n v="190"/>
    <n v="570"/>
  </r>
  <r>
    <x v="813"/>
    <n v="70"/>
    <n v="30"/>
    <n v="70"/>
    <n v="4"/>
    <n v="3"/>
    <x v="5"/>
    <x v="1"/>
    <n v="91"/>
    <n v="6370"/>
  </r>
  <r>
    <x v="814"/>
    <n v="-45"/>
    <n v="0"/>
    <n v="120"/>
    <n v="6"/>
    <n v="6"/>
    <x v="5"/>
    <x v="4"/>
    <n v="146"/>
    <n v="17520"/>
  </r>
  <r>
    <x v="815"/>
    <n v="-10"/>
    <n v="0"/>
    <n v="110"/>
    <n v="10"/>
    <n v="10"/>
    <x v="0"/>
    <x v="6"/>
    <n v="122"/>
    <n v="13420"/>
  </r>
  <r>
    <x v="816"/>
    <n v="-1"/>
    <n v="0"/>
    <n v="7"/>
    <n v="7"/>
    <n v="5"/>
    <x v="1"/>
    <x v="1"/>
    <n v="132"/>
    <n v="924"/>
  </r>
  <r>
    <x v="817"/>
    <n v="-10"/>
    <n v="0"/>
    <n v="20"/>
    <n v="2"/>
    <n v="2"/>
    <x v="2"/>
    <x v="5"/>
    <n v="95"/>
    <n v="1900"/>
  </r>
  <r>
    <x v="818"/>
    <n v="-2"/>
    <n v="0"/>
    <n v="30"/>
    <n v="3"/>
    <n v="3"/>
    <x v="1"/>
    <x v="4"/>
    <n v="80"/>
    <n v="2400"/>
  </r>
  <r>
    <x v="819"/>
    <n v="27"/>
    <n v="15"/>
    <n v="51"/>
    <n v="6"/>
    <n v="5"/>
    <x v="3"/>
    <x v="4"/>
    <n v="122"/>
    <n v="6222"/>
  </r>
  <r>
    <x v="820"/>
    <n v="30"/>
    <n v="30"/>
    <n v="30"/>
    <n v="3"/>
    <n v="3"/>
    <x v="5"/>
    <x v="2"/>
    <n v="149"/>
    <n v="4470"/>
  </r>
  <r>
    <x v="821"/>
    <n v="30"/>
    <n v="20"/>
    <n v="45"/>
    <n v="3"/>
    <n v="3"/>
    <x v="2"/>
    <x v="5"/>
    <n v="99"/>
    <n v="4455"/>
  </r>
  <r>
    <x v="822"/>
    <n v="1"/>
    <n v="30"/>
    <n v="1"/>
    <n v="1"/>
    <n v="1"/>
    <x v="2"/>
    <x v="5"/>
    <n v="122"/>
    <n v="122"/>
  </r>
  <r>
    <x v="823"/>
    <n v="2"/>
    <n v="30"/>
    <n v="2"/>
    <n v="2"/>
    <n v="2"/>
    <x v="5"/>
    <x v="4"/>
    <n v="157"/>
    <n v="314"/>
  </r>
  <r>
    <x v="824"/>
    <n v="15"/>
    <n v="30"/>
    <n v="15"/>
    <n v="1"/>
    <n v="1"/>
    <x v="5"/>
    <x v="6"/>
    <n v="71"/>
    <n v="1065"/>
  </r>
  <r>
    <x v="825"/>
    <n v="3"/>
    <n v="30"/>
    <n v="3"/>
    <n v="3"/>
    <n v="3"/>
    <x v="2"/>
    <x v="4"/>
    <n v="107"/>
    <n v="321"/>
  </r>
  <r>
    <x v="826"/>
    <n v="-1"/>
    <n v="0"/>
    <n v="1"/>
    <n v="1"/>
    <n v="1"/>
    <x v="6"/>
    <x v="0"/>
    <n v="82"/>
    <n v="82"/>
  </r>
  <r>
    <x v="827"/>
    <n v="10"/>
    <n v="5"/>
    <n v="60"/>
    <n v="3"/>
    <n v="2"/>
    <x v="3"/>
    <x v="3"/>
    <n v="109"/>
    <n v="6540"/>
  </r>
  <r>
    <x v="828"/>
    <n v="-5"/>
    <n v="0"/>
    <n v="25"/>
    <n v="2"/>
    <n v="2"/>
    <x v="6"/>
    <x v="2"/>
    <n v="64"/>
    <n v="1600"/>
  </r>
  <r>
    <x v="829"/>
    <n v="0"/>
    <n v="0"/>
    <n v="20"/>
    <n v="1"/>
    <n v="1"/>
    <x v="4"/>
    <x v="3"/>
    <n v="96"/>
    <n v="1920"/>
  </r>
  <r>
    <x v="830"/>
    <n v="15"/>
    <n v="9"/>
    <n v="50"/>
    <n v="5"/>
    <n v="5"/>
    <x v="0"/>
    <x v="0"/>
    <n v="61"/>
    <n v="3050"/>
  </r>
  <r>
    <x v="831"/>
    <n v="42"/>
    <n v="30"/>
    <n v="42"/>
    <n v="2"/>
    <n v="2"/>
    <x v="1"/>
    <x v="1"/>
    <n v="112"/>
    <n v="4704"/>
  </r>
  <r>
    <x v="832"/>
    <n v="2"/>
    <n v="30"/>
    <n v="2"/>
    <n v="2"/>
    <n v="2"/>
    <x v="4"/>
    <x v="2"/>
    <n v="191"/>
    <n v="382"/>
  </r>
  <r>
    <x v="833"/>
    <n v="30"/>
    <n v="30"/>
    <n v="30"/>
    <n v="3"/>
    <n v="3"/>
    <x v="1"/>
    <x v="6"/>
    <n v="116"/>
    <n v="3480"/>
  </r>
  <r>
    <x v="834"/>
    <n v="100"/>
    <n v="30"/>
    <n v="100"/>
    <n v="1"/>
    <n v="1"/>
    <x v="6"/>
    <x v="1"/>
    <n v="77"/>
    <n v="7700"/>
  </r>
  <r>
    <x v="835"/>
    <n v="10"/>
    <n v="30"/>
    <n v="10"/>
    <n v="1"/>
    <n v="1"/>
    <x v="1"/>
    <x v="5"/>
    <n v="113"/>
    <n v="1130"/>
  </r>
  <r>
    <x v="836"/>
    <n v="10"/>
    <n v="30"/>
    <n v="10"/>
    <n v="1"/>
    <n v="1"/>
    <x v="0"/>
    <x v="0"/>
    <n v="123"/>
    <n v="1230"/>
  </r>
  <r>
    <x v="837"/>
    <n v="-11"/>
    <n v="0"/>
    <n v="4"/>
    <n v="3"/>
    <n v="3"/>
    <x v="0"/>
    <x v="4"/>
    <n v="131"/>
    <n v="524"/>
  </r>
  <r>
    <x v="838"/>
    <n v="-3"/>
    <n v="0"/>
    <n v="1"/>
    <n v="1"/>
    <n v="1"/>
    <x v="6"/>
    <x v="1"/>
    <n v="112"/>
    <n v="112"/>
  </r>
  <r>
    <x v="839"/>
    <n v="6"/>
    <n v="2"/>
    <n v="85"/>
    <n v="5"/>
    <n v="5"/>
    <x v="5"/>
    <x v="2"/>
    <n v="109"/>
    <n v="9265"/>
  </r>
  <r>
    <x v="840"/>
    <m/>
    <m/>
    <m/>
    <m/>
    <m/>
    <x v="1"/>
    <x v="1"/>
    <n v="146"/>
    <n v="0"/>
  </r>
  <r>
    <x v="841"/>
    <n v="20"/>
    <n v="15"/>
    <n v="40"/>
    <n v="3"/>
    <n v="2"/>
    <x v="3"/>
    <x v="5"/>
    <n v="114"/>
    <n v="4560"/>
  </r>
  <r>
    <x v="842"/>
    <n v="60"/>
    <n v="30"/>
    <n v="60"/>
    <n v="3"/>
    <n v="3"/>
    <x v="2"/>
    <x v="1"/>
    <n v="105"/>
    <n v="6300"/>
  </r>
  <r>
    <x v="843"/>
    <n v="45"/>
    <n v="22"/>
    <n v="60"/>
    <n v="4"/>
    <n v="4"/>
    <x v="5"/>
    <x v="2"/>
    <n v="134"/>
    <n v="8040"/>
  </r>
  <r>
    <x v="844"/>
    <n v="1"/>
    <n v="30"/>
    <n v="1"/>
    <n v="1"/>
    <n v="1"/>
    <x v="3"/>
    <x v="2"/>
    <n v="123"/>
    <n v="123"/>
  </r>
  <r>
    <x v="845"/>
    <n v="2"/>
    <n v="30"/>
    <n v="2"/>
    <n v="2"/>
    <n v="2"/>
    <x v="3"/>
    <x v="3"/>
    <n v="78"/>
    <n v="156"/>
  </r>
  <r>
    <x v="846"/>
    <n v="3"/>
    <n v="30"/>
    <n v="3"/>
    <n v="1"/>
    <n v="1"/>
    <x v="4"/>
    <x v="5"/>
    <n v="127"/>
    <n v="381"/>
  </r>
  <r>
    <x v="847"/>
    <n v="60"/>
    <n v="30"/>
    <n v="60"/>
    <n v="2"/>
    <n v="2"/>
    <x v="3"/>
    <x v="5"/>
    <n v="125"/>
    <n v="7500"/>
  </r>
  <r>
    <x v="848"/>
    <n v="20"/>
    <n v="30"/>
    <n v="20"/>
    <n v="1"/>
    <n v="1"/>
    <x v="4"/>
    <x v="5"/>
    <n v="179"/>
    <n v="3580"/>
  </r>
  <r>
    <x v="849"/>
    <n v="20"/>
    <n v="30"/>
    <n v="20"/>
    <n v="1"/>
    <n v="1"/>
    <x v="2"/>
    <x v="0"/>
    <n v="121"/>
    <n v="2420"/>
  </r>
  <r>
    <x v="850"/>
    <n v="50"/>
    <n v="3"/>
    <n v="429"/>
    <n v="13"/>
    <n v="8"/>
    <x v="3"/>
    <x v="0"/>
    <n v="62"/>
    <n v="26598"/>
  </r>
  <r>
    <x v="851"/>
    <n v="-60"/>
    <n v="0"/>
    <n v="60"/>
    <n v="4"/>
    <n v="4"/>
    <x v="6"/>
    <x v="2"/>
    <n v="148"/>
    <n v="8880"/>
  </r>
  <r>
    <x v="852"/>
    <n v="0"/>
    <n v="0"/>
    <n v="45"/>
    <n v="3"/>
    <n v="3"/>
    <x v="6"/>
    <x v="2"/>
    <n v="118"/>
    <n v="5310"/>
  </r>
  <r>
    <x v="853"/>
    <n v="-10"/>
    <n v="0"/>
    <n v="10"/>
    <n v="1"/>
    <n v="1"/>
    <x v="4"/>
    <x v="5"/>
    <n v="85"/>
    <n v="850"/>
  </r>
  <r>
    <x v="854"/>
    <n v="-11"/>
    <n v="0"/>
    <n v="1"/>
    <n v="1"/>
    <n v="1"/>
    <x v="0"/>
    <x v="6"/>
    <n v="141"/>
    <n v="141"/>
  </r>
  <r>
    <x v="855"/>
    <n v="-10"/>
    <n v="0"/>
    <n v="10"/>
    <n v="1"/>
    <n v="1"/>
    <x v="0"/>
    <x v="1"/>
    <n v="112"/>
    <n v="1120"/>
  </r>
  <r>
    <x v="856"/>
    <n v="-30"/>
    <n v="0"/>
    <n v="10"/>
    <n v="1"/>
    <n v="1"/>
    <x v="2"/>
    <x v="0"/>
    <n v="81"/>
    <n v="810"/>
  </r>
  <r>
    <x v="857"/>
    <n v="30"/>
    <n v="15"/>
    <n v="60"/>
    <n v="4"/>
    <n v="4"/>
    <x v="1"/>
    <x v="5"/>
    <n v="139"/>
    <n v="8340"/>
  </r>
  <r>
    <x v="858"/>
    <n v="40"/>
    <n v="17"/>
    <n v="70"/>
    <n v="7"/>
    <n v="5"/>
    <x v="3"/>
    <x v="1"/>
    <n v="85"/>
    <n v="5950"/>
  </r>
  <r>
    <x v="859"/>
    <n v="20"/>
    <n v="20"/>
    <n v="30"/>
    <n v="1"/>
    <n v="1"/>
    <x v="2"/>
    <x v="6"/>
    <n v="130"/>
    <n v="3900"/>
  </r>
  <r>
    <x v="860"/>
    <n v="4"/>
    <n v="20"/>
    <n v="6"/>
    <n v="6"/>
    <n v="6"/>
    <x v="3"/>
    <x v="4"/>
    <n v="134"/>
    <n v="804"/>
  </r>
  <r>
    <x v="861"/>
    <n v="1"/>
    <n v="30"/>
    <n v="1"/>
    <n v="1"/>
    <n v="1"/>
    <x v="4"/>
    <x v="5"/>
    <n v="171"/>
    <n v="171"/>
  </r>
  <r>
    <x v="862"/>
    <n v="8"/>
    <n v="30"/>
    <n v="8"/>
    <n v="1"/>
    <n v="1"/>
    <x v="3"/>
    <x v="2"/>
    <n v="116"/>
    <n v="928"/>
  </r>
  <r>
    <x v="863"/>
    <n v="20"/>
    <n v="30"/>
    <n v="20"/>
    <n v="2"/>
    <n v="2"/>
    <x v="4"/>
    <x v="3"/>
    <n v="82"/>
    <n v="1640"/>
  </r>
  <r>
    <x v="864"/>
    <n v="0"/>
    <n v="0"/>
    <n v="105"/>
    <n v="3"/>
    <n v="3"/>
    <x v="5"/>
    <x v="1"/>
    <n v="93"/>
    <n v="9765"/>
  </r>
  <r>
    <x v="865"/>
    <n v="-1"/>
    <n v="0"/>
    <n v="1"/>
    <n v="1"/>
    <n v="1"/>
    <x v="4"/>
    <x v="2"/>
    <n v="123"/>
    <n v="123"/>
  </r>
  <r>
    <x v="866"/>
    <n v="0"/>
    <n v="0"/>
    <n v="1"/>
    <n v="1"/>
    <n v="1"/>
    <x v="3"/>
    <x v="3"/>
    <n v="149"/>
    <n v="149"/>
  </r>
  <r>
    <x v="867"/>
    <n v="1"/>
    <n v="15"/>
    <n v="2"/>
    <n v="2"/>
    <n v="2"/>
    <x v="6"/>
    <x v="2"/>
    <n v="170"/>
    <n v="340"/>
  </r>
  <r>
    <x v="868"/>
    <n v="20"/>
    <n v="15"/>
    <n v="40"/>
    <n v="4"/>
    <n v="4"/>
    <x v="0"/>
    <x v="5"/>
    <n v="93"/>
    <n v="3720"/>
  </r>
  <r>
    <x v="869"/>
    <n v="15"/>
    <n v="15"/>
    <n v="30"/>
    <n v="2"/>
    <n v="2"/>
    <x v="1"/>
    <x v="5"/>
    <n v="117"/>
    <n v="3510"/>
  </r>
  <r>
    <x v="870"/>
    <n v="44"/>
    <n v="28"/>
    <n v="47"/>
    <n v="4"/>
    <n v="4"/>
    <x v="5"/>
    <x v="6"/>
    <n v="150"/>
    <n v="7050"/>
  </r>
  <r>
    <x v="871"/>
    <n v="30"/>
    <n v="30"/>
    <n v="30"/>
    <n v="2"/>
    <n v="2"/>
    <x v="4"/>
    <x v="2"/>
    <n v="79"/>
    <n v="2370"/>
  </r>
  <r>
    <x v="872"/>
    <n v="2"/>
    <n v="30"/>
    <n v="2"/>
    <n v="2"/>
    <n v="2"/>
    <x v="6"/>
    <x v="6"/>
    <n v="186"/>
    <n v="372"/>
  </r>
  <r>
    <x v="873"/>
    <n v="10"/>
    <n v="5"/>
    <n v="60"/>
    <n v="3"/>
    <n v="3"/>
    <x v="4"/>
    <x v="4"/>
    <n v="82"/>
    <n v="4920"/>
  </r>
  <r>
    <x v="874"/>
    <n v="0"/>
    <n v="0"/>
    <n v="70"/>
    <n v="3"/>
    <n v="3"/>
    <x v="3"/>
    <x v="1"/>
    <n v="91"/>
    <n v="6370"/>
  </r>
  <r>
    <x v="875"/>
    <n v="15"/>
    <n v="5"/>
    <n v="90"/>
    <n v="3"/>
    <n v="3"/>
    <x v="4"/>
    <x v="1"/>
    <n v="147"/>
    <n v="13230"/>
  </r>
  <r>
    <x v="876"/>
    <n v="-3"/>
    <n v="0"/>
    <n v="1"/>
    <n v="1"/>
    <n v="1"/>
    <x v="6"/>
    <x v="3"/>
    <n v="100"/>
    <n v="100"/>
  </r>
  <r>
    <x v="877"/>
    <n v="-1"/>
    <n v="0"/>
    <n v="2"/>
    <n v="2"/>
    <n v="2"/>
    <x v="2"/>
    <x v="2"/>
    <n v="142"/>
    <n v="284"/>
  </r>
  <r>
    <x v="878"/>
    <n v="-30"/>
    <n v="0"/>
    <n v="60"/>
    <n v="2"/>
    <n v="2"/>
    <x v="4"/>
    <x v="1"/>
    <n v="147"/>
    <n v="8820"/>
  </r>
  <r>
    <x v="879"/>
    <n v="-2"/>
    <n v="0"/>
    <n v="1"/>
    <n v="1"/>
    <n v="1"/>
    <x v="3"/>
    <x v="0"/>
    <n v="180"/>
    <n v="180"/>
  </r>
  <r>
    <x v="880"/>
    <n v="0"/>
    <n v="0"/>
    <n v="20"/>
    <n v="1"/>
    <n v="1"/>
    <x v="3"/>
    <x v="0"/>
    <n v="121"/>
    <n v="2420"/>
  </r>
  <r>
    <x v="881"/>
    <n v="0"/>
    <n v="0"/>
    <n v="4"/>
    <n v="4"/>
    <n v="4"/>
    <x v="6"/>
    <x v="1"/>
    <n v="140"/>
    <n v="560"/>
  </r>
  <r>
    <x v="882"/>
    <n v="60"/>
    <n v="12"/>
    <n v="150"/>
    <n v="15"/>
    <n v="14"/>
    <x v="5"/>
    <x v="3"/>
    <n v="66"/>
    <n v="9900"/>
  </r>
  <r>
    <x v="883"/>
    <n v="720"/>
    <n v="11"/>
    <n v="1920"/>
    <n v="16"/>
    <n v="15"/>
    <x v="3"/>
    <x v="5"/>
    <n v="89"/>
    <n v="170880"/>
  </r>
  <r>
    <x v="884"/>
    <n v="130"/>
    <n v="30"/>
    <n v="130"/>
    <n v="7"/>
    <n v="7"/>
    <x v="2"/>
    <x v="2"/>
    <n v="78"/>
    <n v="10140"/>
  </r>
  <r>
    <x v="885"/>
    <n v="10"/>
    <n v="30"/>
    <n v="10"/>
    <n v="1"/>
    <n v="1"/>
    <x v="6"/>
    <x v="0"/>
    <n v="88"/>
    <n v="880"/>
  </r>
  <r>
    <x v="886"/>
    <n v="30"/>
    <n v="22"/>
    <n v="40"/>
    <n v="1"/>
    <n v="1"/>
    <x v="5"/>
    <x v="5"/>
    <n v="79"/>
    <n v="3160"/>
  </r>
  <r>
    <x v="887"/>
    <n v="1"/>
    <n v="30"/>
    <n v="1"/>
    <n v="1"/>
    <n v="1"/>
    <x v="5"/>
    <x v="2"/>
    <n v="74"/>
    <n v="74"/>
  </r>
  <r>
    <x v="888"/>
    <n v="60"/>
    <n v="30"/>
    <n v="60"/>
    <n v="2"/>
    <n v="2"/>
    <x v="1"/>
    <x v="5"/>
    <n v="118"/>
    <n v="7080"/>
  </r>
  <r>
    <x v="889"/>
    <n v="15"/>
    <n v="30"/>
    <n v="15"/>
    <n v="1"/>
    <n v="1"/>
    <x v="3"/>
    <x v="1"/>
    <n v="133"/>
    <n v="1995"/>
  </r>
  <r>
    <x v="890"/>
    <n v="30"/>
    <n v="30"/>
    <n v="30"/>
    <n v="1"/>
    <n v="1"/>
    <x v="0"/>
    <x v="6"/>
    <n v="144"/>
    <n v="4320"/>
  </r>
  <r>
    <x v="891"/>
    <n v="20"/>
    <n v="30"/>
    <n v="20"/>
    <n v="2"/>
    <n v="2"/>
    <x v="1"/>
    <x v="6"/>
    <n v="188"/>
    <n v="3760"/>
  </r>
  <r>
    <x v="892"/>
    <n v="10"/>
    <n v="4"/>
    <n v="70"/>
    <n v="4"/>
    <n v="4"/>
    <x v="2"/>
    <x v="1"/>
    <n v="92"/>
    <n v="6440"/>
  </r>
  <r>
    <x v="893"/>
    <n v="0"/>
    <n v="0"/>
    <n v="40"/>
    <n v="2"/>
    <n v="2"/>
    <x v="4"/>
    <x v="6"/>
    <n v="108"/>
    <n v="4320"/>
  </r>
  <r>
    <x v="894"/>
    <n v="10"/>
    <n v="7"/>
    <n v="40"/>
    <n v="4"/>
    <n v="4"/>
    <x v="1"/>
    <x v="5"/>
    <n v="65"/>
    <n v="2600"/>
  </r>
  <r>
    <x v="895"/>
    <n v="0"/>
    <n v="0"/>
    <n v="10"/>
    <n v="1"/>
    <n v="1"/>
    <x v="1"/>
    <x v="5"/>
    <n v="141"/>
    <n v="1410"/>
  </r>
  <r>
    <x v="896"/>
    <n v="70"/>
    <n v="14"/>
    <n v="150"/>
    <n v="6"/>
    <n v="6"/>
    <x v="6"/>
    <x v="5"/>
    <n v="120"/>
    <n v="18000"/>
  </r>
  <r>
    <x v="897"/>
    <n v="70"/>
    <n v="15"/>
    <n v="140"/>
    <n v="1"/>
    <n v="1"/>
    <x v="6"/>
    <x v="1"/>
    <n v="78"/>
    <n v="10920"/>
  </r>
  <r>
    <x v="898"/>
    <n v="14"/>
    <n v="8"/>
    <n v="50"/>
    <n v="12"/>
    <n v="10"/>
    <x v="0"/>
    <x v="1"/>
    <n v="175"/>
    <n v="8750"/>
  </r>
  <r>
    <x v="899"/>
    <n v="1"/>
    <n v="15"/>
    <n v="2"/>
    <n v="2"/>
    <n v="2"/>
    <x v="0"/>
    <x v="0"/>
    <n v="76"/>
    <n v="152"/>
  </r>
  <r>
    <x v="900"/>
    <n v="5"/>
    <n v="21"/>
    <n v="7"/>
    <n v="6"/>
    <n v="5"/>
    <x v="4"/>
    <x v="1"/>
    <n v="200"/>
    <n v="1400"/>
  </r>
  <r>
    <x v="901"/>
    <n v="105"/>
    <n v="26"/>
    <n v="120"/>
    <n v="7"/>
    <n v="6"/>
    <x v="6"/>
    <x v="4"/>
    <n v="125"/>
    <n v="15000"/>
  </r>
  <r>
    <x v="902"/>
    <n v="15"/>
    <n v="30"/>
    <n v="15"/>
    <n v="1"/>
    <n v="1"/>
    <x v="2"/>
    <x v="4"/>
    <n v="62"/>
    <n v="930"/>
  </r>
  <r>
    <x v="903"/>
    <n v="10"/>
    <n v="30"/>
    <n v="10"/>
    <n v="1"/>
    <n v="1"/>
    <x v="2"/>
    <x v="2"/>
    <n v="118"/>
    <n v="1180"/>
  </r>
  <r>
    <x v="904"/>
    <n v="60"/>
    <n v="30"/>
    <n v="60"/>
    <n v="2"/>
    <n v="2"/>
    <x v="1"/>
    <x v="3"/>
    <n v="109"/>
    <n v="6540"/>
  </r>
  <r>
    <x v="905"/>
    <n v="-9"/>
    <n v="0"/>
    <n v="3"/>
    <n v="3"/>
    <n v="2"/>
    <x v="4"/>
    <x v="5"/>
    <n v="176"/>
    <n v="528"/>
  </r>
  <r>
    <x v="906"/>
    <n v="23"/>
    <n v="6"/>
    <n v="110"/>
    <n v="22"/>
    <n v="15"/>
    <x v="6"/>
    <x v="0"/>
    <n v="92"/>
    <n v="10120"/>
  </r>
  <r>
    <x v="907"/>
    <n v="-2"/>
    <n v="0"/>
    <n v="1"/>
    <n v="1"/>
    <n v="1"/>
    <x v="5"/>
    <x v="1"/>
    <n v="175"/>
    <n v="175"/>
  </r>
  <r>
    <x v="908"/>
    <n v="0"/>
    <n v="0"/>
    <n v="40"/>
    <n v="2"/>
    <n v="2"/>
    <x v="5"/>
    <x v="1"/>
    <n v="98"/>
    <n v="3920"/>
  </r>
  <r>
    <x v="909"/>
    <n v="20"/>
    <n v="15"/>
    <n v="40"/>
    <n v="4"/>
    <n v="4"/>
    <x v="1"/>
    <x v="3"/>
    <n v="132"/>
    <n v="5280"/>
  </r>
  <r>
    <x v="910"/>
    <n v="720"/>
    <n v="21"/>
    <n v="1020"/>
    <n v="48"/>
    <n v="23"/>
    <x v="6"/>
    <x v="0"/>
    <n v="78"/>
    <n v="79560"/>
  </r>
  <r>
    <x v="911"/>
    <n v="75"/>
    <n v="16"/>
    <n v="135"/>
    <n v="9"/>
    <n v="8"/>
    <x v="1"/>
    <x v="1"/>
    <n v="126"/>
    <n v="17010"/>
  </r>
  <r>
    <x v="912"/>
    <n v="30"/>
    <n v="22"/>
    <n v="40"/>
    <n v="4"/>
    <n v="3"/>
    <x v="4"/>
    <x v="3"/>
    <n v="90"/>
    <n v="3600"/>
  </r>
  <r>
    <x v="913"/>
    <n v="32"/>
    <n v="25"/>
    <n v="37"/>
    <n v="16"/>
    <n v="11"/>
    <x v="2"/>
    <x v="2"/>
    <n v="107"/>
    <n v="3959"/>
  </r>
  <r>
    <x v="914"/>
    <n v="30"/>
    <n v="20"/>
    <n v="45"/>
    <n v="1"/>
    <n v="1"/>
    <x v="3"/>
    <x v="0"/>
    <n v="144"/>
    <n v="6480"/>
  </r>
  <r>
    <x v="915"/>
    <n v="10"/>
    <n v="30"/>
    <n v="10"/>
    <n v="1"/>
    <n v="1"/>
    <x v="0"/>
    <x v="2"/>
    <n v="132"/>
    <n v="1320"/>
  </r>
  <r>
    <x v="916"/>
    <n v="15"/>
    <n v="30"/>
    <n v="15"/>
    <n v="1"/>
    <n v="1"/>
    <x v="4"/>
    <x v="3"/>
    <n v="149"/>
    <n v="2235"/>
  </r>
  <r>
    <x v="917"/>
    <n v="2"/>
    <n v="20"/>
    <n v="3"/>
    <n v="3"/>
    <n v="3"/>
    <x v="0"/>
    <x v="3"/>
    <n v="115"/>
    <n v="345"/>
  </r>
  <r>
    <x v="918"/>
    <n v="60"/>
    <n v="22"/>
    <n v="80"/>
    <n v="3"/>
    <n v="3"/>
    <x v="0"/>
    <x v="3"/>
    <n v="136"/>
    <n v="10880"/>
  </r>
  <r>
    <x v="919"/>
    <n v="0"/>
    <n v="0"/>
    <n v="2"/>
    <n v="2"/>
    <n v="2"/>
    <x v="2"/>
    <x v="5"/>
    <n v="124"/>
    <n v="248"/>
  </r>
  <r>
    <x v="920"/>
    <n v="0"/>
    <n v="0"/>
    <n v="1"/>
    <n v="1"/>
    <n v="1"/>
    <x v="0"/>
    <x v="0"/>
    <n v="110"/>
    <n v="110"/>
  </r>
  <r>
    <x v="921"/>
    <n v="60"/>
    <n v="15"/>
    <n v="120"/>
    <n v="2"/>
    <n v="2"/>
    <x v="1"/>
    <x v="4"/>
    <n v="118"/>
    <n v="14160"/>
  </r>
  <r>
    <x v="922"/>
    <n v="1"/>
    <n v="15"/>
    <n v="2"/>
    <n v="2"/>
    <n v="2"/>
    <x v="1"/>
    <x v="4"/>
    <n v="178"/>
    <n v="356"/>
  </r>
  <r>
    <x v="923"/>
    <n v="60"/>
    <n v="30"/>
    <n v="60"/>
    <n v="3"/>
    <n v="3"/>
    <x v="2"/>
    <x v="5"/>
    <n v="111"/>
    <n v="6660"/>
  </r>
  <r>
    <x v="924"/>
    <n v="45"/>
    <n v="18"/>
    <n v="75"/>
    <n v="4"/>
    <n v="4"/>
    <x v="4"/>
    <x v="4"/>
    <n v="116"/>
    <n v="8700"/>
  </r>
  <r>
    <x v="925"/>
    <n v="30"/>
    <n v="20"/>
    <n v="45"/>
    <n v="3"/>
    <n v="3"/>
    <x v="5"/>
    <x v="5"/>
    <n v="120"/>
    <n v="5400"/>
  </r>
  <r>
    <x v="926"/>
    <n v="75"/>
    <n v="21"/>
    <n v="105"/>
    <n v="7"/>
    <n v="7"/>
    <x v="3"/>
    <x v="1"/>
    <n v="80"/>
    <n v="8400"/>
  </r>
  <r>
    <x v="927"/>
    <n v="30"/>
    <n v="22"/>
    <n v="40"/>
    <n v="4"/>
    <n v="3"/>
    <x v="0"/>
    <x v="0"/>
    <n v="141"/>
    <n v="5640"/>
  </r>
  <r>
    <x v="928"/>
    <n v="15"/>
    <n v="30"/>
    <n v="15"/>
    <n v="1"/>
    <n v="1"/>
    <x v="2"/>
    <x v="6"/>
    <n v="148"/>
    <n v="2220"/>
  </r>
  <r>
    <x v="929"/>
    <n v="1"/>
    <n v="30"/>
    <n v="1"/>
    <n v="1"/>
    <n v="1"/>
    <x v="2"/>
    <x v="4"/>
    <n v="181"/>
    <n v="181"/>
  </r>
  <r>
    <x v="930"/>
    <n v="3"/>
    <n v="30"/>
    <n v="3"/>
    <n v="3"/>
    <n v="3"/>
    <x v="1"/>
    <x v="2"/>
    <n v="160"/>
    <n v="480"/>
  </r>
  <r>
    <x v="931"/>
    <n v="45"/>
    <n v="30"/>
    <n v="45"/>
    <n v="2"/>
    <n v="1"/>
    <x v="0"/>
    <x v="5"/>
    <n v="78"/>
    <n v="3510"/>
  </r>
  <r>
    <x v="932"/>
    <n v="2"/>
    <n v="30"/>
    <n v="2"/>
    <n v="2"/>
    <n v="2"/>
    <x v="0"/>
    <x v="2"/>
    <n v="79"/>
    <n v="158"/>
  </r>
  <r>
    <x v="933"/>
    <n v="50"/>
    <n v="5"/>
    <n v="260"/>
    <n v="17"/>
    <n v="13"/>
    <x v="5"/>
    <x v="2"/>
    <n v="123"/>
    <n v="31980"/>
  </r>
  <r>
    <x v="934"/>
    <n v="-2"/>
    <n v="0"/>
    <n v="1"/>
    <n v="1"/>
    <n v="1"/>
    <x v="6"/>
    <x v="2"/>
    <n v="165"/>
    <n v="165"/>
  </r>
  <r>
    <x v="935"/>
    <n v="30"/>
    <n v="30"/>
    <n v="30"/>
    <n v="3"/>
    <n v="3"/>
    <x v="3"/>
    <x v="1"/>
    <n v="147"/>
    <n v="4410"/>
  </r>
  <r>
    <x v="936"/>
    <n v="24"/>
    <n v="16"/>
    <n v="45"/>
    <n v="3"/>
    <n v="2"/>
    <x v="2"/>
    <x v="6"/>
    <n v="75"/>
    <n v="3375"/>
  </r>
  <r>
    <x v="937"/>
    <n v="10"/>
    <n v="30"/>
    <n v="10"/>
    <n v="1"/>
    <n v="1"/>
    <x v="1"/>
    <x v="3"/>
    <n v="199"/>
    <n v="1990"/>
  </r>
  <r>
    <x v="938"/>
    <n v="45"/>
    <n v="22"/>
    <n v="60"/>
    <n v="1"/>
    <n v="1"/>
    <x v="5"/>
    <x v="5"/>
    <n v="125"/>
    <n v="7500"/>
  </r>
  <r>
    <x v="939"/>
    <n v="0"/>
    <n v="0"/>
    <n v="1"/>
    <n v="1"/>
    <n v="1"/>
    <x v="1"/>
    <x v="3"/>
    <n v="100"/>
    <n v="100"/>
  </r>
  <r>
    <x v="940"/>
    <n v="0"/>
    <n v="0"/>
    <n v="150"/>
    <n v="7"/>
    <n v="7"/>
    <x v="3"/>
    <x v="1"/>
    <n v="77"/>
    <n v="11550"/>
  </r>
  <r>
    <x v="941"/>
    <n v="-43"/>
    <n v="0"/>
    <n v="55"/>
    <n v="5"/>
    <n v="5"/>
    <x v="1"/>
    <x v="3"/>
    <n v="131"/>
    <n v="7205"/>
  </r>
  <r>
    <x v="942"/>
    <n v="20"/>
    <n v="8"/>
    <n v="70"/>
    <n v="4"/>
    <n v="4"/>
    <x v="3"/>
    <x v="1"/>
    <n v="121"/>
    <n v="8470"/>
  </r>
  <r>
    <x v="943"/>
    <n v="1"/>
    <n v="15"/>
    <n v="2"/>
    <n v="2"/>
    <n v="2"/>
    <x v="4"/>
    <x v="3"/>
    <n v="120"/>
    <n v="240"/>
  </r>
  <r>
    <x v="944"/>
    <n v="5"/>
    <n v="21"/>
    <n v="7"/>
    <n v="3"/>
    <n v="3"/>
    <x v="1"/>
    <x v="1"/>
    <n v="189"/>
    <n v="1323"/>
  </r>
  <r>
    <x v="945"/>
    <n v="135"/>
    <n v="30"/>
    <n v="135"/>
    <n v="4"/>
    <n v="4"/>
    <x v="1"/>
    <x v="4"/>
    <n v="87"/>
    <n v="11745"/>
  </r>
  <r>
    <x v="946"/>
    <n v="24"/>
    <n v="22"/>
    <n v="32"/>
    <n v="4"/>
    <n v="4"/>
    <x v="1"/>
    <x v="3"/>
    <n v="116"/>
    <n v="3712"/>
  </r>
  <r>
    <x v="947"/>
    <n v="30"/>
    <n v="30"/>
    <n v="30"/>
    <n v="2"/>
    <n v="2"/>
    <x v="3"/>
    <x v="3"/>
    <n v="120"/>
    <n v="3600"/>
  </r>
  <r>
    <x v="948"/>
    <n v="40"/>
    <n v="20"/>
    <n v="60"/>
    <n v="4"/>
    <n v="2"/>
    <x v="6"/>
    <x v="4"/>
    <n v="82"/>
    <n v="4920"/>
  </r>
  <r>
    <x v="949"/>
    <n v="30"/>
    <n v="22"/>
    <n v="40"/>
    <n v="2"/>
    <n v="2"/>
    <x v="6"/>
    <x v="0"/>
    <n v="64"/>
    <n v="2560"/>
  </r>
  <r>
    <x v="950"/>
    <n v="405"/>
    <n v="26"/>
    <n v="465"/>
    <n v="23"/>
    <n v="17"/>
    <x v="4"/>
    <x v="1"/>
    <n v="105"/>
    <n v="48825"/>
  </r>
  <r>
    <x v="951"/>
    <n v="30"/>
    <n v="22"/>
    <n v="40"/>
    <n v="4"/>
    <n v="4"/>
    <x v="4"/>
    <x v="2"/>
    <n v="138"/>
    <n v="5520"/>
  </r>
  <r>
    <x v="952"/>
    <n v="4"/>
    <n v="17"/>
    <n v="7"/>
    <n v="7"/>
    <n v="7"/>
    <x v="5"/>
    <x v="1"/>
    <n v="118"/>
    <n v="826"/>
  </r>
  <r>
    <x v="953"/>
    <n v="1"/>
    <n v="30"/>
    <n v="1"/>
    <n v="1"/>
    <n v="1"/>
    <x v="1"/>
    <x v="0"/>
    <n v="82"/>
    <n v="82"/>
  </r>
  <r>
    <x v="954"/>
    <n v="30"/>
    <n v="20"/>
    <n v="45"/>
    <n v="2"/>
    <n v="2"/>
    <x v="6"/>
    <x v="2"/>
    <n v="146"/>
    <n v="6570"/>
  </r>
  <r>
    <x v="955"/>
    <n v="-1"/>
    <n v="0"/>
    <n v="1"/>
    <n v="1"/>
    <n v="1"/>
    <x v="1"/>
    <x v="1"/>
    <n v="189"/>
    <n v="189"/>
  </r>
  <r>
    <x v="956"/>
    <n v="-10"/>
    <n v="0"/>
    <n v="3"/>
    <n v="3"/>
    <n v="3"/>
    <x v="2"/>
    <x v="6"/>
    <n v="159"/>
    <n v="477"/>
  </r>
  <r>
    <x v="957"/>
    <n v="-3"/>
    <n v="0"/>
    <n v="5"/>
    <n v="5"/>
    <n v="5"/>
    <x v="3"/>
    <x v="0"/>
    <n v="176"/>
    <n v="880"/>
  </r>
  <r>
    <x v="958"/>
    <n v="-6"/>
    <n v="0"/>
    <n v="3"/>
    <n v="3"/>
    <n v="3"/>
    <x v="6"/>
    <x v="4"/>
    <n v="142"/>
    <n v="426"/>
  </r>
  <r>
    <x v="959"/>
    <n v="0"/>
    <n v="0"/>
    <n v="30"/>
    <n v="1"/>
    <n v="1"/>
    <x v="6"/>
    <x v="4"/>
    <n v="136"/>
    <n v="4080"/>
  </r>
  <r>
    <x v="960"/>
    <n v="45"/>
    <n v="15"/>
    <n v="90"/>
    <n v="3"/>
    <n v="2"/>
    <x v="6"/>
    <x v="0"/>
    <n v="135"/>
    <n v="12150"/>
  </r>
  <r>
    <x v="961"/>
    <n v="4"/>
    <n v="17"/>
    <n v="7"/>
    <n v="7"/>
    <n v="6"/>
    <x v="3"/>
    <x v="1"/>
    <n v="118"/>
    <n v="826"/>
  </r>
  <r>
    <x v="962"/>
    <n v="15"/>
    <n v="30"/>
    <n v="15"/>
    <n v="1"/>
    <n v="1"/>
    <x v="3"/>
    <x v="2"/>
    <n v="81"/>
    <n v="1215"/>
  </r>
  <r>
    <x v="963"/>
    <n v="1"/>
    <n v="30"/>
    <n v="1"/>
    <n v="1"/>
    <n v="1"/>
    <x v="3"/>
    <x v="2"/>
    <n v="74"/>
    <n v="74"/>
  </r>
  <r>
    <x v="964"/>
    <n v="20"/>
    <n v="30"/>
    <n v="20"/>
    <n v="1"/>
    <n v="1"/>
    <x v="0"/>
    <x v="4"/>
    <n v="106"/>
    <n v="2120"/>
  </r>
  <r>
    <x v="965"/>
    <n v="15"/>
    <n v="7"/>
    <n v="60"/>
    <n v="3"/>
    <n v="3"/>
    <x v="1"/>
    <x v="3"/>
    <n v="60"/>
    <n v="3600"/>
  </r>
  <r>
    <x v="966"/>
    <n v="-4"/>
    <n v="0"/>
    <n v="2"/>
    <n v="2"/>
    <n v="2"/>
    <x v="4"/>
    <x v="5"/>
    <n v="103"/>
    <n v="206"/>
  </r>
  <r>
    <x v="967"/>
    <n v="0"/>
    <n v="0"/>
    <n v="1"/>
    <n v="1"/>
    <n v="1"/>
    <x v="0"/>
    <x v="6"/>
    <n v="134"/>
    <n v="134"/>
  </r>
  <r>
    <x v="968"/>
    <n v="30"/>
    <n v="8"/>
    <n v="110"/>
    <n v="5"/>
    <n v="5"/>
    <x v="0"/>
    <x v="6"/>
    <n v="171"/>
    <n v="18810"/>
  </r>
  <r>
    <x v="969"/>
    <n v="30"/>
    <n v="12"/>
    <n v="70"/>
    <n v="3"/>
    <n v="3"/>
    <x v="3"/>
    <x v="1"/>
    <n v="97"/>
    <n v="6790"/>
  </r>
  <r>
    <x v="970"/>
    <n v="1"/>
    <n v="15"/>
    <n v="2"/>
    <n v="2"/>
    <n v="2"/>
    <x v="2"/>
    <x v="3"/>
    <n v="71"/>
    <n v="142"/>
  </r>
  <r>
    <x v="971"/>
    <n v="30"/>
    <n v="30"/>
    <n v="30"/>
    <n v="2"/>
    <n v="2"/>
    <x v="5"/>
    <x v="4"/>
    <n v="129"/>
    <n v="3870"/>
  </r>
  <r>
    <x v="972"/>
    <n v="45"/>
    <n v="30"/>
    <n v="45"/>
    <n v="3"/>
    <n v="3"/>
    <x v="3"/>
    <x v="1"/>
    <n v="98"/>
    <n v="4410"/>
  </r>
  <r>
    <x v="973"/>
    <n v="50"/>
    <n v="16"/>
    <n v="90"/>
    <n v="5"/>
    <n v="5"/>
    <x v="6"/>
    <x v="5"/>
    <n v="60"/>
    <n v="5400"/>
  </r>
  <r>
    <x v="974"/>
    <n v="30"/>
    <n v="22"/>
    <n v="40"/>
    <n v="3"/>
    <n v="3"/>
    <x v="3"/>
    <x v="6"/>
    <n v="136"/>
    <n v="5440"/>
  </r>
  <r>
    <x v="975"/>
    <n v="20"/>
    <n v="20"/>
    <n v="30"/>
    <n v="2"/>
    <n v="2"/>
    <x v="4"/>
    <x v="3"/>
    <n v="127"/>
    <n v="3810"/>
  </r>
  <r>
    <x v="976"/>
    <n v="10"/>
    <n v="30"/>
    <n v="10"/>
    <n v="1"/>
    <n v="1"/>
    <x v="4"/>
    <x v="5"/>
    <n v="64"/>
    <n v="640"/>
  </r>
  <r>
    <x v="977"/>
    <n v="60"/>
    <n v="30"/>
    <n v="60"/>
    <n v="2"/>
    <n v="2"/>
    <x v="0"/>
    <x v="2"/>
    <n v="127"/>
    <n v="7620"/>
  </r>
  <r>
    <x v="978"/>
    <n v="0"/>
    <n v="0"/>
    <n v="30"/>
    <n v="3"/>
    <n v="3"/>
    <x v="6"/>
    <x v="6"/>
    <n v="109"/>
    <n v="3270"/>
  </r>
  <r>
    <x v="979"/>
    <n v="0"/>
    <n v="0"/>
    <n v="100"/>
    <n v="5"/>
    <n v="4"/>
    <x v="5"/>
    <x v="3"/>
    <n v="78"/>
    <n v="7800"/>
  </r>
  <r>
    <x v="980"/>
    <n v="-6"/>
    <n v="0"/>
    <n v="1"/>
    <n v="1"/>
    <n v="1"/>
    <x v="4"/>
    <x v="5"/>
    <n v="199"/>
    <n v="199"/>
  </r>
  <r>
    <x v="981"/>
    <n v="0"/>
    <n v="0"/>
    <n v="1"/>
    <n v="1"/>
    <n v="1"/>
    <x v="4"/>
    <x v="4"/>
    <n v="125"/>
    <n v="125"/>
  </r>
  <r>
    <x v="982"/>
    <n v="-10"/>
    <n v="0"/>
    <n v="10"/>
    <n v="1"/>
    <n v="1"/>
    <x v="3"/>
    <x v="3"/>
    <n v="192"/>
    <n v="1920"/>
  </r>
  <r>
    <x v="983"/>
    <n v="189"/>
    <n v="11"/>
    <n v="474"/>
    <n v="31"/>
    <n v="21"/>
    <x v="4"/>
    <x v="4"/>
    <n v="67"/>
    <n v="31758"/>
  </r>
  <r>
    <x v="984"/>
    <n v="20"/>
    <n v="10"/>
    <n v="60"/>
    <n v="4"/>
    <n v="2"/>
    <x v="2"/>
    <x v="1"/>
    <n v="91"/>
    <n v="5460"/>
  </r>
  <r>
    <x v="985"/>
    <n v="120"/>
    <n v="12"/>
    <n v="290"/>
    <n v="7"/>
    <n v="6"/>
    <x v="0"/>
    <x v="3"/>
    <n v="129"/>
    <n v="37410"/>
  </r>
  <r>
    <x v="986"/>
    <n v="120"/>
    <n v="13"/>
    <n v="270"/>
    <n v="11"/>
    <n v="9"/>
    <x v="2"/>
    <x v="3"/>
    <n v="123"/>
    <n v="33210"/>
  </r>
  <r>
    <x v="987"/>
    <n v="14"/>
    <n v="10"/>
    <n v="42"/>
    <n v="2"/>
    <n v="2"/>
    <x v="4"/>
    <x v="1"/>
    <n v="114"/>
    <n v="4788"/>
  </r>
  <r>
    <x v="988"/>
    <n v="10"/>
    <n v="10"/>
    <n v="30"/>
    <n v="1"/>
    <n v="1"/>
    <x v="6"/>
    <x v="4"/>
    <n v="136"/>
    <n v="4080"/>
  </r>
  <r>
    <x v="989"/>
    <n v="1"/>
    <n v="15"/>
    <n v="2"/>
    <n v="2"/>
    <n v="2"/>
    <x v="2"/>
    <x v="0"/>
    <n v="188"/>
    <n v="376"/>
  </r>
  <r>
    <x v="990"/>
    <n v="10"/>
    <n v="10"/>
    <n v="30"/>
    <n v="1"/>
    <n v="1"/>
    <x v="0"/>
    <x v="1"/>
    <n v="77"/>
    <n v="2310"/>
  </r>
  <r>
    <x v="991"/>
    <n v="2"/>
    <n v="30"/>
    <n v="2"/>
    <n v="2"/>
    <n v="2"/>
    <x v="4"/>
    <x v="2"/>
    <n v="142"/>
    <n v="284"/>
  </r>
  <r>
    <x v="992"/>
    <n v="52"/>
    <n v="18"/>
    <n v="86"/>
    <n v="7"/>
    <n v="7"/>
    <x v="3"/>
    <x v="2"/>
    <n v="65"/>
    <n v="5590"/>
  </r>
  <r>
    <x v="993"/>
    <n v="15"/>
    <n v="30"/>
    <n v="15"/>
    <n v="1"/>
    <n v="1"/>
    <x v="1"/>
    <x v="3"/>
    <n v="191"/>
    <n v="2865"/>
  </r>
  <r>
    <x v="994"/>
    <n v="30"/>
    <n v="7"/>
    <n v="120"/>
    <n v="5"/>
    <n v="5"/>
    <x v="6"/>
    <x v="4"/>
    <n v="97"/>
    <n v="11640"/>
  </r>
  <r>
    <x v="995"/>
    <n v="-34"/>
    <n v="0"/>
    <n v="39"/>
    <n v="7"/>
    <n v="7"/>
    <x v="6"/>
    <x v="0"/>
    <n v="101"/>
    <n v="3939"/>
  </r>
  <r>
    <x v="996"/>
    <n v="-225"/>
    <n v="0"/>
    <n v="43"/>
    <n v="7"/>
    <n v="7"/>
    <x v="0"/>
    <x v="3"/>
    <n v="93"/>
    <n v="3999"/>
  </r>
  <r>
    <x v="997"/>
    <n v="-10"/>
    <n v="0"/>
    <n v="10"/>
    <n v="1"/>
    <n v="1"/>
    <x v="0"/>
    <x v="4"/>
    <n v="93"/>
    <n v="930"/>
  </r>
  <r>
    <x v="998"/>
    <n v="-99"/>
    <n v="0"/>
    <n v="9"/>
    <n v="5"/>
    <n v="4"/>
    <x v="5"/>
    <x v="1"/>
    <n v="161"/>
    <n v="1449"/>
  </r>
  <r>
    <x v="999"/>
    <n v="-2"/>
    <n v="0"/>
    <n v="2"/>
    <n v="2"/>
    <n v="2"/>
    <x v="0"/>
    <x v="3"/>
    <n v="127"/>
    <n v="254"/>
  </r>
  <r>
    <x v="1000"/>
    <n v="0"/>
    <n v="0"/>
    <n v="30"/>
    <n v="2"/>
    <n v="2"/>
    <x v="1"/>
    <x v="0"/>
    <n v="69"/>
    <n v="2070"/>
  </r>
  <r>
    <x v="1001"/>
    <n v="3"/>
    <n v="15"/>
    <n v="6"/>
    <n v="5"/>
    <n v="5"/>
    <x v="0"/>
    <x v="0"/>
    <n v="184"/>
    <n v="1104"/>
  </r>
  <r>
    <x v="1002"/>
    <n v="210"/>
    <n v="21"/>
    <n v="300"/>
    <n v="11"/>
    <n v="10"/>
    <x v="1"/>
    <x v="3"/>
    <n v="117"/>
    <n v="35100"/>
  </r>
  <r>
    <x v="1003"/>
    <n v="70"/>
    <n v="23"/>
    <n v="90"/>
    <n v="5"/>
    <n v="4"/>
    <x v="1"/>
    <x v="2"/>
    <n v="122"/>
    <n v="10980"/>
  </r>
  <r>
    <x v="1004"/>
    <n v="60"/>
    <n v="20"/>
    <n v="90"/>
    <n v="6"/>
    <n v="6"/>
    <x v="1"/>
    <x v="6"/>
    <n v="83"/>
    <n v="7470"/>
  </r>
  <r>
    <x v="1005"/>
    <n v="7"/>
    <n v="23"/>
    <n v="9"/>
    <n v="9"/>
    <n v="8"/>
    <x v="4"/>
    <x v="3"/>
    <n v="99"/>
    <n v="891"/>
  </r>
  <r>
    <x v="1006"/>
    <n v="10"/>
    <n v="30"/>
    <n v="10"/>
    <n v="1"/>
    <n v="1"/>
    <x v="0"/>
    <x v="4"/>
    <n v="149"/>
    <n v="1490"/>
  </r>
  <r>
    <x v="1007"/>
    <n v="30"/>
    <n v="30"/>
    <n v="30"/>
    <n v="2"/>
    <n v="2"/>
    <x v="2"/>
    <x v="2"/>
    <n v="121"/>
    <n v="3630"/>
  </r>
  <r>
    <x v="1008"/>
    <n v="10"/>
    <n v="30"/>
    <n v="10"/>
    <n v="1"/>
    <n v="1"/>
    <x v="6"/>
    <x v="4"/>
    <n v="79"/>
    <n v="790"/>
  </r>
  <r>
    <x v="1009"/>
    <n v="-40"/>
    <n v="0"/>
    <n v="40"/>
    <n v="4"/>
    <n v="3"/>
    <x v="3"/>
    <x v="2"/>
    <n v="110"/>
    <n v="4400"/>
  </r>
  <r>
    <x v="1010"/>
    <n v="-15"/>
    <n v="0"/>
    <n v="45"/>
    <n v="2"/>
    <n v="2"/>
    <x v="2"/>
    <x v="4"/>
    <n v="121"/>
    <n v="5445"/>
  </r>
  <r>
    <x v="1011"/>
    <n v="-60"/>
    <n v="0"/>
    <n v="30"/>
    <n v="1"/>
    <n v="1"/>
    <x v="6"/>
    <x v="3"/>
    <n v="141"/>
    <n v="4230"/>
  </r>
  <r>
    <x v="1012"/>
    <n v="40"/>
    <n v="30"/>
    <n v="40"/>
    <n v="2"/>
    <n v="2"/>
    <x v="3"/>
    <x v="2"/>
    <n v="187"/>
    <n v="7480"/>
  </r>
  <r>
    <x v="1013"/>
    <n v="30"/>
    <n v="30"/>
    <n v="30"/>
    <n v="2"/>
    <n v="2"/>
    <x v="5"/>
    <x v="3"/>
    <n v="92"/>
    <n v="2760"/>
  </r>
  <r>
    <x v="1014"/>
    <n v="10"/>
    <n v="30"/>
    <n v="10"/>
    <n v="1"/>
    <n v="1"/>
    <x v="6"/>
    <x v="4"/>
    <n v="86"/>
    <n v="860"/>
  </r>
  <r>
    <x v="1015"/>
    <n v="60"/>
    <n v="30"/>
    <n v="60"/>
    <n v="1"/>
    <n v="1"/>
    <x v="4"/>
    <x v="1"/>
    <n v="70"/>
    <n v="4200"/>
  </r>
  <r>
    <x v="1016"/>
    <n v="10"/>
    <n v="30"/>
    <n v="10"/>
    <n v="1"/>
    <n v="1"/>
    <x v="1"/>
    <x v="1"/>
    <n v="63"/>
    <n v="630"/>
  </r>
  <r>
    <x v="1017"/>
    <n v="0"/>
    <n v="0"/>
    <n v="30"/>
    <n v="1"/>
    <n v="1"/>
    <x v="1"/>
    <x v="3"/>
    <n v="85"/>
    <n v="2550"/>
  </r>
  <r>
    <x v="1018"/>
    <n v="0"/>
    <n v="0"/>
    <n v="20"/>
    <n v="1"/>
    <n v="1"/>
    <x v="3"/>
    <x v="4"/>
    <n v="71"/>
    <n v="1420"/>
  </r>
  <r>
    <x v="1019"/>
    <n v="-1"/>
    <n v="0"/>
    <n v="1"/>
    <n v="1"/>
    <n v="1"/>
    <x v="5"/>
    <x v="2"/>
    <n v="95"/>
    <n v="95"/>
  </r>
  <r>
    <x v="1020"/>
    <n v="-2"/>
    <n v="0"/>
    <n v="1"/>
    <n v="1"/>
    <n v="1"/>
    <x v="5"/>
    <x v="6"/>
    <n v="148"/>
    <n v="148"/>
  </r>
  <r>
    <x v="1021"/>
    <n v="-6"/>
    <n v="0"/>
    <n v="6"/>
    <n v="1"/>
    <n v="1"/>
    <x v="5"/>
    <x v="1"/>
    <n v="126"/>
    <n v="756"/>
  </r>
  <r>
    <x v="1022"/>
    <n v="45"/>
    <n v="12"/>
    <n v="105"/>
    <n v="6"/>
    <n v="6"/>
    <x v="6"/>
    <x v="1"/>
    <n v="100"/>
    <n v="10500"/>
  </r>
  <r>
    <x v="1023"/>
    <n v="8"/>
    <n v="8"/>
    <n v="30"/>
    <n v="2"/>
    <n v="2"/>
    <x v="3"/>
    <x v="0"/>
    <n v="90"/>
    <n v="2700"/>
  </r>
  <r>
    <x v="1024"/>
    <n v="483"/>
    <n v="22"/>
    <n v="654"/>
    <n v="69"/>
    <n v="24"/>
    <x v="0"/>
    <x v="1"/>
    <n v="77"/>
    <n v="50358"/>
  </r>
  <r>
    <x v="1025"/>
    <n v="60"/>
    <n v="18"/>
    <n v="100"/>
    <n v="7"/>
    <n v="6"/>
    <x v="2"/>
    <x v="6"/>
    <n v="67"/>
    <n v="6700"/>
  </r>
  <r>
    <x v="1026"/>
    <n v="2"/>
    <n v="20"/>
    <n v="3"/>
    <n v="3"/>
    <n v="3"/>
    <x v="6"/>
    <x v="1"/>
    <n v="189"/>
    <n v="567"/>
  </r>
  <r>
    <x v="1027"/>
    <n v="16"/>
    <n v="18"/>
    <n v="26"/>
    <n v="2"/>
    <n v="2"/>
    <x v="0"/>
    <x v="6"/>
    <n v="129"/>
    <n v="3354"/>
  </r>
  <r>
    <x v="1028"/>
    <n v="3"/>
    <n v="30"/>
    <n v="3"/>
    <n v="2"/>
    <n v="2"/>
    <x v="2"/>
    <x v="4"/>
    <n v="149"/>
    <n v="447"/>
  </r>
  <r>
    <x v="1029"/>
    <n v="10"/>
    <n v="30"/>
    <n v="10"/>
    <n v="1"/>
    <n v="1"/>
    <x v="1"/>
    <x v="5"/>
    <n v="85"/>
    <n v="850"/>
  </r>
  <r>
    <x v="1030"/>
    <n v="30"/>
    <n v="30"/>
    <n v="30"/>
    <n v="3"/>
    <n v="3"/>
    <x v="5"/>
    <x v="3"/>
    <n v="183"/>
    <n v="5490"/>
  </r>
  <r>
    <x v="1031"/>
    <n v="5"/>
    <n v="30"/>
    <n v="5"/>
    <n v="4"/>
    <n v="4"/>
    <x v="6"/>
    <x v="3"/>
    <n v="104"/>
    <n v="520"/>
  </r>
  <r>
    <x v="1032"/>
    <n v="-20"/>
    <n v="0"/>
    <n v="30"/>
    <n v="2"/>
    <n v="2"/>
    <x v="3"/>
    <x v="0"/>
    <n v="62"/>
    <n v="1860"/>
  </r>
  <r>
    <x v="1033"/>
    <n v="-11"/>
    <n v="0"/>
    <n v="1"/>
    <n v="1"/>
    <n v="1"/>
    <x v="1"/>
    <x v="3"/>
    <n v="72"/>
    <n v="72"/>
  </r>
  <r>
    <x v="1034"/>
    <n v="-1"/>
    <n v="0"/>
    <n v="1"/>
    <n v="1"/>
    <n v="1"/>
    <x v="3"/>
    <x v="1"/>
    <n v="98"/>
    <n v="98"/>
  </r>
  <r>
    <x v="474"/>
    <m/>
    <m/>
    <m/>
    <m/>
    <m/>
    <x v="1"/>
    <x v="1"/>
    <n v="76"/>
    <n v="0"/>
  </r>
  <r>
    <x v="1035"/>
    <n v="70"/>
    <n v="23"/>
    <n v="90"/>
    <n v="4"/>
    <n v="3"/>
    <x v="1"/>
    <x v="2"/>
    <n v="73"/>
    <n v="6570"/>
  </r>
  <r>
    <x v="1036"/>
    <n v="45"/>
    <n v="30"/>
    <n v="45"/>
    <n v="2"/>
    <n v="2"/>
    <x v="3"/>
    <x v="1"/>
    <n v="84"/>
    <n v="3780"/>
  </r>
  <r>
    <x v="1037"/>
    <n v="5"/>
    <n v="21"/>
    <n v="7"/>
    <n v="2"/>
    <n v="2"/>
    <x v="5"/>
    <x v="1"/>
    <n v="157"/>
    <n v="1099"/>
  </r>
  <r>
    <x v="1038"/>
    <n v="1"/>
    <n v="30"/>
    <n v="1"/>
    <n v="1"/>
    <n v="1"/>
    <x v="1"/>
    <x v="2"/>
    <n v="116"/>
    <n v="116"/>
  </r>
  <r>
    <x v="1039"/>
    <n v="25"/>
    <n v="25"/>
    <n v="30"/>
    <n v="3"/>
    <n v="3"/>
    <x v="5"/>
    <x v="6"/>
    <n v="81"/>
    <n v="2430"/>
  </r>
  <r>
    <x v="1040"/>
    <n v="0"/>
    <n v="0"/>
    <n v="10"/>
    <n v="1"/>
    <n v="1"/>
    <x v="5"/>
    <x v="5"/>
    <n v="148"/>
    <n v="1480"/>
  </r>
  <r>
    <x v="1041"/>
    <n v="40"/>
    <n v="8"/>
    <n v="140"/>
    <n v="5"/>
    <n v="5"/>
    <x v="6"/>
    <x v="1"/>
    <n v="146"/>
    <n v="20440"/>
  </r>
  <r>
    <x v="1042"/>
    <n v="15"/>
    <n v="15"/>
    <n v="30"/>
    <n v="2"/>
    <n v="2"/>
    <x v="3"/>
    <x v="6"/>
    <n v="67"/>
    <n v="2010"/>
  </r>
  <r>
    <x v="1043"/>
    <n v="10"/>
    <n v="15"/>
    <n v="20"/>
    <n v="2"/>
    <n v="2"/>
    <x v="3"/>
    <x v="2"/>
    <n v="171"/>
    <n v="3420"/>
  </r>
  <r>
    <x v="1044"/>
    <n v="165"/>
    <n v="27"/>
    <n v="180"/>
    <n v="10"/>
    <n v="8"/>
    <x v="6"/>
    <x v="3"/>
    <n v="139"/>
    <n v="25020"/>
  </r>
  <r>
    <x v="1045"/>
    <n v="20"/>
    <n v="30"/>
    <n v="20"/>
    <n v="2"/>
    <n v="2"/>
    <x v="6"/>
    <x v="6"/>
    <n v="146"/>
    <n v="2920"/>
  </r>
  <r>
    <x v="1046"/>
    <n v="30"/>
    <n v="30"/>
    <n v="30"/>
    <n v="3"/>
    <n v="3"/>
    <x v="5"/>
    <x v="2"/>
    <n v="135"/>
    <n v="4050"/>
  </r>
  <r>
    <x v="1047"/>
    <n v="20"/>
    <n v="30"/>
    <n v="20"/>
    <n v="2"/>
    <n v="2"/>
    <x v="3"/>
    <x v="2"/>
    <n v="122"/>
    <n v="2440"/>
  </r>
  <r>
    <x v="1048"/>
    <n v="4"/>
    <n v="24"/>
    <n v="5"/>
    <n v="4"/>
    <n v="4"/>
    <x v="6"/>
    <x v="1"/>
    <n v="175"/>
    <n v="875"/>
  </r>
  <r>
    <x v="1049"/>
    <n v="-4"/>
    <n v="0"/>
    <n v="2"/>
    <n v="2"/>
    <n v="2"/>
    <x v="1"/>
    <x v="0"/>
    <n v="181"/>
    <n v="362"/>
  </r>
  <r>
    <x v="1050"/>
    <n v="-6"/>
    <n v="0"/>
    <n v="1"/>
    <n v="1"/>
    <n v="1"/>
    <x v="0"/>
    <x v="1"/>
    <n v="196"/>
    <n v="196"/>
  </r>
  <r>
    <x v="1051"/>
    <n v="0"/>
    <n v="0"/>
    <n v="1"/>
    <n v="1"/>
    <n v="1"/>
    <x v="4"/>
    <x v="4"/>
    <n v="174"/>
    <n v="174"/>
  </r>
  <r>
    <x v="1052"/>
    <n v="-39"/>
    <n v="0"/>
    <n v="35"/>
    <n v="5"/>
    <n v="5"/>
    <x v="0"/>
    <x v="1"/>
    <n v="97"/>
    <n v="3395"/>
  </r>
  <r>
    <x v="1053"/>
    <n v="-1"/>
    <n v="0"/>
    <n v="10"/>
    <n v="1"/>
    <n v="1"/>
    <x v="1"/>
    <x v="1"/>
    <n v="189"/>
    <n v="1890"/>
  </r>
  <r>
    <x v="1054"/>
    <n v="10"/>
    <n v="10"/>
    <n v="30"/>
    <n v="3"/>
    <n v="3"/>
    <x v="5"/>
    <x v="3"/>
    <n v="64"/>
    <n v="1920"/>
  </r>
  <r>
    <x v="1055"/>
    <n v="30"/>
    <n v="22"/>
    <n v="40"/>
    <n v="3"/>
    <n v="2"/>
    <x v="6"/>
    <x v="0"/>
    <n v="85"/>
    <n v="3400"/>
  </r>
  <r>
    <x v="1056"/>
    <n v="2"/>
    <n v="20"/>
    <n v="3"/>
    <n v="2"/>
    <n v="2"/>
    <x v="1"/>
    <x v="1"/>
    <n v="140"/>
    <n v="420"/>
  </r>
  <r>
    <x v="1057"/>
    <n v="50"/>
    <n v="30"/>
    <n v="50"/>
    <n v="2"/>
    <n v="2"/>
    <x v="3"/>
    <x v="2"/>
    <n v="88"/>
    <n v="4400"/>
  </r>
  <r>
    <x v="1058"/>
    <n v="17"/>
    <n v="25"/>
    <n v="20"/>
    <n v="2"/>
    <n v="2"/>
    <x v="5"/>
    <x v="4"/>
    <n v="134"/>
    <n v="2680"/>
  </r>
  <r>
    <x v="1059"/>
    <n v="15"/>
    <n v="30"/>
    <n v="15"/>
    <n v="1"/>
    <n v="1"/>
    <x v="6"/>
    <x v="4"/>
    <n v="125"/>
    <n v="1875"/>
  </r>
  <r>
    <x v="1060"/>
    <n v="96"/>
    <n v="26"/>
    <n v="107"/>
    <n v="9"/>
    <n v="8"/>
    <x v="0"/>
    <x v="2"/>
    <n v="149"/>
    <n v="15943"/>
  </r>
  <r>
    <x v="1061"/>
    <n v="1"/>
    <n v="30"/>
    <n v="1"/>
    <n v="1"/>
    <n v="1"/>
    <x v="0"/>
    <x v="4"/>
    <n v="132"/>
    <n v="132"/>
  </r>
  <r>
    <x v="1062"/>
    <n v="1"/>
    <n v="30"/>
    <n v="1"/>
    <n v="1"/>
    <n v="1"/>
    <x v="1"/>
    <x v="2"/>
    <n v="130"/>
    <n v="130"/>
  </r>
  <r>
    <x v="1063"/>
    <n v="30"/>
    <n v="30"/>
    <n v="30"/>
    <n v="1"/>
    <n v="1"/>
    <x v="4"/>
    <x v="5"/>
    <n v="82"/>
    <n v="2460"/>
  </r>
  <r>
    <x v="1064"/>
    <n v="20"/>
    <n v="7"/>
    <n v="80"/>
    <n v="4"/>
    <n v="4"/>
    <x v="2"/>
    <x v="5"/>
    <n v="64"/>
    <n v="5120"/>
  </r>
  <r>
    <x v="1065"/>
    <n v="-1"/>
    <n v="0"/>
    <n v="2"/>
    <n v="4"/>
    <n v="4"/>
    <x v="4"/>
    <x v="2"/>
    <n v="79"/>
    <n v="158"/>
  </r>
  <r>
    <x v="1066"/>
    <n v="0"/>
    <n v="0"/>
    <n v="50"/>
    <n v="4"/>
    <n v="3"/>
    <x v="1"/>
    <x v="3"/>
    <n v="184"/>
    <n v="9200"/>
  </r>
  <r>
    <x v="1067"/>
    <n v="-1"/>
    <n v="0"/>
    <n v="1"/>
    <n v="1"/>
    <n v="1"/>
    <x v="2"/>
    <x v="1"/>
    <n v="147"/>
    <n v="147"/>
  </r>
  <r>
    <x v="1068"/>
    <n v="-10"/>
    <n v="0"/>
    <n v="10"/>
    <n v="1"/>
    <n v="1"/>
    <x v="2"/>
    <x v="1"/>
    <n v="105"/>
    <n v="1050"/>
  </r>
  <r>
    <x v="1069"/>
    <n v="10"/>
    <n v="15"/>
    <n v="20"/>
    <n v="2"/>
    <n v="2"/>
    <x v="2"/>
    <x v="4"/>
    <n v="92"/>
    <n v="1840"/>
  </r>
  <r>
    <x v="1070"/>
    <n v="75"/>
    <n v="30"/>
    <n v="75"/>
    <n v="2"/>
    <n v="2"/>
    <x v="5"/>
    <x v="2"/>
    <n v="103"/>
    <n v="7725"/>
  </r>
  <r>
    <x v="1071"/>
    <n v="70"/>
    <n v="26"/>
    <n v="80"/>
    <n v="6"/>
    <n v="4"/>
    <x v="1"/>
    <x v="5"/>
    <n v="92"/>
    <n v="7360"/>
  </r>
  <r>
    <x v="1072"/>
    <n v="45"/>
    <n v="30"/>
    <n v="45"/>
    <n v="3"/>
    <n v="3"/>
    <x v="4"/>
    <x v="0"/>
    <n v="81"/>
    <n v="3645"/>
  </r>
  <r>
    <x v="1073"/>
    <n v="28"/>
    <n v="30"/>
    <n v="28"/>
    <n v="1"/>
    <n v="1"/>
    <x v="2"/>
    <x v="1"/>
    <n v="109"/>
    <n v="3052"/>
  </r>
  <r>
    <x v="1074"/>
    <n v="10"/>
    <n v="30"/>
    <n v="10"/>
    <n v="1"/>
    <n v="1"/>
    <x v="0"/>
    <x v="6"/>
    <n v="103"/>
    <n v="1030"/>
  </r>
  <r>
    <x v="1075"/>
    <n v="3"/>
    <n v="30"/>
    <n v="3"/>
    <n v="2"/>
    <n v="2"/>
    <x v="2"/>
    <x v="6"/>
    <n v="103"/>
    <n v="309"/>
  </r>
  <r>
    <x v="1076"/>
    <n v="15"/>
    <n v="30"/>
    <n v="15"/>
    <n v="1"/>
    <n v="1"/>
    <x v="5"/>
    <x v="3"/>
    <n v="114"/>
    <n v="1710"/>
  </r>
  <r>
    <x v="1077"/>
    <n v="15"/>
    <n v="30"/>
    <n v="15"/>
    <n v="1"/>
    <n v="1"/>
    <x v="1"/>
    <x v="5"/>
    <n v="129"/>
    <n v="1935"/>
  </r>
  <r>
    <x v="1078"/>
    <n v="0"/>
    <n v="0"/>
    <n v="1"/>
    <n v="1"/>
    <n v="1"/>
    <x v="2"/>
    <x v="6"/>
    <n v="71"/>
    <n v="71"/>
  </r>
  <r>
    <x v="1079"/>
    <n v="-30"/>
    <n v="0"/>
    <n v="37"/>
    <n v="5"/>
    <n v="5"/>
    <x v="0"/>
    <x v="0"/>
    <n v="69"/>
    <n v="2553"/>
  </r>
  <r>
    <x v="1080"/>
    <n v="40"/>
    <n v="15"/>
    <n v="80"/>
    <n v="4"/>
    <n v="4"/>
    <x v="3"/>
    <x v="5"/>
    <n v="127"/>
    <n v="10160"/>
  </r>
  <r>
    <x v="1081"/>
    <n v="10"/>
    <n v="15"/>
    <n v="20"/>
    <n v="1"/>
    <n v="1"/>
    <x v="4"/>
    <x v="0"/>
    <n v="100"/>
    <n v="2000"/>
  </r>
  <r>
    <x v="1082"/>
    <n v="20"/>
    <n v="30"/>
    <n v="20"/>
    <n v="2"/>
    <n v="2"/>
    <x v="4"/>
    <x v="4"/>
    <n v="127"/>
    <n v="2540"/>
  </r>
  <r>
    <x v="1083"/>
    <n v="30"/>
    <n v="30"/>
    <n v="30"/>
    <n v="3"/>
    <n v="3"/>
    <x v="4"/>
    <x v="1"/>
    <n v="175"/>
    <n v="5250"/>
  </r>
  <r>
    <x v="1084"/>
    <n v="2"/>
    <n v="20"/>
    <n v="3"/>
    <n v="3"/>
    <n v="3"/>
    <x v="3"/>
    <x v="6"/>
    <n v="89"/>
    <n v="267"/>
  </r>
  <r>
    <x v="1085"/>
    <n v="4"/>
    <n v="30"/>
    <n v="4"/>
    <n v="4"/>
    <n v="4"/>
    <x v="4"/>
    <x v="4"/>
    <n v="124"/>
    <n v="496"/>
  </r>
  <r>
    <x v="1086"/>
    <n v="10"/>
    <n v="30"/>
    <n v="10"/>
    <n v="1"/>
    <n v="1"/>
    <x v="2"/>
    <x v="0"/>
    <n v="60"/>
    <n v="600"/>
  </r>
  <r>
    <x v="1087"/>
    <n v="30"/>
    <n v="30"/>
    <n v="30"/>
    <n v="1"/>
    <n v="1"/>
    <x v="6"/>
    <x v="5"/>
    <n v="103"/>
    <n v="3090"/>
  </r>
  <r>
    <x v="1088"/>
    <n v="-1"/>
    <n v="0"/>
    <n v="7"/>
    <n v="4"/>
    <n v="4"/>
    <x v="2"/>
    <x v="1"/>
    <n v="130"/>
    <n v="910"/>
  </r>
  <r>
    <x v="1089"/>
    <n v="0"/>
    <n v="0"/>
    <n v="10"/>
    <n v="1"/>
    <n v="1"/>
    <x v="4"/>
    <x v="2"/>
    <n v="111"/>
    <n v="1110"/>
  </r>
  <r>
    <x v="1090"/>
    <n v="360"/>
    <n v="10"/>
    <n v="1020"/>
    <n v="50"/>
    <n v="25"/>
    <x v="5"/>
    <x v="2"/>
    <n v="89"/>
    <n v="90780"/>
  </r>
  <r>
    <x v="1091"/>
    <n v="15"/>
    <n v="15"/>
    <n v="30"/>
    <n v="1"/>
    <n v="1"/>
    <x v="2"/>
    <x v="2"/>
    <n v="65"/>
    <n v="1950"/>
  </r>
  <r>
    <x v="1092"/>
    <n v="15"/>
    <n v="15"/>
    <n v="30"/>
    <n v="1"/>
    <n v="1"/>
    <x v="6"/>
    <x v="6"/>
    <n v="95"/>
    <n v="2850"/>
  </r>
  <r>
    <x v="1093"/>
    <n v="5"/>
    <n v="12"/>
    <n v="12"/>
    <n v="12"/>
    <n v="9"/>
    <x v="4"/>
    <x v="3"/>
    <n v="97"/>
    <n v="1164"/>
  </r>
  <r>
    <x v="1094"/>
    <n v="12"/>
    <n v="12"/>
    <n v="28"/>
    <n v="6"/>
    <n v="5"/>
    <x v="3"/>
    <x v="1"/>
    <n v="92"/>
    <n v="2576"/>
  </r>
  <r>
    <x v="1095"/>
    <n v="60"/>
    <n v="15"/>
    <n v="120"/>
    <n v="5"/>
    <n v="5"/>
    <x v="0"/>
    <x v="1"/>
    <n v="91"/>
    <n v="10920"/>
  </r>
  <r>
    <x v="1096"/>
    <n v="80"/>
    <n v="21"/>
    <n v="110"/>
    <n v="10"/>
    <n v="8"/>
    <x v="1"/>
    <x v="5"/>
    <n v="72"/>
    <n v="7920"/>
  </r>
  <r>
    <x v="1097"/>
    <n v="60"/>
    <n v="30"/>
    <n v="60"/>
    <n v="4"/>
    <n v="4"/>
    <x v="4"/>
    <x v="4"/>
    <n v="110"/>
    <n v="6600"/>
  </r>
  <r>
    <x v="1098"/>
    <n v="15"/>
    <n v="30"/>
    <n v="15"/>
    <n v="1"/>
    <n v="1"/>
    <x v="0"/>
    <x v="6"/>
    <n v="169"/>
    <n v="2535"/>
  </r>
  <r>
    <x v="1099"/>
    <n v="4"/>
    <n v="30"/>
    <n v="4"/>
    <n v="4"/>
    <n v="4"/>
    <x v="6"/>
    <x v="0"/>
    <n v="87"/>
    <n v="348"/>
  </r>
  <r>
    <x v="1100"/>
    <n v="-2"/>
    <n v="0"/>
    <n v="1"/>
    <n v="1"/>
    <n v="1"/>
    <x v="2"/>
    <x v="5"/>
    <n v="178"/>
    <n v="178"/>
  </r>
  <r>
    <x v="1101"/>
    <n v="0"/>
    <n v="0"/>
    <n v="6"/>
    <n v="4"/>
    <n v="4"/>
    <x v="5"/>
    <x v="2"/>
    <n v="122"/>
    <n v="732"/>
  </r>
  <r>
    <x v="1102"/>
    <n v="30"/>
    <n v="15"/>
    <n v="60"/>
    <n v="3"/>
    <n v="3"/>
    <x v="1"/>
    <x v="2"/>
    <n v="113"/>
    <n v="6780"/>
  </r>
  <r>
    <x v="1103"/>
    <n v="10"/>
    <n v="15"/>
    <n v="20"/>
    <n v="1"/>
    <n v="1"/>
    <x v="4"/>
    <x v="3"/>
    <n v="75"/>
    <n v="1500"/>
  </r>
  <r>
    <x v="1104"/>
    <n v="40"/>
    <n v="30"/>
    <n v="40"/>
    <n v="4"/>
    <n v="4"/>
    <x v="0"/>
    <x v="4"/>
    <n v="67"/>
    <n v="2680"/>
  </r>
  <r>
    <x v="1105"/>
    <n v="20"/>
    <n v="20"/>
    <n v="30"/>
    <n v="3"/>
    <n v="3"/>
    <x v="1"/>
    <x v="4"/>
    <n v="94"/>
    <n v="2820"/>
  </r>
  <r>
    <x v="1106"/>
    <n v="0"/>
    <n v="0"/>
    <n v="60"/>
    <n v="3"/>
    <n v="3"/>
    <x v="0"/>
    <x v="3"/>
    <n v="116"/>
    <n v="6960"/>
  </r>
  <r>
    <x v="1107"/>
    <n v="-11"/>
    <n v="0"/>
    <n v="2"/>
    <n v="2"/>
    <n v="2"/>
    <x v="1"/>
    <x v="1"/>
    <n v="70"/>
    <n v="140"/>
  </r>
  <r>
    <x v="1108"/>
    <n v="-2"/>
    <n v="0"/>
    <n v="1"/>
    <n v="1"/>
    <n v="1"/>
    <x v="2"/>
    <x v="1"/>
    <n v="168"/>
    <n v="168"/>
  </r>
  <r>
    <x v="1109"/>
    <n v="0"/>
    <n v="0"/>
    <n v="1"/>
    <n v="1"/>
    <n v="1"/>
    <x v="0"/>
    <x v="1"/>
    <n v="105"/>
    <n v="105"/>
  </r>
  <r>
    <x v="1110"/>
    <n v="0"/>
    <n v="0"/>
    <n v="10"/>
    <n v="1"/>
    <n v="1"/>
    <x v="4"/>
    <x v="4"/>
    <n v="142"/>
    <n v="1420"/>
  </r>
  <r>
    <x v="1111"/>
    <n v="60"/>
    <n v="13"/>
    <n v="135"/>
    <n v="3"/>
    <n v="3"/>
    <x v="0"/>
    <x v="4"/>
    <n v="150"/>
    <n v="20250"/>
  </r>
  <r>
    <x v="1112"/>
    <n v="1"/>
    <n v="15"/>
    <n v="2"/>
    <n v="2"/>
    <n v="2"/>
    <x v="5"/>
    <x v="6"/>
    <n v="81"/>
    <n v="162"/>
  </r>
  <r>
    <x v="1113"/>
    <n v="90"/>
    <n v="22"/>
    <n v="120"/>
    <n v="4"/>
    <n v="4"/>
    <x v="2"/>
    <x v="0"/>
    <n v="110"/>
    <n v="13200"/>
  </r>
  <r>
    <x v="1114"/>
    <n v="3"/>
    <n v="30"/>
    <n v="3"/>
    <n v="3"/>
    <n v="3"/>
    <x v="4"/>
    <x v="0"/>
    <n v="116"/>
    <n v="348"/>
  </r>
  <r>
    <x v="1115"/>
    <n v="60"/>
    <n v="30"/>
    <n v="60"/>
    <n v="4"/>
    <n v="3"/>
    <x v="3"/>
    <x v="2"/>
    <n v="71"/>
    <n v="4260"/>
  </r>
  <r>
    <x v="1116"/>
    <n v="30"/>
    <n v="18"/>
    <n v="50"/>
    <n v="4"/>
    <n v="4"/>
    <x v="0"/>
    <x v="3"/>
    <n v="142"/>
    <n v="7100"/>
  </r>
  <r>
    <x v="1117"/>
    <n v="0"/>
    <n v="0"/>
    <n v="6"/>
    <n v="6"/>
    <n v="5"/>
    <x v="2"/>
    <x v="6"/>
    <n v="118"/>
    <n v="708"/>
  </r>
  <r>
    <x v="1118"/>
    <n v="0"/>
    <n v="0"/>
    <n v="1"/>
    <n v="1"/>
    <n v="1"/>
    <x v="5"/>
    <x v="3"/>
    <n v="198"/>
    <n v="198"/>
  </r>
  <r>
    <x v="1119"/>
    <n v="30"/>
    <n v="12"/>
    <n v="70"/>
    <n v="5"/>
    <n v="5"/>
    <x v="0"/>
    <x v="1"/>
    <n v="148"/>
    <n v="10360"/>
  </r>
  <r>
    <x v="1120"/>
    <n v="45"/>
    <n v="15"/>
    <n v="90"/>
    <n v="4"/>
    <n v="4"/>
    <x v="3"/>
    <x v="6"/>
    <n v="132"/>
    <n v="11880"/>
  </r>
  <r>
    <x v="1121"/>
    <n v="20"/>
    <n v="15"/>
    <n v="40"/>
    <n v="2"/>
    <n v="2"/>
    <x v="3"/>
    <x v="5"/>
    <n v="86"/>
    <n v="3440"/>
  </r>
  <r>
    <x v="1122"/>
    <n v="30"/>
    <n v="30"/>
    <n v="30"/>
    <n v="2"/>
    <n v="1"/>
    <x v="5"/>
    <x v="2"/>
    <n v="114"/>
    <n v="3420"/>
  </r>
  <r>
    <x v="1123"/>
    <n v="50"/>
    <n v="21"/>
    <n v="70"/>
    <n v="4"/>
    <n v="4"/>
    <x v="0"/>
    <x v="1"/>
    <n v="126"/>
    <n v="8820"/>
  </r>
  <r>
    <x v="1124"/>
    <n v="1"/>
    <n v="30"/>
    <n v="1"/>
    <n v="1"/>
    <n v="1"/>
    <x v="5"/>
    <x v="6"/>
    <n v="183"/>
    <n v="183"/>
  </r>
  <r>
    <x v="1125"/>
    <n v="50"/>
    <n v="7"/>
    <n v="190"/>
    <n v="12"/>
    <n v="9"/>
    <x v="2"/>
    <x v="4"/>
    <n v="69"/>
    <n v="13110"/>
  </r>
  <r>
    <x v="1126"/>
    <n v="0"/>
    <n v="0"/>
    <n v="4"/>
    <n v="1"/>
    <n v="1"/>
    <x v="1"/>
    <x v="0"/>
    <n v="136"/>
    <n v="544"/>
  </r>
  <r>
    <x v="1127"/>
    <n v="0"/>
    <n v="0"/>
    <n v="20"/>
    <n v="1"/>
    <n v="1"/>
    <x v="5"/>
    <x v="0"/>
    <n v="149"/>
    <n v="2980"/>
  </r>
  <r>
    <x v="1128"/>
    <n v="-2"/>
    <n v="0"/>
    <n v="3"/>
    <n v="3"/>
    <n v="3"/>
    <x v="6"/>
    <x v="6"/>
    <n v="117"/>
    <n v="351"/>
  </r>
  <r>
    <x v="1129"/>
    <n v="-2"/>
    <n v="0"/>
    <n v="1"/>
    <n v="1"/>
    <n v="1"/>
    <x v="1"/>
    <x v="5"/>
    <n v="101"/>
    <n v="101"/>
  </r>
  <r>
    <x v="1130"/>
    <n v="-1"/>
    <n v="0"/>
    <n v="1"/>
    <n v="1"/>
    <n v="1"/>
    <x v="5"/>
    <x v="2"/>
    <n v="109"/>
    <n v="109"/>
  </r>
  <r>
    <x v="1131"/>
    <n v="10"/>
    <n v="15"/>
    <n v="20"/>
    <n v="1"/>
    <n v="1"/>
    <x v="3"/>
    <x v="0"/>
    <n v="86"/>
    <n v="1720"/>
  </r>
  <r>
    <x v="1132"/>
    <n v="30"/>
    <n v="22"/>
    <n v="40"/>
    <n v="4"/>
    <n v="4"/>
    <x v="1"/>
    <x v="6"/>
    <n v="73"/>
    <n v="2920"/>
  </r>
  <r>
    <x v="1133"/>
    <n v="5"/>
    <n v="16"/>
    <n v="9"/>
    <n v="9"/>
    <n v="8"/>
    <x v="6"/>
    <x v="1"/>
    <n v="98"/>
    <n v="882"/>
  </r>
  <r>
    <x v="1134"/>
    <n v="15"/>
    <n v="30"/>
    <n v="15"/>
    <n v="1"/>
    <n v="1"/>
    <x v="0"/>
    <x v="1"/>
    <n v="112"/>
    <n v="1680"/>
  </r>
  <r>
    <x v="1135"/>
    <n v="-16"/>
    <n v="0"/>
    <n v="20"/>
    <n v="19"/>
    <n v="14"/>
    <x v="2"/>
    <x v="1"/>
    <n v="126"/>
    <n v="2520"/>
  </r>
  <r>
    <x v="1136"/>
    <n v="-15"/>
    <n v="0"/>
    <n v="30"/>
    <n v="2"/>
    <n v="2"/>
    <x v="2"/>
    <x v="3"/>
    <n v="85"/>
    <n v="2550"/>
  </r>
  <r>
    <x v="1137"/>
    <n v="10"/>
    <n v="10"/>
    <n v="30"/>
    <n v="3"/>
    <n v="3"/>
    <x v="5"/>
    <x v="0"/>
    <n v="125"/>
    <n v="3750"/>
  </r>
  <r>
    <x v="1138"/>
    <n v="70"/>
    <n v="30"/>
    <n v="70"/>
    <n v="4"/>
    <n v="4"/>
    <x v="1"/>
    <x v="1"/>
    <n v="146"/>
    <n v="10220"/>
  </r>
  <r>
    <x v="1139"/>
    <n v="2"/>
    <n v="30"/>
    <n v="2"/>
    <n v="2"/>
    <n v="2"/>
    <x v="1"/>
    <x v="2"/>
    <n v="72"/>
    <n v="144"/>
  </r>
  <r>
    <x v="1140"/>
    <n v="28"/>
    <n v="30"/>
    <n v="28"/>
    <n v="2"/>
    <n v="2"/>
    <x v="1"/>
    <x v="1"/>
    <n v="144"/>
    <n v="4032"/>
  </r>
  <r>
    <x v="1141"/>
    <n v="20"/>
    <n v="30"/>
    <n v="20"/>
    <n v="1"/>
    <n v="1"/>
    <x v="3"/>
    <x v="4"/>
    <n v="71"/>
    <n v="1420"/>
  </r>
  <r>
    <x v="1142"/>
    <n v="20"/>
    <n v="30"/>
    <n v="20"/>
    <n v="2"/>
    <n v="2"/>
    <x v="4"/>
    <x v="1"/>
    <n v="119"/>
    <n v="2380"/>
  </r>
  <r>
    <x v="1143"/>
    <n v="2"/>
    <n v="30"/>
    <n v="2"/>
    <n v="2"/>
    <n v="2"/>
    <x v="2"/>
    <x v="4"/>
    <n v="73"/>
    <n v="146"/>
  </r>
  <r>
    <x v="1144"/>
    <n v="20"/>
    <n v="2"/>
    <n v="220"/>
    <n v="16"/>
    <n v="13"/>
    <x v="2"/>
    <x v="4"/>
    <n v="107"/>
    <n v="23540"/>
  </r>
  <r>
    <x v="1145"/>
    <n v="-1"/>
    <n v="0"/>
    <n v="1"/>
    <n v="1"/>
    <n v="1"/>
    <x v="2"/>
    <x v="3"/>
    <n v="114"/>
    <n v="114"/>
  </r>
  <r>
    <x v="1146"/>
    <n v="-2"/>
    <n v="0"/>
    <n v="2"/>
    <n v="2"/>
    <n v="2"/>
    <x v="6"/>
    <x v="1"/>
    <n v="189"/>
    <n v="378"/>
  </r>
  <r>
    <x v="1147"/>
    <n v="-12"/>
    <n v="0"/>
    <n v="2"/>
    <n v="2"/>
    <n v="2"/>
    <x v="0"/>
    <x v="4"/>
    <n v="136"/>
    <n v="272"/>
  </r>
  <r>
    <x v="1148"/>
    <n v="4"/>
    <n v="15"/>
    <n v="8"/>
    <n v="5"/>
    <n v="4"/>
    <x v="3"/>
    <x v="5"/>
    <n v="192"/>
    <n v="1536"/>
  </r>
  <r>
    <x v="1149"/>
    <n v="1"/>
    <n v="15"/>
    <n v="2"/>
    <n v="2"/>
    <n v="2"/>
    <x v="4"/>
    <x v="1"/>
    <n v="147"/>
    <n v="294"/>
  </r>
  <r>
    <x v="1150"/>
    <n v="20"/>
    <n v="30"/>
    <n v="20"/>
    <n v="2"/>
    <n v="2"/>
    <x v="2"/>
    <x v="3"/>
    <n v="89"/>
    <n v="1780"/>
  </r>
  <r>
    <x v="1151"/>
    <n v="2"/>
    <n v="30"/>
    <n v="2"/>
    <n v="2"/>
    <n v="2"/>
    <x v="5"/>
    <x v="2"/>
    <n v="135"/>
    <n v="270"/>
  </r>
  <r>
    <x v="1152"/>
    <n v="-14"/>
    <n v="0"/>
    <n v="105"/>
    <n v="4"/>
    <n v="3"/>
    <x v="3"/>
    <x v="1"/>
    <n v="87"/>
    <n v="9135"/>
  </r>
  <r>
    <x v="1153"/>
    <n v="-10"/>
    <n v="0"/>
    <n v="2"/>
    <n v="2"/>
    <n v="2"/>
    <x v="2"/>
    <x v="5"/>
    <n v="117"/>
    <n v="234"/>
  </r>
  <r>
    <x v="1154"/>
    <n v="0"/>
    <n v="0"/>
    <n v="10"/>
    <n v="1"/>
    <n v="1"/>
    <x v="0"/>
    <x v="4"/>
    <n v="128"/>
    <n v="1280"/>
  </r>
  <r>
    <x v="1155"/>
    <n v="10"/>
    <n v="10"/>
    <n v="30"/>
    <n v="3"/>
    <n v="3"/>
    <x v="6"/>
    <x v="5"/>
    <n v="75"/>
    <n v="2250"/>
  </r>
  <r>
    <x v="1156"/>
    <n v="90"/>
    <n v="18"/>
    <n v="150"/>
    <n v="6"/>
    <n v="5"/>
    <x v="2"/>
    <x v="1"/>
    <n v="140"/>
    <n v="21000"/>
  </r>
  <r>
    <x v="1157"/>
    <n v="30"/>
    <n v="30"/>
    <n v="30"/>
    <n v="1"/>
    <n v="1"/>
    <x v="6"/>
    <x v="4"/>
    <n v="115"/>
    <n v="3450"/>
  </r>
  <r>
    <x v="1158"/>
    <n v="10"/>
    <n v="30"/>
    <n v="10"/>
    <n v="1"/>
    <n v="1"/>
    <x v="5"/>
    <x v="3"/>
    <n v="115"/>
    <n v="1150"/>
  </r>
  <r>
    <x v="1159"/>
    <n v="3"/>
    <n v="30"/>
    <n v="3"/>
    <n v="3"/>
    <n v="3"/>
    <x v="3"/>
    <x v="4"/>
    <n v="86"/>
    <n v="258"/>
  </r>
  <r>
    <x v="1160"/>
    <n v="5"/>
    <n v="30"/>
    <n v="5"/>
    <n v="5"/>
    <n v="4"/>
    <x v="6"/>
    <x v="1"/>
    <n v="140"/>
    <n v="700"/>
  </r>
  <r>
    <x v="1161"/>
    <n v="10"/>
    <n v="3"/>
    <n v="90"/>
    <n v="2"/>
    <n v="2"/>
    <x v="6"/>
    <x v="1"/>
    <n v="98"/>
    <n v="8820"/>
  </r>
  <r>
    <x v="1162"/>
    <n v="-2"/>
    <n v="0"/>
    <n v="1"/>
    <n v="1"/>
    <n v="1"/>
    <x v="0"/>
    <x v="5"/>
    <n v="199"/>
    <n v="199"/>
  </r>
  <r>
    <x v="1163"/>
    <n v="0"/>
    <n v="0"/>
    <n v="1"/>
    <n v="1"/>
    <n v="1"/>
    <x v="6"/>
    <x v="2"/>
    <n v="102"/>
    <n v="102"/>
  </r>
  <r>
    <x v="1164"/>
    <n v="-12"/>
    <n v="0"/>
    <n v="15"/>
    <n v="1"/>
    <n v="1"/>
    <x v="3"/>
    <x v="0"/>
    <n v="103"/>
    <n v="1545"/>
  </r>
  <r>
    <x v="1165"/>
    <n v="-15"/>
    <n v="0"/>
    <n v="15"/>
    <n v="1"/>
    <n v="1"/>
    <x v="3"/>
    <x v="2"/>
    <n v="130"/>
    <n v="1950"/>
  </r>
  <r>
    <x v="1166"/>
    <n v="15"/>
    <n v="15"/>
    <n v="30"/>
    <n v="2"/>
    <n v="2"/>
    <x v="1"/>
    <x v="4"/>
    <n v="129"/>
    <n v="3870"/>
  </r>
  <r>
    <x v="1167"/>
    <n v="10"/>
    <n v="10"/>
    <n v="30"/>
    <n v="1"/>
    <n v="1"/>
    <x v="3"/>
    <x v="2"/>
    <n v="121"/>
    <n v="3630"/>
  </r>
  <r>
    <x v="1168"/>
    <n v="10"/>
    <n v="15"/>
    <n v="20"/>
    <n v="1"/>
    <n v="1"/>
    <x v="6"/>
    <x v="4"/>
    <n v="64"/>
    <n v="1280"/>
  </r>
  <r>
    <x v="1169"/>
    <n v="30"/>
    <n v="30"/>
    <n v="30"/>
    <n v="2"/>
    <n v="2"/>
    <x v="3"/>
    <x v="5"/>
    <n v="103"/>
    <n v="3090"/>
  </r>
  <r>
    <x v="1170"/>
    <n v="4"/>
    <n v="24"/>
    <n v="5"/>
    <n v="5"/>
    <n v="5"/>
    <x v="6"/>
    <x v="5"/>
    <n v="142"/>
    <n v="710"/>
  </r>
  <r>
    <x v="1171"/>
    <n v="45"/>
    <n v="30"/>
    <n v="45"/>
    <n v="1"/>
    <n v="1"/>
    <x v="6"/>
    <x v="5"/>
    <n v="71"/>
    <n v="3195"/>
  </r>
  <r>
    <x v="1172"/>
    <n v="1"/>
    <n v="30"/>
    <n v="1"/>
    <n v="1"/>
    <n v="1"/>
    <x v="3"/>
    <x v="3"/>
    <n v="121"/>
    <n v="121"/>
  </r>
  <r>
    <x v="1173"/>
    <n v="0"/>
    <n v="0"/>
    <n v="20"/>
    <n v="1"/>
    <n v="1"/>
    <x v="1"/>
    <x v="0"/>
    <n v="142"/>
    <n v="2840"/>
  </r>
  <r>
    <x v="1174"/>
    <n v="-8"/>
    <n v="0"/>
    <n v="3"/>
    <n v="3"/>
    <n v="3"/>
    <x v="2"/>
    <x v="4"/>
    <n v="93"/>
    <n v="279"/>
  </r>
  <r>
    <x v="1175"/>
    <n v="1"/>
    <n v="15"/>
    <n v="2"/>
    <n v="2"/>
    <n v="2"/>
    <x v="5"/>
    <x v="3"/>
    <n v="127"/>
    <n v="254"/>
  </r>
  <r>
    <x v="1176"/>
    <n v="30"/>
    <n v="18"/>
    <n v="50"/>
    <n v="5"/>
    <n v="5"/>
    <x v="2"/>
    <x v="4"/>
    <n v="125"/>
    <n v="6250"/>
  </r>
  <r>
    <x v="1177"/>
    <n v="3"/>
    <n v="22"/>
    <n v="4"/>
    <n v="4"/>
    <n v="3"/>
    <x v="4"/>
    <x v="6"/>
    <n v="142"/>
    <n v="568"/>
  </r>
  <r>
    <x v="1178"/>
    <n v="1"/>
    <n v="30"/>
    <n v="1"/>
    <n v="1"/>
    <n v="1"/>
    <x v="2"/>
    <x v="4"/>
    <n v="111"/>
    <n v="111"/>
  </r>
  <r>
    <x v="1179"/>
    <n v="7"/>
    <n v="26"/>
    <n v="8"/>
    <n v="3"/>
    <n v="3"/>
    <x v="4"/>
    <x v="1"/>
    <n v="126"/>
    <n v="1008"/>
  </r>
  <r>
    <x v="1180"/>
    <n v="15"/>
    <n v="30"/>
    <n v="15"/>
    <n v="1"/>
    <n v="1"/>
    <x v="6"/>
    <x v="0"/>
    <n v="82"/>
    <n v="1230"/>
  </r>
  <r>
    <x v="1181"/>
    <n v="40"/>
    <n v="6"/>
    <n v="180"/>
    <n v="11"/>
    <n v="11"/>
    <x v="2"/>
    <x v="2"/>
    <n v="117"/>
    <n v="21060"/>
  </r>
  <r>
    <x v="1182"/>
    <n v="-1"/>
    <n v="0"/>
    <n v="1"/>
    <n v="1"/>
    <n v="1"/>
    <x v="4"/>
    <x v="3"/>
    <n v="156"/>
    <n v="156"/>
  </r>
  <r>
    <x v="1183"/>
    <n v="10"/>
    <n v="6"/>
    <n v="50"/>
    <n v="3"/>
    <n v="3"/>
    <x v="6"/>
    <x v="2"/>
    <n v="102"/>
    <n v="5100"/>
  </r>
  <r>
    <x v="1184"/>
    <n v="-165"/>
    <n v="0"/>
    <n v="60"/>
    <n v="4"/>
    <n v="4"/>
    <x v="4"/>
    <x v="2"/>
    <n v="78"/>
    <n v="4680"/>
  </r>
  <r>
    <x v="1185"/>
    <n v="30"/>
    <n v="6"/>
    <n v="150"/>
    <n v="5"/>
    <n v="5"/>
    <x v="4"/>
    <x v="4"/>
    <n v="114"/>
    <n v="17100"/>
  </r>
  <r>
    <x v="1186"/>
    <n v="0"/>
    <n v="0"/>
    <n v="2"/>
    <n v="2"/>
    <n v="2"/>
    <x v="1"/>
    <x v="0"/>
    <n v="97"/>
    <n v="194"/>
  </r>
  <r>
    <x v="1187"/>
    <n v="0"/>
    <n v="0"/>
    <n v="1"/>
    <n v="1"/>
    <n v="1"/>
    <x v="0"/>
    <x v="4"/>
    <n v="132"/>
    <n v="132"/>
  </r>
  <r>
    <x v="1188"/>
    <n v="0"/>
    <n v="0"/>
    <n v="1"/>
    <n v="1"/>
    <n v="1"/>
    <x v="1"/>
    <x v="2"/>
    <n v="186"/>
    <n v="186"/>
  </r>
  <r>
    <x v="1189"/>
    <n v="10"/>
    <n v="7"/>
    <n v="40"/>
    <n v="3"/>
    <n v="3"/>
    <x v="3"/>
    <x v="1"/>
    <n v="126"/>
    <n v="5040"/>
  </r>
  <r>
    <x v="1190"/>
    <n v="-115"/>
    <n v="0"/>
    <n v="51"/>
    <n v="3"/>
    <n v="3"/>
    <x v="1"/>
    <x v="0"/>
    <n v="90"/>
    <n v="4590"/>
  </r>
  <r>
    <x v="1191"/>
    <n v="30"/>
    <n v="15"/>
    <n v="60"/>
    <n v="3"/>
    <n v="3"/>
    <x v="3"/>
    <x v="5"/>
    <n v="62"/>
    <n v="3720"/>
  </r>
  <r>
    <x v="1192"/>
    <n v="70"/>
    <n v="19"/>
    <n v="110"/>
    <n v="7"/>
    <n v="6"/>
    <x v="6"/>
    <x v="5"/>
    <n v="135"/>
    <n v="14850"/>
  </r>
  <r>
    <x v="1193"/>
    <n v="0"/>
    <n v="0"/>
    <n v="15"/>
    <n v="1"/>
    <n v="1"/>
    <x v="6"/>
    <x v="6"/>
    <n v="85"/>
    <n v="1275"/>
  </r>
  <r>
    <x v="1194"/>
    <n v="0"/>
    <n v="0"/>
    <n v="10"/>
    <n v="1"/>
    <n v="1"/>
    <x v="4"/>
    <x v="4"/>
    <n v="93"/>
    <n v="930"/>
  </r>
  <r>
    <x v="1195"/>
    <n v="-60"/>
    <n v="0"/>
    <n v="80"/>
    <n v="5"/>
    <n v="5"/>
    <x v="4"/>
    <x v="2"/>
    <n v="132"/>
    <n v="10560"/>
  </r>
  <r>
    <x v="1196"/>
    <n v="20"/>
    <n v="10"/>
    <n v="60"/>
    <n v="3"/>
    <n v="3"/>
    <x v="4"/>
    <x v="0"/>
    <n v="122"/>
    <n v="7320"/>
  </r>
  <r>
    <x v="1197"/>
    <n v="15"/>
    <n v="15"/>
    <n v="30"/>
    <n v="2"/>
    <n v="2"/>
    <x v="6"/>
    <x v="3"/>
    <n v="85"/>
    <n v="2550"/>
  </r>
  <r>
    <x v="1198"/>
    <n v="3"/>
    <n v="22"/>
    <n v="4"/>
    <n v="3"/>
    <n v="3"/>
    <x v="5"/>
    <x v="5"/>
    <n v="76"/>
    <n v="304"/>
  </r>
  <r>
    <x v="1199"/>
    <n v="75"/>
    <n v="30"/>
    <n v="75"/>
    <n v="7"/>
    <n v="5"/>
    <x v="0"/>
    <x v="3"/>
    <n v="83"/>
    <n v="6225"/>
  </r>
  <r>
    <x v="1200"/>
    <n v="30"/>
    <n v="30"/>
    <n v="30"/>
    <n v="2"/>
    <n v="2"/>
    <x v="4"/>
    <x v="0"/>
    <n v="62"/>
    <n v="1860"/>
  </r>
  <r>
    <x v="1201"/>
    <n v="8"/>
    <n v="16"/>
    <n v="15"/>
    <n v="7"/>
    <n v="7"/>
    <x v="4"/>
    <x v="2"/>
    <n v="144"/>
    <n v="2160"/>
  </r>
  <r>
    <x v="1202"/>
    <n v="7"/>
    <n v="4"/>
    <n v="49"/>
    <n v="4"/>
    <n v="4"/>
    <x v="4"/>
    <x v="1"/>
    <n v="100"/>
    <n v="4900"/>
  </r>
  <r>
    <x v="1203"/>
    <n v="-30"/>
    <n v="0"/>
    <n v="30"/>
    <n v="1"/>
    <n v="1"/>
    <x v="0"/>
    <x v="4"/>
    <n v="87"/>
    <n v="2610"/>
  </r>
  <r>
    <x v="1204"/>
    <n v="30"/>
    <n v="5"/>
    <n v="180"/>
    <n v="3"/>
    <n v="3"/>
    <x v="6"/>
    <x v="6"/>
    <n v="143"/>
    <n v="25740"/>
  </r>
  <r>
    <x v="1205"/>
    <n v="4"/>
    <n v="15"/>
    <n v="8"/>
    <n v="2"/>
    <n v="2"/>
    <x v="5"/>
    <x v="5"/>
    <n v="143"/>
    <n v="1144"/>
  </r>
  <r>
    <x v="1206"/>
    <n v="150"/>
    <n v="27"/>
    <n v="165"/>
    <n v="9"/>
    <n v="8"/>
    <x v="2"/>
    <x v="5"/>
    <n v="132"/>
    <n v="21780"/>
  </r>
  <r>
    <x v="1207"/>
    <n v="80"/>
    <n v="30"/>
    <n v="80"/>
    <n v="6"/>
    <n v="6"/>
    <x v="0"/>
    <x v="5"/>
    <n v="134"/>
    <n v="10720"/>
  </r>
  <r>
    <x v="1208"/>
    <n v="20"/>
    <n v="20"/>
    <n v="30"/>
    <n v="3"/>
    <n v="3"/>
    <x v="2"/>
    <x v="0"/>
    <n v="125"/>
    <n v="3750"/>
  </r>
  <r>
    <x v="1209"/>
    <n v="40"/>
    <n v="20"/>
    <n v="60"/>
    <n v="4"/>
    <n v="4"/>
    <x v="3"/>
    <x v="0"/>
    <n v="73"/>
    <n v="4380"/>
  </r>
  <r>
    <x v="1210"/>
    <n v="1"/>
    <n v="30"/>
    <n v="1"/>
    <n v="1"/>
    <n v="1"/>
    <x v="1"/>
    <x v="2"/>
    <n v="67"/>
    <n v="67"/>
  </r>
  <r>
    <x v="1211"/>
    <n v="-45"/>
    <n v="0"/>
    <n v="90"/>
    <n v="6"/>
    <n v="5"/>
    <x v="0"/>
    <x v="5"/>
    <n v="144"/>
    <n v="12960"/>
  </r>
  <r>
    <x v="1212"/>
    <n v="14"/>
    <n v="10"/>
    <n v="42"/>
    <n v="3"/>
    <n v="3"/>
    <x v="0"/>
    <x v="1"/>
    <n v="149"/>
    <n v="6258"/>
  </r>
  <r>
    <x v="1213"/>
    <n v="30"/>
    <n v="12"/>
    <n v="75"/>
    <n v="3"/>
    <n v="3"/>
    <x v="5"/>
    <x v="5"/>
    <n v="86"/>
    <n v="6450"/>
  </r>
  <r>
    <x v="1214"/>
    <n v="240"/>
    <n v="17"/>
    <n v="420"/>
    <n v="18"/>
    <n v="14"/>
    <x v="0"/>
    <x v="1"/>
    <n v="108"/>
    <n v="45360"/>
  </r>
  <r>
    <x v="1215"/>
    <n v="20"/>
    <n v="30"/>
    <n v="20"/>
    <n v="2"/>
    <n v="2"/>
    <x v="2"/>
    <x v="2"/>
    <n v="73"/>
    <n v="1460"/>
  </r>
  <r>
    <x v="1216"/>
    <n v="20"/>
    <n v="30"/>
    <n v="20"/>
    <n v="2"/>
    <n v="2"/>
    <x v="1"/>
    <x v="6"/>
    <n v="90"/>
    <n v="1800"/>
  </r>
  <r>
    <x v="1217"/>
    <n v="37"/>
    <n v="27"/>
    <n v="40"/>
    <n v="4"/>
    <n v="3"/>
    <x v="2"/>
    <x v="0"/>
    <n v="85"/>
    <n v="3400"/>
  </r>
  <r>
    <x v="1218"/>
    <n v="30"/>
    <n v="30"/>
    <n v="30"/>
    <n v="1"/>
    <n v="1"/>
    <x v="4"/>
    <x v="6"/>
    <n v="88"/>
    <n v="2640"/>
  </r>
  <r>
    <x v="1219"/>
    <n v="10"/>
    <n v="7"/>
    <n v="40"/>
    <n v="3"/>
    <n v="2"/>
    <x v="3"/>
    <x v="4"/>
    <n v="60"/>
    <n v="2400"/>
  </r>
  <r>
    <x v="1220"/>
    <n v="-90"/>
    <n v="0"/>
    <n v="40"/>
    <n v="2"/>
    <n v="2"/>
    <x v="0"/>
    <x v="1"/>
    <n v="105"/>
    <n v="4200"/>
  </r>
  <r>
    <x v="1221"/>
    <n v="-40"/>
    <n v="0"/>
    <n v="40"/>
    <n v="2"/>
    <n v="2"/>
    <x v="5"/>
    <x v="5"/>
    <n v="100"/>
    <n v="4000"/>
  </r>
  <r>
    <x v="1222"/>
    <n v="20"/>
    <n v="30"/>
    <n v="20"/>
    <n v="2"/>
    <n v="2"/>
    <x v="4"/>
    <x v="0"/>
    <n v="79"/>
    <n v="1580"/>
  </r>
  <r>
    <x v="1223"/>
    <n v="60"/>
    <n v="24"/>
    <n v="75"/>
    <n v="3"/>
    <n v="3"/>
    <x v="5"/>
    <x v="5"/>
    <n v="86"/>
    <n v="6450"/>
  </r>
  <r>
    <x v="1224"/>
    <n v="30"/>
    <n v="20"/>
    <n v="45"/>
    <n v="3"/>
    <n v="3"/>
    <x v="4"/>
    <x v="5"/>
    <n v="127"/>
    <n v="5715"/>
  </r>
  <r>
    <x v="1225"/>
    <n v="15"/>
    <n v="30"/>
    <n v="15"/>
    <n v="1"/>
    <n v="1"/>
    <x v="2"/>
    <x v="5"/>
    <n v="115"/>
    <n v="1725"/>
  </r>
  <r>
    <x v="1226"/>
    <n v="120"/>
    <n v="30"/>
    <n v="120"/>
    <n v="2"/>
    <n v="2"/>
    <x v="1"/>
    <x v="4"/>
    <n v="69"/>
    <n v="8280"/>
  </r>
  <r>
    <x v="1227"/>
    <n v="20"/>
    <n v="30"/>
    <n v="20"/>
    <n v="2"/>
    <n v="1"/>
    <x v="1"/>
    <x v="5"/>
    <n v="67"/>
    <n v="1340"/>
  </r>
  <r>
    <x v="1228"/>
    <n v="53"/>
    <n v="27"/>
    <n v="57"/>
    <n v="9"/>
    <n v="7"/>
    <x v="6"/>
    <x v="2"/>
    <n v="123"/>
    <n v="7011"/>
  </r>
  <r>
    <x v="1229"/>
    <n v="10"/>
    <n v="30"/>
    <n v="10"/>
    <n v="1"/>
    <n v="1"/>
    <x v="0"/>
    <x v="0"/>
    <n v="74"/>
    <n v="740"/>
  </r>
  <r>
    <x v="1230"/>
    <n v="0"/>
    <n v="0"/>
    <n v="8"/>
    <n v="1"/>
    <n v="1"/>
    <x v="6"/>
    <x v="2"/>
    <n v="144"/>
    <n v="1152"/>
  </r>
  <r>
    <x v="1231"/>
    <n v="40"/>
    <n v="30"/>
    <n v="40"/>
    <n v="2"/>
    <n v="2"/>
    <x v="3"/>
    <x v="5"/>
    <n v="93"/>
    <n v="3720"/>
  </r>
  <r>
    <x v="1232"/>
    <n v="20"/>
    <n v="20"/>
    <n v="30"/>
    <n v="3"/>
    <n v="3"/>
    <x v="0"/>
    <x v="4"/>
    <n v="122"/>
    <n v="3660"/>
  </r>
  <r>
    <x v="1233"/>
    <n v="20"/>
    <n v="20"/>
    <n v="30"/>
    <n v="2"/>
    <n v="1"/>
    <x v="4"/>
    <x v="5"/>
    <n v="131"/>
    <n v="3930"/>
  </r>
  <r>
    <x v="1234"/>
    <n v="60"/>
    <n v="30"/>
    <n v="60"/>
    <n v="4"/>
    <n v="4"/>
    <x v="2"/>
    <x v="3"/>
    <n v="144"/>
    <n v="8640"/>
  </r>
  <r>
    <x v="1235"/>
    <n v="40"/>
    <n v="30"/>
    <n v="40"/>
    <n v="4"/>
    <n v="4"/>
    <x v="6"/>
    <x v="1"/>
    <n v="140"/>
    <n v="5600"/>
  </r>
  <r>
    <x v="1236"/>
    <n v="10"/>
    <n v="30"/>
    <n v="10"/>
    <n v="1"/>
    <n v="1"/>
    <x v="6"/>
    <x v="5"/>
    <n v="99"/>
    <n v="990"/>
  </r>
  <r>
    <x v="1237"/>
    <n v="40"/>
    <n v="4"/>
    <n v="290"/>
    <n v="18"/>
    <n v="13"/>
    <x v="1"/>
    <x v="4"/>
    <n v="65"/>
    <n v="18850"/>
  </r>
  <r>
    <x v="1238"/>
    <n v="15"/>
    <n v="3"/>
    <n v="120"/>
    <n v="8"/>
    <n v="7"/>
    <x v="6"/>
    <x v="3"/>
    <n v="93"/>
    <n v="11160"/>
  </r>
  <r>
    <x v="1239"/>
    <n v="10"/>
    <n v="3"/>
    <n v="100"/>
    <n v="6"/>
    <n v="5"/>
    <x v="4"/>
    <x v="0"/>
    <n v="146"/>
    <n v="14600"/>
  </r>
  <r>
    <x v="1240"/>
    <n v="12"/>
    <n v="15"/>
    <n v="24"/>
    <n v="3"/>
    <n v="3"/>
    <x v="6"/>
    <x v="6"/>
    <n v="110"/>
    <n v="2640"/>
  </r>
  <r>
    <x v="1241"/>
    <n v="10"/>
    <n v="15"/>
    <n v="20"/>
    <n v="2"/>
    <n v="2"/>
    <x v="3"/>
    <x v="0"/>
    <n v="142"/>
    <n v="2840"/>
  </r>
  <r>
    <x v="1242"/>
    <n v="16"/>
    <n v="16"/>
    <n v="30"/>
    <n v="3"/>
    <n v="3"/>
    <x v="5"/>
    <x v="6"/>
    <n v="102"/>
    <n v="3060"/>
  </r>
  <r>
    <x v="1243"/>
    <n v="20"/>
    <n v="30"/>
    <n v="20"/>
    <n v="2"/>
    <n v="2"/>
    <x v="6"/>
    <x v="5"/>
    <n v="74"/>
    <n v="1480"/>
  </r>
  <r>
    <x v="1244"/>
    <n v="20"/>
    <n v="30"/>
    <n v="20"/>
    <n v="1"/>
    <n v="1"/>
    <x v="2"/>
    <x v="3"/>
    <n v="124"/>
    <n v="2480"/>
  </r>
  <r>
    <x v="1245"/>
    <n v="30"/>
    <n v="30"/>
    <n v="30"/>
    <n v="2"/>
    <n v="2"/>
    <x v="2"/>
    <x v="6"/>
    <n v="74"/>
    <n v="2220"/>
  </r>
  <r>
    <x v="1246"/>
    <n v="45"/>
    <n v="22"/>
    <n v="60"/>
    <n v="3"/>
    <n v="3"/>
    <x v="6"/>
    <x v="2"/>
    <n v="99"/>
    <n v="5940"/>
  </r>
  <r>
    <x v="1247"/>
    <n v="-10"/>
    <n v="0"/>
    <n v="20"/>
    <n v="2"/>
    <n v="2"/>
    <x v="2"/>
    <x v="6"/>
    <n v="139"/>
    <n v="2780"/>
  </r>
  <r>
    <x v="1248"/>
    <n v="15"/>
    <n v="7"/>
    <n v="60"/>
    <n v="3"/>
    <n v="3"/>
    <x v="4"/>
    <x v="4"/>
    <n v="68"/>
    <n v="4080"/>
  </r>
  <r>
    <x v="1249"/>
    <n v="50"/>
    <n v="25"/>
    <n v="60"/>
    <n v="5"/>
    <n v="5"/>
    <x v="2"/>
    <x v="5"/>
    <n v="90"/>
    <n v="5400"/>
  </r>
  <r>
    <x v="1250"/>
    <n v="30"/>
    <n v="22"/>
    <n v="40"/>
    <n v="3"/>
    <n v="3"/>
    <x v="5"/>
    <x v="4"/>
    <n v="74"/>
    <n v="2960"/>
  </r>
  <r>
    <x v="1251"/>
    <n v="20"/>
    <n v="10"/>
    <n v="60"/>
    <n v="2"/>
    <n v="2"/>
    <x v="6"/>
    <x v="5"/>
    <n v="104"/>
    <n v="6240"/>
  </r>
  <r>
    <x v="1252"/>
    <n v="10"/>
    <n v="15"/>
    <n v="20"/>
    <n v="1"/>
    <n v="1"/>
    <x v="2"/>
    <x v="1"/>
    <n v="63"/>
    <n v="1260"/>
  </r>
  <r>
    <x v="1253"/>
    <n v="30"/>
    <n v="22"/>
    <n v="40"/>
    <n v="2"/>
    <n v="2"/>
    <x v="4"/>
    <x v="0"/>
    <n v="92"/>
    <n v="3680"/>
  </r>
  <r>
    <x v="1254"/>
    <n v="20"/>
    <n v="30"/>
    <n v="20"/>
    <n v="2"/>
    <n v="2"/>
    <x v="5"/>
    <x v="0"/>
    <n v="93"/>
    <n v="1860"/>
  </r>
  <r>
    <x v="1255"/>
    <n v="20"/>
    <n v="30"/>
    <n v="20"/>
    <n v="1"/>
    <n v="1"/>
    <x v="6"/>
    <x v="2"/>
    <n v="122"/>
    <n v="2440"/>
  </r>
  <r>
    <x v="1256"/>
    <n v="41"/>
    <n v="21"/>
    <n v="56"/>
    <n v="2"/>
    <n v="2"/>
    <x v="6"/>
    <x v="1"/>
    <n v="94"/>
    <n v="5264"/>
  </r>
  <r>
    <x v="1257"/>
    <n v="10"/>
    <n v="3"/>
    <n v="90"/>
    <n v="7"/>
    <n v="7"/>
    <x v="4"/>
    <x v="2"/>
    <n v="150"/>
    <n v="13500"/>
  </r>
  <r>
    <x v="1258"/>
    <n v="0"/>
    <n v="0"/>
    <n v="15"/>
    <n v="1"/>
    <n v="1"/>
    <x v="6"/>
    <x v="3"/>
    <n v="142"/>
    <n v="2130"/>
  </r>
  <r>
    <x v="1259"/>
    <n v="60"/>
    <n v="10"/>
    <n v="165"/>
    <n v="7"/>
    <n v="7"/>
    <x v="3"/>
    <x v="5"/>
    <n v="132"/>
    <n v="21780"/>
  </r>
  <r>
    <x v="1260"/>
    <n v="30"/>
    <n v="30"/>
    <n v="30"/>
    <n v="2"/>
    <n v="2"/>
    <x v="6"/>
    <x v="6"/>
    <n v="123"/>
    <n v="3690"/>
  </r>
  <r>
    <x v="1261"/>
    <n v="70"/>
    <n v="19"/>
    <n v="110"/>
    <n v="5"/>
    <n v="5"/>
    <x v="2"/>
    <x v="0"/>
    <n v="148"/>
    <n v="16280"/>
  </r>
  <r>
    <x v="1262"/>
    <n v="30"/>
    <n v="30"/>
    <n v="30"/>
    <n v="2"/>
    <n v="2"/>
    <x v="1"/>
    <x v="4"/>
    <n v="94"/>
    <n v="2820"/>
  </r>
  <r>
    <x v="1263"/>
    <n v="30"/>
    <n v="18"/>
    <n v="50"/>
    <n v="2"/>
    <n v="2"/>
    <x v="2"/>
    <x v="0"/>
    <n v="89"/>
    <n v="4450"/>
  </r>
  <r>
    <x v="1264"/>
    <n v="30"/>
    <n v="30"/>
    <n v="30"/>
    <n v="1"/>
    <n v="1"/>
    <x v="2"/>
    <x v="3"/>
    <n v="85"/>
    <n v="2550"/>
  </r>
  <r>
    <x v="1265"/>
    <n v="90"/>
    <n v="30"/>
    <n v="90"/>
    <n v="3"/>
    <n v="3"/>
    <x v="2"/>
    <x v="2"/>
    <n v="80"/>
    <n v="7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CA25A0-A3F0-45A5-8063-DE4B2B18E91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4" firstHeaderRow="1" firstDataRow="1" firstDataCol="1"/>
  <pivotFields count="10">
    <pivotField axis="axisRow" showAll="0" measureFilter="1" sortType="descending">
      <items count="1268">
        <item x="496"/>
        <item x="261"/>
        <item x="339"/>
        <item x="122"/>
        <item x="1099"/>
        <item x="723"/>
        <item x="1256"/>
        <item x="1154"/>
        <item x="463"/>
        <item x="464"/>
        <item x="875"/>
        <item x="1038"/>
        <item x="591"/>
        <item x="683"/>
        <item x="1093"/>
        <item x="1140"/>
        <item x="1141"/>
        <item x="985"/>
        <item x="861"/>
        <item x="1100"/>
        <item x="1118"/>
        <item x="47"/>
        <item x="1164"/>
        <item x="1031"/>
        <item x="593"/>
        <item x="668"/>
        <item x="986"/>
        <item x="604"/>
        <item x="128"/>
        <item x="955"/>
        <item x="694"/>
        <item x="1242"/>
        <item x="381"/>
        <item x="1176"/>
        <item x="1177"/>
        <item x="806"/>
        <item x="183"/>
        <item x="119"/>
        <item x="607"/>
        <item x="670"/>
        <item x="767"/>
        <item x="233"/>
        <item x="232"/>
        <item x="234"/>
        <item x="69"/>
        <item x="615"/>
        <item x="70"/>
        <item x="375"/>
        <item x="1040"/>
        <item x="548"/>
        <item x="938"/>
        <item x="697"/>
        <item x="966"/>
        <item x="969"/>
        <item x="195"/>
        <item x="1178"/>
        <item x="903"/>
        <item x="1155"/>
        <item x="322"/>
        <item x="546"/>
        <item x="1017"/>
        <item x="1055"/>
        <item x="1210"/>
        <item x="939"/>
        <item x="149"/>
        <item x="465"/>
        <item x="1257"/>
        <item x="947"/>
        <item x="843"/>
        <item x="285"/>
        <item x="60"/>
        <item x="563"/>
        <item x="1006"/>
        <item x="912"/>
        <item x="724"/>
        <item x="246"/>
        <item x="623"/>
        <item x="695"/>
        <item x="1022"/>
        <item x="86"/>
        <item x="685"/>
        <item x="926"/>
        <item x="1021"/>
        <item x="12"/>
        <item x="530"/>
        <item x="547"/>
        <item x="1024"/>
        <item x="223"/>
        <item x="1172"/>
        <item x="686"/>
        <item x="160"/>
        <item x="927"/>
        <item x="1166"/>
        <item x="1165"/>
        <item x="752"/>
        <item x="901"/>
        <item x="155"/>
        <item x="918"/>
        <item x="768"/>
        <item x="827"/>
        <item x="552"/>
        <item x="210"/>
        <item x="765"/>
        <item x="716"/>
        <item x="287"/>
        <item x="1101"/>
        <item x="662"/>
        <item x="104"/>
        <item x="1205"/>
        <item x="140"/>
        <item x="1246"/>
        <item x="495"/>
        <item x="117"/>
        <item x="769"/>
        <item x="450"/>
        <item x="1196"/>
        <item x="225"/>
        <item x="141"/>
        <item x="594"/>
        <item x="928"/>
        <item x="600"/>
        <item x="916"/>
        <item x="828"/>
        <item x="553"/>
        <item x="518"/>
        <item x="506"/>
        <item x="647"/>
        <item x="948"/>
        <item x="1258"/>
        <item x="153"/>
        <item x="92"/>
        <item x="52"/>
        <item x="295"/>
        <item x="672"/>
        <item x="168"/>
        <item x="1041"/>
        <item x="1042"/>
        <item x="534"/>
        <item x="829"/>
        <item x="1211"/>
        <item x="727"/>
        <item x="588"/>
        <item x="750"/>
        <item x="36"/>
        <item x="503"/>
        <item x="711"/>
        <item x="169"/>
        <item x="95"/>
        <item x="642"/>
        <item x="820"/>
        <item x="100"/>
        <item x="643"/>
        <item x="549"/>
        <item x="1043"/>
        <item x="309"/>
        <item x="517"/>
        <item x="635"/>
        <item x="96"/>
        <item x="29"/>
        <item x="876"/>
        <item x="877"/>
        <item x="520"/>
        <item x="1135"/>
        <item x="475"/>
        <item x="108"/>
        <item x="846"/>
        <item x="845"/>
        <item x="1125"/>
        <item x="987"/>
        <item x="616"/>
        <item x="1142"/>
        <item x="754"/>
        <item x="687"/>
        <item x="466"/>
        <item x="467"/>
        <item x="688"/>
        <item x="1094"/>
        <item x="1102"/>
        <item x="573"/>
        <item x="383"/>
        <item x="536"/>
        <item x="468"/>
        <item x="689"/>
        <item x="929"/>
        <item x="1153"/>
        <item x="461"/>
        <item x="953"/>
        <item x="603"/>
        <item x="679"/>
        <item x="235"/>
        <item x="984"/>
        <item x="707"/>
        <item x="497"/>
        <item x="402"/>
        <item x="59"/>
        <item x="486"/>
        <item x="323"/>
        <item x="414"/>
        <item x="236"/>
        <item x="1103"/>
        <item x="855"/>
        <item x="764"/>
        <item x="700"/>
        <item x="892"/>
        <item x="988"/>
        <item x="729"/>
        <item x="778"/>
        <item x="564"/>
        <item x="274"/>
        <item x="198"/>
        <item x="199"/>
        <item x="324"/>
        <item x="847"/>
        <item x="483"/>
        <item x="245"/>
        <item x="629"/>
        <item x="443"/>
        <item x="424"/>
        <item x="770"/>
        <item x="1104"/>
        <item x="1247"/>
        <item x="559"/>
        <item x="854"/>
        <item x="451"/>
        <item x="156"/>
        <item x="441"/>
        <item x="244"/>
        <item x="944"/>
        <item x="41"/>
        <item x="718"/>
        <item x="708"/>
        <item x="501"/>
        <item x="167"/>
        <item x="759"/>
        <item x="528"/>
        <item x="186"/>
        <item x="16"/>
        <item x="578"/>
        <item x="341"/>
        <item x="62"/>
        <item x="144"/>
        <item x="971"/>
        <item x="970"/>
        <item x="771"/>
        <item x="830"/>
        <item x="1056"/>
        <item x="34"/>
        <item x="906"/>
        <item x="1143"/>
        <item x="398"/>
        <item x="1144"/>
        <item x="446"/>
        <item x="389"/>
        <item x="390"/>
        <item x="382"/>
        <item x="133"/>
        <item x="360"/>
        <item x="869"/>
        <item x="1209"/>
        <item x="878"/>
        <item x="118"/>
        <item x="420"/>
        <item x="565"/>
        <item x="266"/>
        <item x="247"/>
        <item x="109"/>
        <item x="376"/>
        <item x="462"/>
        <item x="853"/>
        <item x="949"/>
        <item x="722"/>
        <item x="445"/>
        <item x="61"/>
        <item x="71"/>
        <item x="617"/>
        <item x="237"/>
        <item x="831"/>
        <item x="14"/>
        <item x="609"/>
        <item x="39"/>
        <item x="479"/>
        <item x="476"/>
        <item x="779"/>
        <item x="705"/>
        <item x="989"/>
        <item x="537"/>
        <item x="1090"/>
        <item x="25"/>
        <item x="512"/>
        <item x="730"/>
        <item x="1005"/>
        <item x="250"/>
        <item x="1077"/>
        <item x="123"/>
        <item x="432"/>
        <item x="780"/>
        <item x="731"/>
        <item x="781"/>
        <item x="859"/>
        <item x="745"/>
        <item x="1095"/>
        <item x="353"/>
        <item x="900"/>
        <item x="1158"/>
        <item x="477"/>
        <item x="862"/>
        <item x="37"/>
        <item x="1167"/>
        <item x="579"/>
        <item x="1173"/>
        <item x="848"/>
        <item x="569"/>
        <item x="554"/>
        <item x="1265"/>
        <item x="469"/>
        <item x="158"/>
        <item x="856"/>
        <item x="352"/>
        <item x="732"/>
        <item x="945"/>
        <item x="821"/>
        <item x="1008"/>
        <item x="1197"/>
        <item x="1002"/>
        <item x="538"/>
        <item x="238"/>
        <item x="286"/>
        <item x="555"/>
        <item x="296"/>
        <item x="925"/>
        <item x="914"/>
        <item x="325"/>
        <item x="1105"/>
        <item x="863"/>
        <item x="872"/>
        <item x="871"/>
        <item x="1174"/>
        <item x="972"/>
        <item x="1106"/>
        <item x="48"/>
        <item x="751"/>
        <item x="1220"/>
        <item x="457"/>
        <item x="1128"/>
        <item x="782"/>
        <item x="990"/>
        <item x="458"/>
        <item x="9"/>
        <item x="196"/>
        <item x="1225"/>
        <item x="21"/>
        <item x="783"/>
        <item x="864"/>
        <item x="263"/>
        <item x="816"/>
        <item x="268"/>
        <item x="1198"/>
        <item x="666"/>
        <item x="187"/>
        <item x="63"/>
        <item x="1028"/>
        <item x="143"/>
        <item x="1096"/>
        <item x="804"/>
        <item x="519"/>
        <item x="701"/>
        <item x="1229"/>
        <item x="181"/>
        <item x="170"/>
        <item x="560"/>
        <item x="499"/>
        <item x="87"/>
        <item x="784"/>
        <item x="785"/>
        <item x="733"/>
        <item x="550"/>
        <item x="310"/>
        <item x="178"/>
        <item x="179"/>
        <item x="504"/>
        <item x="259"/>
        <item x="416"/>
        <item x="1223"/>
        <item x="624"/>
        <item x="270"/>
        <item x="1014"/>
        <item x="625"/>
        <item x="1015"/>
        <item x="271"/>
        <item x="786"/>
        <item x="391"/>
        <item x="399"/>
        <item x="72"/>
        <item x="667"/>
        <item x="626"/>
        <item x="807"/>
        <item x="1020"/>
        <item x="401"/>
        <item x="879"/>
        <item x="896"/>
        <item x="139"/>
        <item x="136"/>
        <item x="957"/>
        <item x="787"/>
        <item x="214"/>
        <item x="1069"/>
        <item x="1230"/>
        <item x="470"/>
        <item x="433"/>
        <item x="151"/>
        <item x="1057"/>
        <item x="1058"/>
        <item x="595"/>
        <item x="10"/>
        <item x="772"/>
        <item x="531"/>
        <item x="532"/>
        <item x="832"/>
        <item x="648"/>
        <item x="1001"/>
        <item x="991"/>
        <item x="747"/>
        <item x="1195"/>
        <item x="1199"/>
        <item x="11"/>
        <item x="171"/>
        <item x="1259"/>
        <item x="1032"/>
        <item x="373"/>
        <item x="822"/>
        <item x="1044"/>
        <item x="297"/>
        <item x="311"/>
        <item x="1025"/>
        <item x="1045"/>
        <item x="1157"/>
        <item x="275"/>
        <item x="794"/>
        <item x="1119"/>
        <item x="1033"/>
        <item x="613"/>
        <item x="657"/>
        <item x="1019"/>
        <item x="611"/>
        <item x="180"/>
        <item x="1085"/>
        <item x="434"/>
        <item x="857"/>
        <item x="152"/>
        <item x="211"/>
        <item x="833"/>
        <item x="834"/>
        <item x="17"/>
        <item x="930"/>
        <item x="931"/>
        <item x="690"/>
        <item x="1231"/>
        <item x="471"/>
        <item x="288"/>
        <item x="312"/>
        <item x="1248"/>
        <item x="188"/>
        <item x="1145"/>
        <item x="514"/>
        <item x="946"/>
        <item x="577"/>
        <item x="164"/>
        <item x="243"/>
        <item x="1206"/>
        <item x="67"/>
        <item x="812"/>
        <item x="85"/>
        <item x="1121"/>
        <item x="368"/>
        <item x="73"/>
        <item x="330"/>
        <item x="761"/>
        <item x="634"/>
        <item x="269"/>
        <item x="1003"/>
        <item x="1107"/>
        <item x="4"/>
        <item x="720"/>
        <item x="88"/>
        <item x="89"/>
        <item x="736"/>
        <item x="605"/>
        <item x="698"/>
        <item x="452"/>
        <item x="748"/>
        <item x="362"/>
        <item x="415"/>
        <item x="802"/>
        <item x="1097"/>
        <item x="649"/>
        <item x="644"/>
        <item x="1179"/>
        <item x="673"/>
        <item x="1180"/>
        <item x="992"/>
        <item x="145"/>
        <item x="1036"/>
        <item x="93"/>
        <item x="282"/>
        <item x="255"/>
        <item x="267"/>
        <item x="1013"/>
        <item x="251"/>
        <item x="717"/>
        <item x="680"/>
        <item x="921"/>
        <item x="589"/>
        <item x="907"/>
        <item x="582"/>
        <item x="618"/>
        <item x="453"/>
        <item x="157"/>
        <item x="919"/>
        <item x="1212"/>
        <item x="105"/>
        <item x="566"/>
        <item x="293"/>
        <item x="384"/>
        <item x="82"/>
        <item x="239"/>
        <item x="523"/>
        <item x="993"/>
        <item x="356"/>
        <item x="1240"/>
        <item x="74"/>
        <item x="1009"/>
        <item x="619"/>
        <item x="240"/>
        <item x="691"/>
        <item x="1026"/>
        <item x="630"/>
        <item x="1232"/>
        <item x="1081"/>
        <item x="120"/>
        <item x="351"/>
        <item x="137"/>
        <item x="1181"/>
        <item x="610"/>
        <item x="298"/>
        <item x="1249"/>
        <item x="1250"/>
        <item x="599"/>
        <item x="922"/>
        <item x="454"/>
        <item x="681"/>
        <item x="620"/>
        <item x="586"/>
        <item x="291"/>
        <item x="1010"/>
        <item x="84"/>
        <item x="975"/>
        <item x="976"/>
        <item x="49"/>
        <item x="292"/>
        <item x="294"/>
        <item x="101"/>
        <item x="299"/>
        <item x="968"/>
        <item x="197"/>
        <item x="201"/>
        <item x="202"/>
        <item x="204"/>
        <item x="205"/>
        <item x="206"/>
        <item x="56"/>
        <item x="57"/>
        <item x="203"/>
        <item x="207"/>
        <item x="260"/>
        <item x="1037"/>
        <item x="15"/>
        <item x="98"/>
        <item x="23"/>
        <item x="739"/>
        <item x="200"/>
        <item x="116"/>
        <item x="115"/>
        <item x="1046"/>
        <item x="300"/>
        <item x="377"/>
        <item x="1059"/>
        <item x="650"/>
        <item x="106"/>
        <item x="651"/>
        <item x="1060"/>
        <item x="1061"/>
        <item x="652"/>
        <item x="313"/>
        <item x="556"/>
        <item x="1062"/>
        <item x="959"/>
        <item x="788"/>
        <item x="1082"/>
        <item x="241"/>
        <item x="125"/>
        <item x="865"/>
        <item x="357"/>
        <item x="1016"/>
        <item x="1047"/>
        <item x="982"/>
        <item x="55"/>
        <item x="1108"/>
        <item x="1004"/>
        <item x="79"/>
        <item x="1159"/>
        <item x="1136"/>
        <item x="102"/>
        <item x="301"/>
        <item x="114"/>
        <item x="776"/>
        <item x="535"/>
        <item x="215"/>
        <item x="511"/>
        <item x="346"/>
        <item x="712"/>
        <item x="844"/>
        <item x="161"/>
        <item x="585"/>
        <item x="42"/>
        <item x="172"/>
        <item x="835"/>
        <item x="743"/>
        <item x="1109"/>
        <item x="674"/>
        <item x="994"/>
        <item x="860"/>
        <item x="326"/>
        <item x="1224"/>
        <item x="1260"/>
        <item x="773"/>
        <item x="418"/>
        <item x="0"/>
        <item x="810"/>
        <item x="737"/>
        <item x="500"/>
        <item x="715"/>
        <item x="5"/>
        <item x="90"/>
        <item x="277"/>
        <item x="2"/>
        <item x="543"/>
        <item x="789"/>
        <item x="513"/>
        <item x="314"/>
        <item x="148"/>
        <item x="654"/>
        <item x="1130"/>
        <item x="280"/>
        <item x="333"/>
        <item x="1083"/>
        <item x="256"/>
        <item x="257"/>
        <item x="1226"/>
        <item x="612"/>
        <item x="290"/>
        <item x="340"/>
        <item x="364"/>
        <item x="1161"/>
        <item x="539"/>
        <item x="1117"/>
        <item x="289"/>
        <item x="808"/>
        <item x="851"/>
        <item x="1182"/>
        <item x="561"/>
        <item x="1261"/>
        <item x="1126"/>
        <item x="435"/>
        <item x="1048"/>
        <item x="1049"/>
        <item x="361"/>
        <item x="675"/>
        <item x="1089"/>
        <item x="342"/>
        <item x="174"/>
        <item x="343"/>
        <item x="349"/>
        <item x="347"/>
        <item x="350"/>
        <item x="344"/>
        <item x="345"/>
        <item x="348"/>
        <item x="1092"/>
        <item x="811"/>
        <item x="425"/>
        <item x="726"/>
        <item x="766"/>
        <item x="498"/>
        <item x="331"/>
        <item x="253"/>
        <item x="252"/>
        <item x="258"/>
        <item x="505"/>
        <item x="75"/>
        <item x="242"/>
        <item x="981"/>
        <item x="1"/>
        <item x="7"/>
        <item x="397"/>
        <item x="154"/>
        <item x="447"/>
        <item x="1091"/>
        <item x="1227"/>
        <item x="1255"/>
        <item x="702"/>
        <item x="1262"/>
        <item x="954"/>
        <item x="760"/>
        <item x="358"/>
        <item x="487"/>
        <item x="185"/>
        <item x="492"/>
        <item x="321"/>
        <item x="406"/>
        <item x="129"/>
        <item x="30"/>
        <item x="889"/>
        <item x="902"/>
        <item x="426"/>
        <item x="427"/>
        <item x="378"/>
        <item x="428"/>
        <item x="1115"/>
        <item x="370"/>
        <item x="216"/>
        <item x="409"/>
        <item x="217"/>
        <item x="218"/>
        <item x="219"/>
        <item x="1122"/>
        <item x="64"/>
        <item x="130"/>
        <item x="65"/>
        <item x="66"/>
        <item x="1123"/>
        <item x="220"/>
        <item x="977"/>
        <item x="1110"/>
        <item x="371"/>
        <item x="372"/>
        <item x="379"/>
        <item x="1129"/>
        <item x="127"/>
        <item x="1011"/>
        <item x="823"/>
        <item x="50"/>
        <item x="1127"/>
        <item x="1228"/>
        <item x="338"/>
        <item x="746"/>
        <item x="904"/>
        <item x="1213"/>
        <item x="228"/>
        <item x="227"/>
        <item x="385"/>
        <item x="302"/>
        <item x="209"/>
        <item x="35"/>
        <item x="1131"/>
        <item x="28"/>
        <item x="960"/>
        <item x="562"/>
        <item x="189"/>
        <item x="510"/>
        <item x="191"/>
        <item x="192"/>
        <item x="962"/>
        <item x="53"/>
        <item x="961"/>
        <item x="190"/>
        <item x="608"/>
        <item x="94"/>
        <item x="576"/>
        <item x="403"/>
        <item x="472"/>
        <item x="488"/>
        <item x="628"/>
        <item x="493"/>
        <item x="1171"/>
        <item x="692"/>
        <item x="419"/>
        <item x="1072"/>
        <item x="740"/>
        <item x="327"/>
        <item x="1070"/>
        <item x="849"/>
        <item x="1071"/>
        <item x="460"/>
        <item x="142"/>
        <item x="33"/>
        <item x="805"/>
        <item x="696"/>
        <item x="756"/>
        <item x="38"/>
        <item x="1241"/>
        <item x="163"/>
        <item x="757"/>
        <item x="580"/>
        <item x="6"/>
        <item x="894"/>
        <item x="135"/>
        <item x="524"/>
        <item x="482"/>
        <item x="1050"/>
        <item x="1073"/>
        <item x="818"/>
        <item x="1034"/>
        <item x="653"/>
        <item x="97"/>
        <item x="836"/>
        <item x="837"/>
        <item x="734"/>
        <item x="540"/>
        <item x="932"/>
        <item x="803"/>
        <item x="703"/>
        <item x="1111"/>
        <item x="923"/>
        <item x="1214"/>
        <item x="590"/>
        <item x="455"/>
        <item x="1183"/>
        <item x="850"/>
        <item x="284"/>
        <item x="1150"/>
        <item x="1184"/>
        <item x="908"/>
        <item x="436"/>
        <item x="529"/>
        <item x="1098"/>
        <item x="354"/>
        <item x="315"/>
        <item x="437"/>
        <item x="676"/>
        <item x="1137"/>
        <item x="489"/>
        <item x="1163"/>
        <item x="1084"/>
        <item x="336"/>
        <item x="438"/>
        <item x="557"/>
        <item x="76"/>
        <item x="221"/>
        <item x="222"/>
        <item x="18"/>
        <item x="636"/>
        <item x="442"/>
        <item x="526"/>
        <item x="738"/>
        <item x="334"/>
        <item x="332"/>
        <item x="212"/>
        <item x="774"/>
        <item x="1146"/>
        <item x="248"/>
        <item x="355"/>
        <item x="995"/>
        <item x="790"/>
        <item x="1063"/>
        <item x="801"/>
        <item x="1112"/>
        <item x="134"/>
        <item x="404"/>
        <item x="359"/>
        <item x="1113"/>
        <item x="762"/>
        <item x="138"/>
        <item x="1064"/>
        <item x="601"/>
        <item x="1065"/>
        <item x="1066"/>
        <item x="973"/>
        <item x="81"/>
        <item x="173"/>
        <item x="950"/>
        <item x="166"/>
        <item x="890"/>
        <item x="417"/>
        <item x="44"/>
        <item x="1018"/>
        <item x="473"/>
        <item x="1233"/>
        <item x="899"/>
        <item x="1067"/>
        <item x="658"/>
        <item x="866"/>
        <item x="392"/>
        <item x="886"/>
        <item x="208"/>
        <item x="744"/>
        <item x="45"/>
        <item x="177"/>
        <item x="54"/>
        <item x="193"/>
        <item x="911"/>
        <item x="1185"/>
        <item x="909"/>
        <item x="910"/>
        <item x="775"/>
        <item x="749"/>
        <item x="509"/>
        <item x="77"/>
        <item x="1120"/>
        <item x="791"/>
        <item x="1132"/>
        <item x="699"/>
        <item x="583"/>
        <item x="606"/>
        <item x="958"/>
        <item x="638"/>
        <item x="1079"/>
        <item x="792"/>
        <item x="669"/>
        <item x="182"/>
        <item x="194"/>
        <item x="386"/>
        <item x="1027"/>
        <item x="159"/>
        <item x="281"/>
        <item x="967"/>
        <item x="631"/>
        <item x="1012"/>
        <item x="645"/>
        <item x="632"/>
        <item x="627"/>
        <item x="659"/>
        <item x="365"/>
        <item x="366"/>
        <item x="367"/>
        <item x="363"/>
        <item x="40"/>
        <item x="533"/>
        <item x="1039"/>
        <item x="639"/>
        <item x="507"/>
        <item x="110"/>
        <item x="265"/>
        <item x="951"/>
        <item x="1029"/>
        <item x="32"/>
        <item x="893"/>
        <item x="444"/>
        <item x="709"/>
        <item x="273"/>
        <item x="721"/>
        <item x="3"/>
        <item x="719"/>
        <item x="374"/>
        <item x="1007"/>
        <item x="684"/>
        <item x="83"/>
        <item x="429"/>
        <item x="254"/>
        <item x="964"/>
        <item x="380"/>
        <item x="1151"/>
        <item x="175"/>
        <item x="867"/>
        <item x="974"/>
        <item x="935"/>
        <item x="262"/>
        <item x="316"/>
        <item x="1086"/>
        <item x="272"/>
        <item x="1088"/>
        <item x="456"/>
        <item x="1215"/>
        <item x="826"/>
        <item x="621"/>
        <item x="1116"/>
        <item x="753"/>
        <item x="596"/>
        <item x="1234"/>
        <item x="933"/>
        <item x="838"/>
        <item x="873"/>
        <item x="858"/>
        <item x="874"/>
        <item x="633"/>
        <item x="795"/>
        <item x="421"/>
        <item x="146"/>
        <item x="422"/>
        <item x="423"/>
        <item x="147"/>
        <item x="1051"/>
        <item x="963"/>
        <item x="978"/>
        <item x="614"/>
        <item x="777"/>
        <item x="891"/>
        <item x="393"/>
        <item x="1149"/>
        <item x="394"/>
        <item x="162"/>
        <item x="1235"/>
        <item x="1243"/>
        <item x="597"/>
        <item x="895"/>
        <item x="229"/>
        <item x="527"/>
        <item x="230"/>
        <item x="430"/>
        <item x="431"/>
        <item x="1156"/>
        <item x="1194"/>
        <item x="1208"/>
        <item x="150"/>
        <item x="905"/>
        <item x="1175"/>
        <item x="515"/>
        <item x="979"/>
        <item x="817"/>
        <item x="1124"/>
        <item x="570"/>
        <item x="551"/>
        <item x="490"/>
        <item x="410"/>
        <item x="184"/>
        <item x="1030"/>
        <item x="459"/>
        <item x="682"/>
        <item x="725"/>
        <item x="887"/>
        <item x="640"/>
        <item x="413"/>
        <item x="1200"/>
        <item x="328"/>
        <item x="1078"/>
        <item x="176"/>
        <item x="852"/>
        <item x="660"/>
        <item x="131"/>
        <item x="661"/>
        <item x="1236"/>
        <item x="1237"/>
        <item x="1186"/>
        <item x="1187"/>
        <item x="1188"/>
        <item x="439"/>
        <item x="706"/>
        <item x="941"/>
        <item x="121"/>
        <item x="27"/>
        <item x="494"/>
        <item x="1080"/>
        <item x="996"/>
        <item x="544"/>
        <item x="870"/>
        <item x="1168"/>
        <item x="671"/>
        <item x="693"/>
        <item x="31"/>
        <item x="276"/>
        <item x="936"/>
        <item x="758"/>
        <item x="937"/>
        <item x="1087"/>
        <item x="714"/>
        <item x="22"/>
        <item x="516"/>
        <item x="8"/>
        <item x="278"/>
        <item x="91"/>
        <item x="279"/>
        <item x="915"/>
        <item x="755"/>
        <item x="575"/>
        <item x="317"/>
        <item x="337"/>
        <item x="641"/>
        <item x="1207"/>
        <item x="329"/>
        <item x="983"/>
        <item x="78"/>
        <item x="1160"/>
        <item x="796"/>
        <item x="797"/>
        <item x="798"/>
        <item x="1114"/>
        <item x="126"/>
        <item x="880"/>
        <item x="1138"/>
        <item x="824"/>
        <item x="881"/>
        <item x="1139"/>
        <item x="574"/>
        <item x="882"/>
        <item x="387"/>
        <item x="1147"/>
        <item x="1148"/>
        <item x="568"/>
        <item x="602"/>
        <item x="814"/>
        <item x="815"/>
        <item x="572"/>
        <item x="491"/>
        <item x="541"/>
        <item x="839"/>
        <item x="840"/>
        <item x="318"/>
        <item x="584"/>
        <item x="111"/>
        <item x="655"/>
        <item x="1074"/>
        <item x="956"/>
        <item x="264"/>
        <item x="567"/>
        <item x="942"/>
        <item x="542"/>
        <item x="917"/>
        <item x="997"/>
        <item x="480"/>
        <item x="1133"/>
        <item x="980"/>
        <item x="913"/>
        <item x="369"/>
        <item x="883"/>
        <item x="598"/>
        <item x="825"/>
        <item x="1052"/>
        <item x="107"/>
        <item x="24"/>
        <item x="587"/>
        <item x="400"/>
        <item x="841"/>
        <item x="13"/>
        <item x="793"/>
        <item x="319"/>
        <item x="622"/>
        <item x="1244"/>
        <item x="1216"/>
        <item x="46"/>
        <item x="448"/>
        <item x="952"/>
        <item x="395"/>
        <item x="51"/>
        <item x="998"/>
        <item x="742"/>
        <item x="99"/>
        <item x="26"/>
        <item x="231"/>
        <item x="1169"/>
        <item x="735"/>
        <item x="1152"/>
        <item x="396"/>
        <item x="303"/>
        <item x="1134"/>
        <item x="868"/>
        <item x="19"/>
        <item x="411"/>
        <item x="412"/>
        <item x="478"/>
        <item x="1075"/>
        <item x="656"/>
        <item x="763"/>
        <item x="888"/>
        <item x="508"/>
        <item x="677"/>
        <item x="1189"/>
        <item x="897"/>
        <item x="1170"/>
        <item x="1201"/>
        <item x="522"/>
        <item x="1202"/>
        <item x="1217"/>
        <item x="224"/>
        <item x="1190"/>
        <item x="1053"/>
        <item x="304"/>
        <item x="305"/>
        <item x="646"/>
        <item x="1162"/>
        <item x="898"/>
        <item x="405"/>
        <item x="581"/>
        <item x="884"/>
        <item x="663"/>
        <item x="664"/>
        <item x="665"/>
        <item x="704"/>
        <item x="485"/>
        <item x="521"/>
        <item x="408"/>
        <item x="1218"/>
        <item x="306"/>
        <item x="999"/>
        <item x="1076"/>
        <item x="710"/>
        <item x="502"/>
        <item x="713"/>
        <item x="213"/>
        <item x="1251"/>
        <item x="1252"/>
        <item x="1253"/>
        <item x="1068"/>
        <item x="965"/>
        <item x="407"/>
        <item x="1263"/>
        <item x="545"/>
        <item x="124"/>
        <item x="943"/>
        <item x="320"/>
        <item x="728"/>
        <item x="924"/>
        <item x="525"/>
        <item x="1221"/>
        <item x="920"/>
        <item x="1192"/>
        <item x="1191"/>
        <item x="813"/>
        <item x="678"/>
        <item x="1203"/>
        <item x="226"/>
        <item x="1219"/>
        <item x="1222"/>
        <item x="592"/>
        <item x="449"/>
        <item x="800"/>
        <item x="809"/>
        <item x="1000"/>
        <item x="80"/>
        <item x="799"/>
        <item x="388"/>
        <item x="885"/>
        <item x="474"/>
        <item x="1245"/>
        <item x="307"/>
        <item x="308"/>
        <item x="741"/>
        <item x="112"/>
        <item x="113"/>
        <item x="1254"/>
        <item x="484"/>
        <item x="842"/>
        <item x="1193"/>
        <item x="132"/>
        <item x="440"/>
        <item x="20"/>
        <item x="940"/>
        <item x="165"/>
        <item x="571"/>
        <item x="1023"/>
        <item x="481"/>
        <item x="1266"/>
        <item x="558"/>
        <item x="1054"/>
        <item x="103"/>
        <item x="43"/>
        <item x="1204"/>
        <item x="637"/>
        <item x="1035"/>
        <item x="68"/>
        <item x="249"/>
        <item x="1264"/>
        <item x="335"/>
        <item x="819"/>
        <item x="58"/>
        <item x="1238"/>
        <item x="934"/>
        <item x="1239"/>
        <item x="283"/>
        <item t="default"/>
      </items>
    </pivotField>
    <pivotField showAll="0"/>
    <pivotField showAll="0"/>
    <pivotField showAll="0"/>
    <pivotField showAll="0"/>
    <pivotField dataField="1" showAll="0"/>
    <pivotField showAll="0"/>
    <pivotField showAll="0"/>
    <pivotField showAll="0"/>
    <pivotField showAll="0"/>
  </pivotFields>
  <rowFields count="1">
    <field x="0"/>
  </rowFields>
  <rowItems count="11">
    <i>
      <x v="111"/>
    </i>
    <i>
      <x v="124"/>
    </i>
    <i>
      <x v="125"/>
    </i>
    <i>
      <x v="127"/>
    </i>
    <i>
      <x v="144"/>
    </i>
    <i>
      <x v="145"/>
    </i>
    <i>
      <x v="370"/>
    </i>
    <i>
      <x v="508"/>
    </i>
    <i>
      <x v="617"/>
    </i>
    <i>
      <x v="898"/>
    </i>
    <i t="grand">
      <x/>
    </i>
  </rowItems>
  <colItems count="1">
    <i/>
  </colItems>
  <dataFields count="1">
    <dataField name="Sum of Sale"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6F1A8C-B3C7-4758-A175-A9D637365322}"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3:B14" firstHeaderRow="1" firstDataRow="1" firstDataCol="1"/>
  <pivotFields count="10">
    <pivotField axis="axisRow" showAll="0" measureFilter="1" sortType="descending">
      <items count="1267">
        <item x="495"/>
        <item x="261"/>
        <item x="339"/>
        <item x="122"/>
        <item x="1098"/>
        <item x="722"/>
        <item x="1255"/>
        <item x="1153"/>
        <item x="463"/>
        <item x="464"/>
        <item x="874"/>
        <item x="1037"/>
        <item x="590"/>
        <item x="682"/>
        <item x="1092"/>
        <item x="1139"/>
        <item x="1140"/>
        <item x="984"/>
        <item x="860"/>
        <item x="1099"/>
        <item x="1117"/>
        <item x="47"/>
        <item x="1163"/>
        <item x="1030"/>
        <item x="592"/>
        <item x="667"/>
        <item x="985"/>
        <item x="603"/>
        <item x="128"/>
        <item x="954"/>
        <item x="693"/>
        <item x="1241"/>
        <item x="381"/>
        <item x="1175"/>
        <item x="1176"/>
        <item x="805"/>
        <item x="183"/>
        <item x="119"/>
        <item x="606"/>
        <item x="669"/>
        <item x="766"/>
        <item x="233"/>
        <item x="232"/>
        <item x="234"/>
        <item x="69"/>
        <item x="614"/>
        <item x="70"/>
        <item x="375"/>
        <item x="1039"/>
        <item x="547"/>
        <item x="937"/>
        <item x="696"/>
        <item x="965"/>
        <item x="968"/>
        <item x="195"/>
        <item x="1177"/>
        <item x="902"/>
        <item x="1154"/>
        <item x="322"/>
        <item x="545"/>
        <item x="1016"/>
        <item x="1054"/>
        <item x="1209"/>
        <item x="938"/>
        <item x="149"/>
        <item x="465"/>
        <item x="1256"/>
        <item x="946"/>
        <item x="842"/>
        <item x="285"/>
        <item x="60"/>
        <item x="562"/>
        <item x="1005"/>
        <item x="911"/>
        <item x="723"/>
        <item x="246"/>
        <item x="622"/>
        <item x="694"/>
        <item x="1021"/>
        <item x="86"/>
        <item x="684"/>
        <item x="925"/>
        <item x="1020"/>
        <item x="12"/>
        <item x="529"/>
        <item x="546"/>
        <item x="1023"/>
        <item x="223"/>
        <item x="1171"/>
        <item x="685"/>
        <item x="160"/>
        <item x="926"/>
        <item x="1165"/>
        <item x="1164"/>
        <item x="751"/>
        <item x="900"/>
        <item x="155"/>
        <item x="917"/>
        <item x="767"/>
        <item x="826"/>
        <item x="551"/>
        <item x="210"/>
        <item x="764"/>
        <item x="715"/>
        <item x="287"/>
        <item x="1100"/>
        <item x="661"/>
        <item x="104"/>
        <item x="1204"/>
        <item x="140"/>
        <item x="1245"/>
        <item x="117"/>
        <item x="768"/>
        <item x="450"/>
        <item x="1195"/>
        <item x="225"/>
        <item x="141"/>
        <item x="593"/>
        <item x="927"/>
        <item x="599"/>
        <item x="915"/>
        <item x="827"/>
        <item x="552"/>
        <item x="517"/>
        <item x="505"/>
        <item x="646"/>
        <item x="947"/>
        <item x="1257"/>
        <item x="153"/>
        <item x="92"/>
        <item x="52"/>
        <item x="295"/>
        <item x="671"/>
        <item x="168"/>
        <item x="1040"/>
        <item x="1041"/>
        <item x="533"/>
        <item x="828"/>
        <item x="1210"/>
        <item x="726"/>
        <item x="587"/>
        <item x="749"/>
        <item x="36"/>
        <item x="502"/>
        <item x="710"/>
        <item x="169"/>
        <item x="95"/>
        <item x="641"/>
        <item x="819"/>
        <item x="100"/>
        <item x="642"/>
        <item x="548"/>
        <item x="1042"/>
        <item x="309"/>
        <item x="516"/>
        <item x="634"/>
        <item x="96"/>
        <item x="29"/>
        <item x="875"/>
        <item x="876"/>
        <item x="519"/>
        <item x="1134"/>
        <item x="475"/>
        <item x="108"/>
        <item x="845"/>
        <item x="844"/>
        <item x="1124"/>
        <item x="986"/>
        <item x="615"/>
        <item x="1141"/>
        <item x="753"/>
        <item x="686"/>
        <item x="466"/>
        <item x="467"/>
        <item x="687"/>
        <item x="1093"/>
        <item x="1101"/>
        <item x="572"/>
        <item x="383"/>
        <item x="535"/>
        <item x="468"/>
        <item x="688"/>
        <item x="928"/>
        <item x="1152"/>
        <item x="461"/>
        <item x="952"/>
        <item x="602"/>
        <item x="678"/>
        <item x="235"/>
        <item x="983"/>
        <item x="706"/>
        <item x="496"/>
        <item x="402"/>
        <item x="59"/>
        <item x="486"/>
        <item x="323"/>
        <item x="414"/>
        <item x="236"/>
        <item x="1102"/>
        <item x="854"/>
        <item x="763"/>
        <item x="699"/>
        <item x="891"/>
        <item x="987"/>
        <item x="728"/>
        <item x="777"/>
        <item x="563"/>
        <item x="274"/>
        <item x="198"/>
        <item x="199"/>
        <item x="324"/>
        <item x="846"/>
        <item x="483"/>
        <item x="245"/>
        <item x="628"/>
        <item x="443"/>
        <item x="424"/>
        <item x="769"/>
        <item x="1103"/>
        <item x="1246"/>
        <item x="558"/>
        <item x="853"/>
        <item x="451"/>
        <item x="156"/>
        <item x="441"/>
        <item x="244"/>
        <item x="943"/>
        <item x="41"/>
        <item x="717"/>
        <item x="707"/>
        <item x="500"/>
        <item x="167"/>
        <item x="758"/>
        <item x="527"/>
        <item x="186"/>
        <item x="16"/>
        <item x="577"/>
        <item x="341"/>
        <item x="62"/>
        <item x="144"/>
        <item x="970"/>
        <item x="969"/>
        <item x="770"/>
        <item x="829"/>
        <item x="1055"/>
        <item x="34"/>
        <item x="905"/>
        <item x="1142"/>
        <item x="398"/>
        <item x="1143"/>
        <item x="446"/>
        <item x="389"/>
        <item x="390"/>
        <item x="382"/>
        <item x="133"/>
        <item x="360"/>
        <item x="868"/>
        <item x="1208"/>
        <item x="877"/>
        <item x="118"/>
        <item x="420"/>
        <item x="564"/>
        <item x="266"/>
        <item x="247"/>
        <item x="109"/>
        <item x="376"/>
        <item x="462"/>
        <item x="852"/>
        <item x="948"/>
        <item x="721"/>
        <item x="445"/>
        <item x="61"/>
        <item x="71"/>
        <item x="616"/>
        <item x="237"/>
        <item x="830"/>
        <item x="14"/>
        <item x="608"/>
        <item x="39"/>
        <item x="479"/>
        <item x="476"/>
        <item x="778"/>
        <item x="704"/>
        <item x="988"/>
        <item x="536"/>
        <item x="1089"/>
        <item x="25"/>
        <item x="511"/>
        <item x="729"/>
        <item x="1004"/>
        <item x="250"/>
        <item x="1076"/>
        <item x="123"/>
        <item x="432"/>
        <item x="779"/>
        <item x="730"/>
        <item x="780"/>
        <item x="858"/>
        <item x="744"/>
        <item x="1094"/>
        <item x="353"/>
        <item x="899"/>
        <item x="1157"/>
        <item x="477"/>
        <item x="861"/>
        <item x="37"/>
        <item x="1166"/>
        <item x="578"/>
        <item x="1172"/>
        <item x="847"/>
        <item x="568"/>
        <item x="553"/>
        <item x="1264"/>
        <item x="469"/>
        <item x="158"/>
        <item x="855"/>
        <item x="352"/>
        <item x="731"/>
        <item x="944"/>
        <item x="820"/>
        <item x="1007"/>
        <item x="1196"/>
        <item x="1001"/>
        <item x="537"/>
        <item x="238"/>
        <item x="286"/>
        <item x="554"/>
        <item x="296"/>
        <item x="924"/>
        <item x="913"/>
        <item x="325"/>
        <item x="1104"/>
        <item x="862"/>
        <item x="871"/>
        <item x="870"/>
        <item x="1173"/>
        <item x="971"/>
        <item x="1105"/>
        <item x="48"/>
        <item x="750"/>
        <item x="1219"/>
        <item x="457"/>
        <item x="1127"/>
        <item x="781"/>
        <item x="989"/>
        <item x="458"/>
        <item x="9"/>
        <item x="196"/>
        <item x="1224"/>
        <item x="21"/>
        <item x="782"/>
        <item x="863"/>
        <item x="263"/>
        <item x="815"/>
        <item x="268"/>
        <item x="1197"/>
        <item x="665"/>
        <item x="187"/>
        <item x="63"/>
        <item x="1027"/>
        <item x="143"/>
        <item x="1095"/>
        <item x="803"/>
        <item x="518"/>
        <item x="700"/>
        <item x="1228"/>
        <item x="181"/>
        <item x="170"/>
        <item x="559"/>
        <item x="498"/>
        <item x="87"/>
        <item x="783"/>
        <item x="784"/>
        <item x="732"/>
        <item x="549"/>
        <item x="310"/>
        <item x="178"/>
        <item x="179"/>
        <item x="503"/>
        <item x="259"/>
        <item x="416"/>
        <item x="1222"/>
        <item x="623"/>
        <item x="270"/>
        <item x="1013"/>
        <item x="624"/>
        <item x="1014"/>
        <item x="271"/>
        <item x="785"/>
        <item x="391"/>
        <item x="399"/>
        <item x="72"/>
        <item x="666"/>
        <item x="625"/>
        <item x="806"/>
        <item x="1019"/>
        <item x="401"/>
        <item x="878"/>
        <item x="895"/>
        <item x="139"/>
        <item x="136"/>
        <item x="956"/>
        <item x="786"/>
        <item x="214"/>
        <item x="1068"/>
        <item x="1229"/>
        <item x="470"/>
        <item x="433"/>
        <item x="151"/>
        <item x="1056"/>
        <item x="1057"/>
        <item x="594"/>
        <item x="10"/>
        <item x="771"/>
        <item x="530"/>
        <item x="531"/>
        <item x="831"/>
        <item x="647"/>
        <item x="1000"/>
        <item x="990"/>
        <item x="746"/>
        <item x="1194"/>
        <item x="1198"/>
        <item x="11"/>
        <item x="171"/>
        <item x="1258"/>
        <item x="1031"/>
        <item x="373"/>
        <item x="821"/>
        <item x="1043"/>
        <item x="297"/>
        <item x="311"/>
        <item x="1024"/>
        <item x="1044"/>
        <item x="1156"/>
        <item x="275"/>
        <item x="793"/>
        <item x="1118"/>
        <item x="1032"/>
        <item x="612"/>
        <item x="656"/>
        <item x="1018"/>
        <item x="610"/>
        <item x="180"/>
        <item x="1084"/>
        <item x="434"/>
        <item x="856"/>
        <item x="152"/>
        <item x="211"/>
        <item x="832"/>
        <item x="833"/>
        <item x="17"/>
        <item x="929"/>
        <item x="930"/>
        <item x="689"/>
        <item x="1230"/>
        <item x="471"/>
        <item x="288"/>
        <item x="312"/>
        <item x="1247"/>
        <item x="188"/>
        <item x="1144"/>
        <item x="513"/>
        <item x="945"/>
        <item x="576"/>
        <item x="164"/>
        <item x="243"/>
        <item x="1205"/>
        <item x="67"/>
        <item x="811"/>
        <item x="85"/>
        <item x="1120"/>
        <item x="368"/>
        <item x="73"/>
        <item x="330"/>
        <item x="760"/>
        <item x="633"/>
        <item x="269"/>
        <item x="1002"/>
        <item x="1106"/>
        <item x="4"/>
        <item x="719"/>
        <item x="88"/>
        <item x="89"/>
        <item x="735"/>
        <item x="604"/>
        <item x="697"/>
        <item x="452"/>
        <item x="747"/>
        <item x="362"/>
        <item x="415"/>
        <item x="801"/>
        <item x="1096"/>
        <item x="648"/>
        <item x="643"/>
        <item x="1178"/>
        <item x="672"/>
        <item x="1179"/>
        <item x="991"/>
        <item x="145"/>
        <item x="1035"/>
        <item x="93"/>
        <item x="282"/>
        <item x="255"/>
        <item x="267"/>
        <item x="1012"/>
        <item x="251"/>
        <item x="716"/>
        <item x="679"/>
        <item x="920"/>
        <item x="588"/>
        <item x="906"/>
        <item x="581"/>
        <item x="617"/>
        <item x="453"/>
        <item x="157"/>
        <item x="918"/>
        <item x="1211"/>
        <item x="105"/>
        <item x="565"/>
        <item x="293"/>
        <item x="384"/>
        <item x="82"/>
        <item x="239"/>
        <item x="522"/>
        <item x="992"/>
        <item x="356"/>
        <item x="1239"/>
        <item x="74"/>
        <item x="1008"/>
        <item x="618"/>
        <item x="240"/>
        <item x="690"/>
        <item x="1025"/>
        <item x="629"/>
        <item x="1231"/>
        <item x="1080"/>
        <item x="120"/>
        <item x="351"/>
        <item x="137"/>
        <item x="1180"/>
        <item x="609"/>
        <item x="298"/>
        <item x="1248"/>
        <item x="1249"/>
        <item x="598"/>
        <item x="921"/>
        <item x="454"/>
        <item x="680"/>
        <item x="619"/>
        <item x="585"/>
        <item x="291"/>
        <item x="1009"/>
        <item x="84"/>
        <item x="974"/>
        <item x="975"/>
        <item x="49"/>
        <item x="292"/>
        <item x="294"/>
        <item x="101"/>
        <item x="299"/>
        <item x="967"/>
        <item x="197"/>
        <item x="201"/>
        <item x="202"/>
        <item x="204"/>
        <item x="205"/>
        <item x="206"/>
        <item x="56"/>
        <item x="57"/>
        <item x="203"/>
        <item x="207"/>
        <item x="260"/>
        <item x="1036"/>
        <item x="15"/>
        <item x="98"/>
        <item x="23"/>
        <item x="738"/>
        <item x="200"/>
        <item x="116"/>
        <item x="115"/>
        <item x="1045"/>
        <item x="300"/>
        <item x="377"/>
        <item x="1058"/>
        <item x="649"/>
        <item x="106"/>
        <item x="650"/>
        <item x="1059"/>
        <item x="1060"/>
        <item x="651"/>
        <item x="313"/>
        <item x="555"/>
        <item x="1061"/>
        <item x="958"/>
        <item x="787"/>
        <item x="1081"/>
        <item x="241"/>
        <item x="125"/>
        <item x="864"/>
        <item x="357"/>
        <item x="1015"/>
        <item x="1046"/>
        <item x="981"/>
        <item x="55"/>
        <item x="1107"/>
        <item x="1003"/>
        <item x="79"/>
        <item x="1158"/>
        <item x="1135"/>
        <item x="102"/>
        <item x="301"/>
        <item x="114"/>
        <item x="775"/>
        <item x="534"/>
        <item x="215"/>
        <item x="510"/>
        <item x="346"/>
        <item x="711"/>
        <item x="843"/>
        <item x="161"/>
        <item x="584"/>
        <item x="42"/>
        <item x="172"/>
        <item x="834"/>
        <item x="742"/>
        <item x="1108"/>
        <item x="673"/>
        <item x="993"/>
        <item x="859"/>
        <item x="326"/>
        <item x="1223"/>
        <item x="1259"/>
        <item x="772"/>
        <item x="418"/>
        <item x="0"/>
        <item x="809"/>
        <item x="736"/>
        <item x="499"/>
        <item x="714"/>
        <item x="5"/>
        <item x="90"/>
        <item x="277"/>
        <item x="2"/>
        <item x="542"/>
        <item x="788"/>
        <item x="512"/>
        <item x="314"/>
        <item x="148"/>
        <item x="653"/>
        <item x="1129"/>
        <item x="280"/>
        <item x="333"/>
        <item x="1082"/>
        <item x="256"/>
        <item x="257"/>
        <item x="1225"/>
        <item x="611"/>
        <item x="290"/>
        <item x="340"/>
        <item x="364"/>
        <item x="1160"/>
        <item x="538"/>
        <item x="1116"/>
        <item x="289"/>
        <item x="807"/>
        <item x="850"/>
        <item x="1181"/>
        <item x="560"/>
        <item x="1260"/>
        <item x="1125"/>
        <item x="435"/>
        <item x="1047"/>
        <item x="1048"/>
        <item x="361"/>
        <item x="674"/>
        <item x="1088"/>
        <item x="342"/>
        <item x="174"/>
        <item x="343"/>
        <item x="349"/>
        <item x="347"/>
        <item x="350"/>
        <item x="344"/>
        <item x="345"/>
        <item x="348"/>
        <item x="1091"/>
        <item x="810"/>
        <item x="425"/>
        <item x="725"/>
        <item x="765"/>
        <item x="497"/>
        <item x="331"/>
        <item x="253"/>
        <item x="252"/>
        <item x="258"/>
        <item x="504"/>
        <item x="75"/>
        <item x="242"/>
        <item x="980"/>
        <item x="1"/>
        <item x="7"/>
        <item x="397"/>
        <item x="154"/>
        <item x="447"/>
        <item x="1090"/>
        <item x="1226"/>
        <item x="1254"/>
        <item x="701"/>
        <item x="1261"/>
        <item x="953"/>
        <item x="759"/>
        <item x="358"/>
        <item x="487"/>
        <item x="185"/>
        <item x="492"/>
        <item x="321"/>
        <item x="406"/>
        <item x="129"/>
        <item x="30"/>
        <item x="888"/>
        <item x="901"/>
        <item x="426"/>
        <item x="427"/>
        <item x="378"/>
        <item x="428"/>
        <item x="1114"/>
        <item x="370"/>
        <item x="216"/>
        <item x="409"/>
        <item x="217"/>
        <item x="218"/>
        <item x="219"/>
        <item x="1121"/>
        <item x="64"/>
        <item x="130"/>
        <item x="65"/>
        <item x="66"/>
        <item x="1122"/>
        <item x="220"/>
        <item x="976"/>
        <item x="1109"/>
        <item x="371"/>
        <item x="372"/>
        <item x="379"/>
        <item x="1128"/>
        <item x="127"/>
        <item x="1010"/>
        <item x="822"/>
        <item x="50"/>
        <item x="1126"/>
        <item x="1227"/>
        <item x="338"/>
        <item x="745"/>
        <item x="903"/>
        <item x="1212"/>
        <item x="228"/>
        <item x="227"/>
        <item x="385"/>
        <item x="302"/>
        <item x="209"/>
        <item x="35"/>
        <item x="1130"/>
        <item x="28"/>
        <item x="959"/>
        <item x="561"/>
        <item x="189"/>
        <item x="509"/>
        <item x="191"/>
        <item x="192"/>
        <item x="961"/>
        <item x="53"/>
        <item x="960"/>
        <item x="190"/>
        <item x="607"/>
        <item x="94"/>
        <item x="575"/>
        <item x="403"/>
        <item x="472"/>
        <item x="488"/>
        <item x="627"/>
        <item x="493"/>
        <item x="1170"/>
        <item x="691"/>
        <item x="419"/>
        <item x="1071"/>
        <item x="739"/>
        <item x="327"/>
        <item x="1069"/>
        <item x="848"/>
        <item x="1070"/>
        <item x="460"/>
        <item x="142"/>
        <item x="33"/>
        <item x="804"/>
        <item x="695"/>
        <item x="755"/>
        <item x="38"/>
        <item x="1240"/>
        <item x="163"/>
        <item x="756"/>
        <item x="579"/>
        <item x="6"/>
        <item x="893"/>
        <item x="135"/>
        <item x="523"/>
        <item x="482"/>
        <item x="1049"/>
        <item x="1072"/>
        <item x="817"/>
        <item x="1033"/>
        <item x="652"/>
        <item x="97"/>
        <item x="835"/>
        <item x="836"/>
        <item x="733"/>
        <item x="539"/>
        <item x="931"/>
        <item x="802"/>
        <item x="702"/>
        <item x="1110"/>
        <item x="922"/>
        <item x="1213"/>
        <item x="589"/>
        <item x="455"/>
        <item x="1182"/>
        <item x="849"/>
        <item x="284"/>
        <item x="1149"/>
        <item x="1183"/>
        <item x="907"/>
        <item x="436"/>
        <item x="528"/>
        <item x="1097"/>
        <item x="354"/>
        <item x="315"/>
        <item x="437"/>
        <item x="675"/>
        <item x="1136"/>
        <item x="489"/>
        <item x="1162"/>
        <item x="1083"/>
        <item x="336"/>
        <item x="438"/>
        <item x="556"/>
        <item x="76"/>
        <item x="221"/>
        <item x="222"/>
        <item x="18"/>
        <item x="635"/>
        <item x="442"/>
        <item x="525"/>
        <item x="737"/>
        <item x="334"/>
        <item x="332"/>
        <item x="212"/>
        <item x="773"/>
        <item x="1145"/>
        <item x="248"/>
        <item x="355"/>
        <item x="994"/>
        <item x="789"/>
        <item x="1062"/>
        <item x="800"/>
        <item x="1111"/>
        <item x="134"/>
        <item x="404"/>
        <item x="359"/>
        <item x="1112"/>
        <item x="761"/>
        <item x="138"/>
        <item x="1063"/>
        <item x="600"/>
        <item x="1064"/>
        <item x="1065"/>
        <item x="972"/>
        <item x="81"/>
        <item x="173"/>
        <item x="949"/>
        <item x="166"/>
        <item x="889"/>
        <item x="417"/>
        <item x="44"/>
        <item x="1017"/>
        <item x="473"/>
        <item x="1232"/>
        <item x="898"/>
        <item x="1066"/>
        <item x="657"/>
        <item x="865"/>
        <item x="392"/>
        <item x="885"/>
        <item x="208"/>
        <item x="743"/>
        <item x="45"/>
        <item x="177"/>
        <item x="54"/>
        <item x="193"/>
        <item x="910"/>
        <item x="1184"/>
        <item x="908"/>
        <item x="909"/>
        <item x="774"/>
        <item x="748"/>
        <item x="508"/>
        <item x="77"/>
        <item x="1119"/>
        <item x="790"/>
        <item x="1131"/>
        <item x="698"/>
        <item x="582"/>
        <item x="605"/>
        <item x="957"/>
        <item x="637"/>
        <item x="1078"/>
        <item x="791"/>
        <item x="668"/>
        <item x="182"/>
        <item x="194"/>
        <item x="386"/>
        <item x="1026"/>
        <item x="159"/>
        <item x="281"/>
        <item x="966"/>
        <item x="630"/>
        <item x="1011"/>
        <item x="644"/>
        <item x="631"/>
        <item x="626"/>
        <item x="658"/>
        <item x="365"/>
        <item x="366"/>
        <item x="367"/>
        <item x="363"/>
        <item x="40"/>
        <item x="532"/>
        <item x="1038"/>
        <item x="638"/>
        <item x="506"/>
        <item x="110"/>
        <item x="265"/>
        <item x="950"/>
        <item x="1028"/>
        <item x="32"/>
        <item x="892"/>
        <item x="444"/>
        <item x="708"/>
        <item x="273"/>
        <item x="720"/>
        <item x="3"/>
        <item x="718"/>
        <item x="374"/>
        <item x="1006"/>
        <item x="683"/>
        <item x="83"/>
        <item x="429"/>
        <item x="254"/>
        <item x="963"/>
        <item x="380"/>
        <item x="1150"/>
        <item x="175"/>
        <item x="866"/>
        <item x="973"/>
        <item x="934"/>
        <item x="262"/>
        <item x="316"/>
        <item x="1085"/>
        <item x="272"/>
        <item x="1087"/>
        <item x="456"/>
        <item x="1214"/>
        <item x="825"/>
        <item x="620"/>
        <item x="1115"/>
        <item x="752"/>
        <item x="595"/>
        <item x="1233"/>
        <item x="932"/>
        <item x="837"/>
        <item x="872"/>
        <item x="857"/>
        <item x="873"/>
        <item x="632"/>
        <item x="794"/>
        <item x="421"/>
        <item x="146"/>
        <item x="422"/>
        <item x="423"/>
        <item x="147"/>
        <item x="1050"/>
        <item x="962"/>
        <item x="977"/>
        <item x="613"/>
        <item x="776"/>
        <item x="890"/>
        <item x="393"/>
        <item x="1148"/>
        <item x="394"/>
        <item x="162"/>
        <item x="1234"/>
        <item x="1242"/>
        <item x="596"/>
        <item x="894"/>
        <item x="229"/>
        <item x="526"/>
        <item x="230"/>
        <item x="430"/>
        <item x="431"/>
        <item x="1155"/>
        <item x="1193"/>
        <item x="1207"/>
        <item x="150"/>
        <item x="904"/>
        <item x="1174"/>
        <item x="514"/>
        <item x="978"/>
        <item x="816"/>
        <item x="1123"/>
        <item x="569"/>
        <item x="550"/>
        <item x="490"/>
        <item x="410"/>
        <item x="184"/>
        <item x="1029"/>
        <item x="459"/>
        <item x="681"/>
        <item x="724"/>
        <item x="886"/>
        <item x="639"/>
        <item x="413"/>
        <item x="1199"/>
        <item x="328"/>
        <item x="1077"/>
        <item x="176"/>
        <item x="851"/>
        <item x="659"/>
        <item x="131"/>
        <item x="660"/>
        <item x="1235"/>
        <item x="1236"/>
        <item x="1185"/>
        <item x="1186"/>
        <item x="1187"/>
        <item x="439"/>
        <item x="705"/>
        <item x="940"/>
        <item x="121"/>
        <item x="27"/>
        <item x="494"/>
        <item x="1079"/>
        <item x="995"/>
        <item x="543"/>
        <item x="869"/>
        <item x="1167"/>
        <item x="670"/>
        <item x="692"/>
        <item x="31"/>
        <item x="276"/>
        <item x="935"/>
        <item x="757"/>
        <item x="936"/>
        <item x="1086"/>
        <item x="713"/>
        <item x="22"/>
        <item x="515"/>
        <item x="8"/>
        <item x="278"/>
        <item x="91"/>
        <item x="279"/>
        <item x="914"/>
        <item x="754"/>
        <item x="574"/>
        <item x="317"/>
        <item x="337"/>
        <item x="640"/>
        <item x="1206"/>
        <item x="329"/>
        <item x="982"/>
        <item x="78"/>
        <item x="1159"/>
        <item x="795"/>
        <item x="796"/>
        <item x="797"/>
        <item x="1113"/>
        <item x="126"/>
        <item x="879"/>
        <item x="1137"/>
        <item x="823"/>
        <item x="880"/>
        <item x="1138"/>
        <item x="573"/>
        <item x="881"/>
        <item x="387"/>
        <item x="1146"/>
        <item x="1147"/>
        <item x="567"/>
        <item x="601"/>
        <item x="813"/>
        <item x="814"/>
        <item x="571"/>
        <item x="491"/>
        <item x="540"/>
        <item x="838"/>
        <item x="839"/>
        <item x="318"/>
        <item x="583"/>
        <item x="111"/>
        <item x="654"/>
        <item x="1073"/>
        <item x="955"/>
        <item x="264"/>
        <item x="566"/>
        <item x="941"/>
        <item x="541"/>
        <item x="916"/>
        <item x="996"/>
        <item x="480"/>
        <item x="1132"/>
        <item x="979"/>
        <item x="912"/>
        <item x="369"/>
        <item x="882"/>
        <item x="597"/>
        <item x="824"/>
        <item x="1051"/>
        <item x="107"/>
        <item x="24"/>
        <item x="586"/>
        <item x="400"/>
        <item x="840"/>
        <item x="13"/>
        <item x="792"/>
        <item x="319"/>
        <item x="621"/>
        <item x="1243"/>
        <item x="1215"/>
        <item x="46"/>
        <item x="448"/>
        <item x="951"/>
        <item x="395"/>
        <item x="51"/>
        <item x="997"/>
        <item x="741"/>
        <item x="99"/>
        <item x="26"/>
        <item x="231"/>
        <item x="1168"/>
        <item x="734"/>
        <item x="1151"/>
        <item x="396"/>
        <item x="303"/>
        <item x="1133"/>
        <item x="867"/>
        <item x="19"/>
        <item x="411"/>
        <item x="412"/>
        <item x="478"/>
        <item x="1074"/>
        <item x="655"/>
        <item x="762"/>
        <item x="887"/>
        <item x="507"/>
        <item x="676"/>
        <item x="1188"/>
        <item x="896"/>
        <item x="1169"/>
        <item x="1200"/>
        <item x="521"/>
        <item x="1201"/>
        <item x="1216"/>
        <item x="224"/>
        <item x="1189"/>
        <item x="1052"/>
        <item x="304"/>
        <item x="305"/>
        <item x="645"/>
        <item x="1161"/>
        <item x="897"/>
        <item x="405"/>
        <item x="580"/>
        <item x="883"/>
        <item x="662"/>
        <item x="663"/>
        <item x="664"/>
        <item x="703"/>
        <item x="485"/>
        <item x="520"/>
        <item x="408"/>
        <item x="1217"/>
        <item x="306"/>
        <item x="998"/>
        <item x="1075"/>
        <item x="709"/>
        <item x="501"/>
        <item x="712"/>
        <item x="213"/>
        <item x="1250"/>
        <item x="1251"/>
        <item x="1252"/>
        <item x="1067"/>
        <item x="964"/>
        <item x="407"/>
        <item x="1262"/>
        <item x="544"/>
        <item x="124"/>
        <item x="942"/>
        <item x="320"/>
        <item x="727"/>
        <item x="923"/>
        <item x="524"/>
        <item x="1220"/>
        <item x="919"/>
        <item x="1191"/>
        <item x="1190"/>
        <item x="812"/>
        <item x="677"/>
        <item x="1202"/>
        <item x="226"/>
        <item x="1218"/>
        <item x="1221"/>
        <item x="591"/>
        <item x="449"/>
        <item x="799"/>
        <item x="808"/>
        <item x="999"/>
        <item x="80"/>
        <item x="798"/>
        <item x="388"/>
        <item x="884"/>
        <item x="474"/>
        <item x="1244"/>
        <item x="307"/>
        <item x="308"/>
        <item x="740"/>
        <item x="112"/>
        <item x="113"/>
        <item x="1253"/>
        <item x="484"/>
        <item x="841"/>
        <item x="1192"/>
        <item x="132"/>
        <item x="440"/>
        <item x="20"/>
        <item x="939"/>
        <item x="165"/>
        <item x="570"/>
        <item x="1022"/>
        <item x="481"/>
        <item x="1265"/>
        <item x="557"/>
        <item x="1053"/>
        <item x="103"/>
        <item x="43"/>
        <item x="1203"/>
        <item x="636"/>
        <item x="1034"/>
        <item x="68"/>
        <item x="249"/>
        <item x="1263"/>
        <item x="335"/>
        <item x="818"/>
        <item x="58"/>
        <item x="1237"/>
        <item x="933"/>
        <item x="1238"/>
        <item x="28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s>
  <rowFields count="1">
    <field x="0"/>
  </rowFields>
  <rowItems count="11">
    <i>
      <x v="124"/>
    </i>
    <i>
      <x v="123"/>
    </i>
    <i>
      <x v="144"/>
    </i>
    <i>
      <x v="143"/>
    </i>
    <i>
      <x v="897"/>
    </i>
    <i>
      <x v="369"/>
    </i>
    <i>
      <x v="126"/>
    </i>
    <i>
      <x v="507"/>
    </i>
    <i>
      <x v="616"/>
    </i>
    <i>
      <x v="1147"/>
    </i>
    <i>
      <x v="852"/>
    </i>
  </rowItems>
  <colItems count="1">
    <i/>
  </colItems>
  <dataFields count="1">
    <dataField name="Sum of Sale"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FD5FC5-61DD-4EAE-AD79-60D01200C08D}" name="PivotTable8" cacheId="5" applyNumberFormats="0" applyBorderFormats="0" applyFontFormats="0" applyPatternFormats="0" applyAlignmentFormats="0" applyWidthHeightFormats="1" dataCaption="Values" tag="3f0d86e1-e963-4745-9c95-9d72ee27982a" updatedVersion="8" minRefreshableVersion="3" showDrill="0" useAutoFormatting="1" itemPrintTitles="1" createdVersion="8" indent="0" outline="1" outlineData="1" multipleFieldFilters="0" chartFormat="5">
  <location ref="A23:A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formats count="1">
    <format dxfId="17">
      <pivotArea outline="0" collapsedLevelsAreSubtotals="1" fieldPosition="0"/>
    </format>
  </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B8E597-EE59-4359-B333-4AB9E94B9338}" name="PivotTable7" cacheId="4" applyNumberFormats="0" applyBorderFormats="0" applyFontFormats="0" applyPatternFormats="0" applyAlignmentFormats="0" applyWidthHeightFormats="1" dataCaption="Values" tag="a6f55e3c-d0f9-41d1-904c-7d862d6d1537" updatedVersion="8" minRefreshableVersion="3" showDrill="0" useAutoFormatting="1" itemPrintTitles="1" createdVersion="8" indent="0" outline="1" outlineData="1" multipleFieldFilters="0" chartFormat="5">
  <location ref="A19:A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 fld="0" baseField="0" baseItem="0" numFmtId="164"/>
  </dataFields>
  <formats count="1">
    <format dxfId="18">
      <pivotArea outline="0" collapsedLevelsAreSubtotals="1" fieldPosition="0"/>
    </format>
  </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C8E636-DE2F-41A0-9ECB-3BCC5E2F9790}" name="PivotTable4" cacheId="6" applyNumberFormats="0" applyBorderFormats="0" applyFontFormats="0" applyPatternFormats="0" applyAlignmentFormats="0" applyWidthHeightFormats="1" dataCaption="Values" tag="1026902d-8a90-405d-8d54-748bb3acd4bc" updatedVersion="8" minRefreshableVersion="3" useAutoFormatting="1" itemPrintTitles="1" createdVersion="8" indent="0" outline="1" outlineData="1" multipleFieldFilters="0" chartFormat="5">
  <location ref="A3:B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Item Name" fld="1" subtotal="count" baseField="0" baseItem="0"/>
  </dataField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099909-EE4F-45BF-B533-D000B0564B97}"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6:B24" firstHeaderRow="1" firstDataRow="1" firstDataCol="1"/>
  <pivotFields count="10">
    <pivotField showAll="0"/>
    <pivotField showAll="0"/>
    <pivotField showAll="0"/>
    <pivotField dataField="1" showAll="0"/>
    <pivotField showAll="0"/>
    <pivotField showAll="0"/>
    <pivotField axis="axisRow" numFmtId="14" showAll="0">
      <items count="8">
        <item x="1"/>
        <item x="0"/>
        <item x="3"/>
        <item x="6"/>
        <item x="5"/>
        <item x="4"/>
        <item x="2"/>
        <item t="default"/>
      </items>
    </pivotField>
    <pivotField showAll="0"/>
    <pivotField showAll="0"/>
    <pivotField showAll="0"/>
  </pivotFields>
  <rowFields count="1">
    <field x="6"/>
  </rowFields>
  <rowItems count="8">
    <i>
      <x/>
    </i>
    <i>
      <x v="1"/>
    </i>
    <i>
      <x v="2"/>
    </i>
    <i>
      <x v="3"/>
    </i>
    <i>
      <x v="4"/>
    </i>
    <i>
      <x v="5"/>
    </i>
    <i>
      <x v="6"/>
    </i>
    <i t="grand">
      <x/>
    </i>
  </rowItems>
  <colItems count="1">
    <i/>
  </colItems>
  <dataFields count="1">
    <dataField name="Total Units" fld="3"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9AE15D-EBE9-4D8B-BD71-15CCC421860A}"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H13" firstHeaderRow="1" firstDataRow="1" firstDataCol="1"/>
  <pivotFields count="10">
    <pivotField axis="axisRow" showAll="0" measureFilter="1" sortType="descending">
      <items count="1267">
        <item x="339"/>
        <item x="85"/>
        <item x="866"/>
        <item x="1018"/>
        <item x="902"/>
        <item x="477"/>
        <item x="539"/>
        <item x="1179"/>
        <item x="268"/>
        <item x="223"/>
        <item x="1223"/>
        <item x="91"/>
        <item x="1022"/>
        <item x="458"/>
        <item x="1058"/>
        <item x="1201"/>
        <item x="211"/>
        <item x="259"/>
        <item x="1254"/>
        <item x="529"/>
        <item x="835"/>
        <item x="246"/>
        <item x="296"/>
        <item x="719"/>
        <item x="597"/>
        <item x="599"/>
        <item x="1006"/>
        <item x="592"/>
        <item x="298"/>
        <item x="359"/>
        <item x="1149"/>
        <item x="782"/>
        <item x="1189"/>
        <item x="484"/>
        <item x="1226"/>
        <item x="1026"/>
        <item x="213"/>
        <item x="163"/>
        <item x="202"/>
        <item x="420"/>
        <item x="1150"/>
        <item x="351"/>
        <item x="234"/>
        <item x="125"/>
        <item x="206"/>
        <item x="104"/>
        <item x="98"/>
        <item x="254"/>
        <item x="1245"/>
        <item x="984"/>
        <item x="371"/>
        <item x="1081"/>
        <item x="422"/>
        <item x="559"/>
        <item x="546"/>
        <item x="94"/>
        <item x="811"/>
        <item x="115"/>
        <item x="633"/>
        <item x="1111"/>
        <item x="914"/>
        <item x="1225"/>
        <item x="1218"/>
        <item x="812"/>
        <item x="893"/>
        <item x="418"/>
        <item x="1180"/>
        <item x="936"/>
        <item x="628"/>
        <item x="328"/>
        <item x="693"/>
        <item x="1212"/>
        <item x="844"/>
        <item x="450"/>
        <item x="534"/>
        <item x="487"/>
        <item x="555"/>
        <item x="841"/>
        <item x="991"/>
        <item x="607"/>
        <item x="1175"/>
        <item x="577"/>
        <item x="915"/>
        <item x="1152"/>
        <item x="586"/>
        <item x="1042"/>
        <item x="691"/>
        <item x="1065"/>
        <item x="629"/>
        <item x="600"/>
        <item x="582"/>
        <item x="767"/>
        <item x="362"/>
        <item x="847"/>
        <item x="945"/>
        <item x="1005"/>
        <item x="348"/>
        <item x="1115"/>
        <item x="687"/>
        <item x="935"/>
        <item x="1091"/>
        <item x="1193"/>
        <item x="1138"/>
        <item x="497"/>
        <item x="514"/>
        <item x="219"/>
        <item x="638"/>
        <item x="760"/>
        <item x="334"/>
        <item x="1220"/>
        <item x="261"/>
        <item x="1183"/>
        <item x="1035"/>
        <item x="1195"/>
        <item x="1008"/>
        <item x="1173"/>
        <item x="322"/>
        <item x="419"/>
        <item x="1104"/>
        <item x="39"/>
        <item x="321"/>
        <item x="478"/>
        <item x="384"/>
        <item x="623"/>
        <item x="883"/>
        <item x="743"/>
        <item x="802"/>
        <item x="657"/>
        <item x="364"/>
        <item x="709"/>
        <item x="680"/>
        <item x="253"/>
        <item x="1121"/>
        <item x="710"/>
        <item x="307"/>
        <item x="501"/>
        <item x="942"/>
        <item x="1004"/>
        <item x="605"/>
        <item x="412"/>
        <item x="516"/>
        <item x="1192"/>
        <item x="933"/>
        <item x="1090"/>
        <item x="910"/>
        <item x="1257"/>
        <item x="512"/>
        <item x="1069"/>
        <item x="753"/>
        <item x="994"/>
        <item x="387"/>
        <item x="985"/>
        <item x="735"/>
        <item x="880"/>
        <item x="896"/>
        <item x="385"/>
        <item x="440"/>
        <item x="380"/>
        <item x="1233"/>
        <item x="1198"/>
        <item x="368"/>
        <item x="1087"/>
        <item x="622"/>
        <item x="827"/>
        <item x="1097"/>
        <item x="639"/>
        <item x="702"/>
        <item x="792"/>
        <item x="269"/>
        <item x="372"/>
        <item x="434"/>
        <item x="354"/>
        <item x="966"/>
        <item x="249"/>
        <item x="819"/>
        <item x="305"/>
        <item x="1059"/>
        <item x="587"/>
        <item x="148"/>
        <item x="543"/>
        <item x="35"/>
        <item x="899"/>
        <item x="1215"/>
        <item x="361"/>
        <item x="140"/>
        <item x="641"/>
        <item x="970"/>
        <item x="990"/>
        <item x="228"/>
        <item x="45"/>
        <item x="461"/>
        <item x="840"/>
        <item x="302"/>
        <item x="1182"/>
        <item x="635"/>
        <item x="761"/>
        <item x="1204"/>
        <item x="198"/>
        <item x="928"/>
        <item x="1012"/>
        <item x="283"/>
        <item x="355"/>
        <item x="90"/>
        <item x="937"/>
        <item x="765"/>
        <item x="842"/>
        <item x="411"/>
        <item x="78"/>
        <item x="350"/>
        <item x="1107"/>
        <item x="668"/>
        <item x="961"/>
        <item x="763"/>
        <item x="541"/>
        <item x="726"/>
        <item x="173"/>
        <item x="957"/>
        <item x="924"/>
        <item x="604"/>
        <item x="825"/>
        <item x="1119"/>
        <item x="948"/>
        <item x="959"/>
        <item x="342"/>
        <item x="1053"/>
        <item x="1108"/>
        <item x="2"/>
        <item x="27"/>
        <item x="23"/>
        <item x="7"/>
        <item x="17"/>
        <item x="3"/>
        <item x="0"/>
        <item x="24"/>
        <item x="677"/>
        <item x="769"/>
        <item x="591"/>
        <item x="182"/>
        <item x="581"/>
        <item x="76"/>
        <item x="888"/>
        <item x="72"/>
        <item x="1151"/>
        <item x="462"/>
        <item x="891"/>
        <item x="145"/>
        <item x="144"/>
        <item x="160"/>
        <item x="172"/>
        <item x="521"/>
        <item x="127"/>
        <item x="237"/>
        <item x="375"/>
        <item x="218"/>
        <item x="816"/>
        <item x="682"/>
        <item x="129"/>
        <item x="904"/>
        <item x="640"/>
        <item x="1049"/>
        <item x="255"/>
        <item x="857"/>
        <item x="548"/>
        <item x="1174"/>
        <item x="340"/>
        <item x="63"/>
        <item x="920"/>
        <item x="673"/>
        <item x="306"/>
        <item x="294"/>
        <item x="1154"/>
        <item x="240"/>
        <item x="1032"/>
        <item x="133"/>
        <item x="723"/>
        <item x="285"/>
        <item x="1106"/>
        <item x="988"/>
        <item x="738"/>
        <item x="750"/>
        <item x="908"/>
        <item x="1045"/>
        <item x="459"/>
        <item x="175"/>
        <item x="624"/>
        <item x="110"/>
        <item x="873"/>
        <item x="830"/>
        <item x="1055"/>
        <item x="1210"/>
        <item x="620"/>
        <item x="992"/>
        <item x="892"/>
        <item x="934"/>
        <item x="1249"/>
        <item x="900"/>
        <item x="589"/>
        <item x="745"/>
        <item x="413"/>
        <item x="746"/>
        <item x="652"/>
        <item x="525"/>
        <item x="1047"/>
        <item x="1258"/>
        <item x="1209"/>
        <item x="692"/>
        <item x="993"/>
        <item x="987"/>
        <item x="83"/>
        <item x="688"/>
        <item x="448"/>
        <item x="34"/>
        <item x="872"/>
        <item x="277"/>
        <item x="309"/>
        <item x="69"/>
        <item x="489"/>
        <item x="1025"/>
        <item x="1057"/>
        <item x="122"/>
        <item x="813"/>
        <item x="1030"/>
        <item x="53"/>
        <item x="1148"/>
        <item x="406"/>
        <item x="191"/>
        <item x="645"/>
        <item x="1066"/>
        <item x="1027"/>
        <item x="675"/>
        <item x="1068"/>
        <item x="665"/>
        <item x="664"/>
        <item x="1169"/>
        <item x="886"/>
        <item x="195"/>
        <item x="1014"/>
        <item x="721"/>
        <item x="101"/>
        <item x="369"/>
        <item x="453"/>
        <item x="982"/>
        <item x="1139"/>
        <item x="1207"/>
        <item x="569"/>
        <item x="318"/>
        <item x="1238"/>
        <item x="310"/>
        <item x="1048"/>
        <item x="4"/>
        <item x="535"/>
        <item x="265"/>
        <item x="1034"/>
        <item x="326"/>
        <item x="1129"/>
        <item x="1142"/>
        <item x="54"/>
        <item x="1221"/>
        <item x="523"/>
        <item x="938"/>
        <item x="273"/>
        <item x="755"/>
        <item x="779"/>
        <item x="968"/>
        <item x="476"/>
        <item x="454"/>
        <item x="503"/>
        <item x="907"/>
        <item x="1166"/>
        <item x="575"/>
        <item x="297"/>
        <item x="1082"/>
        <item x="186"/>
        <item x="257"/>
        <item x="216"/>
        <item x="574"/>
        <item x="207"/>
        <item x="405"/>
        <item x="983"/>
        <item x="632"/>
        <item x="585"/>
        <item x="1160"/>
        <item x="566"/>
        <item x="878"/>
        <item x="701"/>
        <item x="1095"/>
        <item x="1224"/>
        <item x="741"/>
        <item x="1132"/>
        <item x="167"/>
        <item x="199"/>
        <item x="416"/>
        <item x="250"/>
        <item x="88"/>
        <item x="1083"/>
        <item x="1172"/>
        <item x="742"/>
        <item x="913"/>
        <item x="1013"/>
        <item x="75"/>
        <item x="212"/>
        <item x="465"/>
        <item x="1123"/>
        <item x="939"/>
        <item x="536"/>
        <item x="57"/>
        <item x="1079"/>
        <item x="366"/>
        <item x="1128"/>
        <item x="289"/>
        <item x="1217"/>
        <item x="960"/>
        <item x="470"/>
        <item x="1260"/>
        <item x="495"/>
        <item x="1251"/>
        <item x="972"/>
        <item x="517"/>
        <item x="781"/>
        <item x="394"/>
        <item x="357"/>
        <item x="963"/>
        <item x="848"/>
        <item x="1144"/>
        <item x="852"/>
        <item x="1063"/>
        <item x="952"/>
        <item x="383"/>
        <item x="435"/>
        <item x="331"/>
        <item x="456"/>
        <item x="374"/>
        <item x="1250"/>
        <item x="579"/>
        <item x="170"/>
        <item x="214"/>
        <item x="831"/>
        <item x="468"/>
        <item x="1216"/>
        <item x="343"/>
        <item x="37"/>
        <item x="861"/>
        <item x="1023"/>
        <item x="299"/>
        <item x="679"/>
        <item x="367"/>
        <item x="449"/>
        <item x="906"/>
        <item x="473"/>
        <item x="1056"/>
        <item x="370"/>
        <item x="1125"/>
        <item x="780"/>
        <item x="464"/>
        <item x="1043"/>
        <item x="836"/>
        <item x="1000"/>
        <item x="243"/>
        <item x="1194"/>
        <item x="522"/>
        <item x="242"/>
        <item x="823"/>
        <item x="636"/>
        <item x="130"/>
        <item x="637"/>
        <item x="73"/>
        <item x="865"/>
        <item x="885"/>
        <item x="694"/>
        <item x="499"/>
        <item x="772"/>
        <item x="929"/>
        <item x="301"/>
        <item x="1126"/>
        <item x="980"/>
        <item x="320"/>
        <item x="507"/>
        <item x="651"/>
        <item x="647"/>
        <item x="863"/>
        <item x="13"/>
        <item x="22"/>
        <item x="21"/>
        <item x="9"/>
        <item x="10"/>
        <item x="598"/>
        <item x="601"/>
        <item x="1110"/>
        <item x="911"/>
        <item x="209"/>
        <item x="222"/>
        <item x="1114"/>
        <item x="426"/>
        <item x="401"/>
        <item x="433"/>
        <item x="107"/>
        <item x="922"/>
        <item x="666"/>
        <item x="690"/>
        <item x="1153"/>
        <item x="953"/>
        <item x="247"/>
        <item x="667"/>
        <item x="147"/>
        <item x="132"/>
        <item x="860"/>
        <item x="390"/>
        <item x="1024"/>
        <item x="68"/>
        <item x="388"/>
        <item x="1093"/>
        <item x="245"/>
        <item x="1102"/>
        <item x="1167"/>
        <item x="149"/>
        <item x="429"/>
        <item x="602"/>
        <item x="794"/>
        <item x="428"/>
        <item x="921"/>
        <item x="1118"/>
        <item x="1051"/>
        <item x="471"/>
        <item x="407"/>
        <item x="377"/>
        <item x="1105"/>
        <item x="504"/>
        <item x="1016"/>
        <item x="1127"/>
        <item x="1264"/>
        <item x="329"/>
        <item x="583"/>
        <item x="1191"/>
        <item x="974"/>
        <item x="496"/>
        <item x="485"/>
        <item x="482"/>
        <item x="850"/>
        <item x="1164"/>
        <item x="397"/>
        <item x="226"/>
        <item x="1252"/>
        <item x="1136"/>
        <item x="1227"/>
        <item x="918"/>
        <item x="400"/>
        <item x="436"/>
        <item x="410"/>
        <item x="47"/>
        <item x="325"/>
        <item x="625"/>
        <item x="408"/>
        <item x="346"/>
        <item x="1239"/>
        <item x="1075"/>
        <item x="466"/>
        <item x="797"/>
        <item x="644"/>
        <item x="40"/>
        <item x="804"/>
        <item x="126"/>
        <item x="480"/>
        <item x="267"/>
        <item x="1145"/>
        <item x="192"/>
        <item x="547"/>
        <item x="486"/>
        <item x="399"/>
        <item x="151"/>
        <item x="155"/>
        <item x="1033"/>
        <item x="77"/>
        <item x="608"/>
        <item x="596"/>
        <item x="737"/>
        <item x="876"/>
        <item x="262"/>
        <item x="134"/>
        <item x="274"/>
        <item x="1117"/>
        <item x="157"/>
        <item x="93"/>
        <item x="703"/>
        <item x="171"/>
        <item x="1086"/>
        <item x="1103"/>
        <item x="1161"/>
        <item x="613"/>
        <item x="176"/>
        <item x="332"/>
        <item x="751"/>
        <item x="142"/>
        <item x="52"/>
        <item x="793"/>
        <item x="1037"/>
        <item x="946"/>
        <item x="189"/>
        <item x="158"/>
        <item x="131"/>
        <item x="1084"/>
        <item x="221"/>
        <item x="570"/>
        <item x="720"/>
        <item x="281"/>
        <item x="875"/>
        <item x="871"/>
        <item x="706"/>
        <item x="220"/>
        <item x="643"/>
        <item x="572"/>
        <item x="1230"/>
        <item x="1078"/>
        <item x="442"/>
        <item x="402"/>
        <item x="31"/>
        <item x="563"/>
        <item x="457"/>
        <item x="317"/>
        <item x="1096"/>
        <item x="1157"/>
        <item x="828"/>
        <item x="544"/>
        <item x="815"/>
        <item x="1064"/>
        <item x="744"/>
        <item x="734"/>
        <item x="1158"/>
        <item x="727"/>
        <item x="656"/>
        <item x="593"/>
        <item x="853"/>
        <item x="439"/>
        <item x="631"/>
        <item x="672"/>
        <item x="324"/>
        <item x="8"/>
        <item x="6"/>
        <item x="20"/>
        <item x="26"/>
        <item x="18"/>
        <item x="11"/>
        <item x="14"/>
        <item x="16"/>
        <item x="12"/>
        <item x="201"/>
        <item x="60"/>
        <item x="1001"/>
        <item x="1163"/>
        <item x="996"/>
        <item x="532"/>
        <item x="315"/>
        <item x="488"/>
        <item x="337"/>
        <item x="1099"/>
        <item x="373"/>
        <item x="248"/>
        <item x="185"/>
        <item x="1240"/>
        <item x="252"/>
        <item x="1187"/>
        <item x="1147"/>
        <item x="976"/>
        <item x="653"/>
        <item x="389"/>
        <item x="1162"/>
        <item x="498"/>
        <item x="810"/>
        <item x="511"/>
        <item x="565"/>
        <item x="1143"/>
        <item x="395"/>
        <item x="712"/>
        <item x="1098"/>
        <item x="414"/>
        <item x="236"/>
        <item x="1197"/>
        <item x="527"/>
        <item x="165"/>
        <item x="137"/>
        <item x="86"/>
        <item x="1050"/>
        <item x="1188"/>
        <item x="409"/>
        <item x="696"/>
        <item x="430"/>
        <item x="787"/>
        <item x="1236"/>
        <item x="925"/>
        <item x="312"/>
        <item x="230"/>
        <item x="923"/>
        <item x="474"/>
        <item x="724"/>
        <item x="711"/>
        <item x="335"/>
        <item x="678"/>
        <item x="882"/>
        <item x="1202"/>
        <item x="748"/>
        <item x="423"/>
        <item x="783"/>
        <item x="736"/>
        <item x="168"/>
        <item x="291"/>
        <item x="210"/>
        <item x="360"/>
        <item x="44"/>
        <item x="455"/>
        <item x="752"/>
        <item x="493"/>
        <item x="520"/>
        <item x="766"/>
        <item x="881"/>
        <item x="5"/>
        <item x="292"/>
        <item x="733"/>
        <item x="1109"/>
        <item x="895"/>
        <item x="152"/>
        <item x="205"/>
        <item x="187"/>
        <item x="700"/>
        <item x="1052"/>
        <item x="958"/>
        <item x="87"/>
        <item x="697"/>
        <item x="962"/>
        <item x="999"/>
        <item x="146"/>
        <item x="505"/>
        <item x="1186"/>
        <item x="774"/>
        <item x="956"/>
        <item x="308"/>
        <item x="739"/>
        <item x="341"/>
        <item x="771"/>
        <item x="590"/>
        <item x="822"/>
        <item x="1146"/>
        <item x="595"/>
        <item x="1039"/>
        <item x="854"/>
        <item x="732"/>
        <item x="166"/>
        <item x="469"/>
        <item x="513"/>
        <item x="859"/>
        <item x="1222"/>
        <item x="606"/>
        <item x="177"/>
        <item x="427"/>
        <item x="417"/>
        <item x="1002"/>
        <item x="1235"/>
        <item x="1031"/>
        <item x="96"/>
        <item x="618"/>
        <item x="684"/>
        <item x="263"/>
        <item x="99"/>
        <item x="197"/>
        <item x="731"/>
        <item x="1181"/>
        <item x="1074"/>
        <item x="969"/>
        <item x="786"/>
        <item x="1259"/>
        <item x="979"/>
        <item x="617"/>
        <item x="901"/>
        <item x="874"/>
        <item x="437"/>
        <item x="829"/>
        <item x="432"/>
        <item x="784"/>
        <item x="986"/>
        <item x="365"/>
        <item x="1010"/>
        <item x="808"/>
        <item x="475"/>
        <item x="118"/>
        <item x="708"/>
        <item x="869"/>
        <item x="542"/>
        <item x="1007"/>
        <item x="356"/>
        <item x="940"/>
        <item x="1265"/>
        <item x="947"/>
        <item x="975"/>
        <item x="777"/>
        <item x="573"/>
        <item x="272"/>
        <item x="1070"/>
        <item x="764"/>
        <item x="1206"/>
        <item x="864"/>
        <item x="824"/>
        <item x="1184"/>
        <item x="704"/>
        <item x="699"/>
        <item x="1237"/>
        <item x="646"/>
        <item x="1248"/>
        <item x="671"/>
        <item x="1165"/>
        <item x="1255"/>
        <item x="1076"/>
        <item x="1071"/>
        <item x="1244"/>
        <item x="203"/>
        <item x="396"/>
        <item x="843"/>
        <item x="1072"/>
        <item x="1044"/>
        <item x="716"/>
        <item x="451"/>
        <item x="62"/>
        <item x="1241"/>
        <item x="571"/>
        <item x="1036"/>
        <item x="561"/>
        <item x="611"/>
        <item x="855"/>
        <item x="227"/>
        <item x="614"/>
        <item x="164"/>
        <item x="290"/>
        <item x="95"/>
        <item x="154"/>
        <item x="981"/>
        <item x="564"/>
        <item x="528"/>
        <item x="894"/>
        <item x="1130"/>
        <item x="376"/>
        <item x="717"/>
        <item x="615"/>
        <item x="714"/>
        <item x="846"/>
        <item x="845"/>
        <item x="806"/>
        <item x="352"/>
        <item x="654"/>
        <item x="1009"/>
        <item x="1019"/>
        <item x="275"/>
        <item x="1247"/>
        <item x="1155"/>
        <item x="139"/>
        <item x="128"/>
        <item x="231"/>
        <item x="609"/>
        <item x="799"/>
        <item x="997"/>
        <item x="1231"/>
        <item x="347"/>
        <item x="619"/>
        <item x="788"/>
        <item x="467"/>
        <item x="729"/>
        <item x="545"/>
        <item x="519"/>
        <item x="452"/>
        <item x="785"/>
        <item x="749"/>
        <item x="621"/>
        <item x="510"/>
        <item x="358"/>
        <item x="851"/>
        <item x="676"/>
        <item x="150"/>
        <item x="425"/>
        <item x="560"/>
        <item x="1200"/>
        <item x="381"/>
        <item x="773"/>
        <item x="1178"/>
        <item x="113"/>
        <item x="801"/>
        <item x="338"/>
        <item x="82"/>
        <item x="181"/>
        <item x="244"/>
        <item x="1061"/>
        <item x="490"/>
        <item x="603"/>
        <item x="791"/>
        <item x="345"/>
        <item x="515"/>
        <item x="1177"/>
        <item x="955"/>
        <item x="858"/>
        <item x="770"/>
        <item x="1040"/>
        <item x="659"/>
        <item x="695"/>
        <item x="926"/>
        <item x="977"/>
        <item x="1263"/>
        <item x="500"/>
        <item x="663"/>
        <item x="662"/>
        <item x="1054"/>
        <item x="1017"/>
        <item x="41"/>
        <item x="313"/>
        <item x="46"/>
        <item x="557"/>
        <item x="506"/>
        <item x="867"/>
        <item x="156"/>
        <item x="789"/>
        <item x="537"/>
        <item x="655"/>
        <item x="344"/>
        <item x="349"/>
        <item x="108"/>
        <item x="800"/>
        <item x="803"/>
        <item x="472"/>
        <item x="660"/>
        <item x="730"/>
        <item x="114"/>
        <item x="754"/>
        <item x="1168"/>
        <item x="588"/>
        <item x="1080"/>
        <item x="809"/>
        <item x="229"/>
        <item x="998"/>
        <item x="683"/>
        <item x="215"/>
        <item x="978"/>
        <item x="1196"/>
        <item x="288"/>
        <item x="386"/>
        <item x="1041"/>
        <item x="441"/>
        <item x="235"/>
        <item x="295"/>
        <item x="890"/>
        <item x="42"/>
        <item x="38"/>
        <item x="941"/>
        <item x="15"/>
        <item x="29"/>
        <item x="25"/>
        <item x="19"/>
        <item x="1"/>
        <item x="838"/>
        <item x="526"/>
        <item x="626"/>
        <item x="798"/>
        <item x="193"/>
        <item x="443"/>
        <item x="1085"/>
        <item x="634"/>
        <item x="483"/>
        <item x="1185"/>
        <item x="1262"/>
        <item x="889"/>
        <item x="951"/>
        <item x="28"/>
        <item x="43"/>
        <item x="333"/>
        <item x="391"/>
        <item x="1246"/>
        <item x="818"/>
        <item x="502"/>
        <item x="509"/>
        <item x="612"/>
        <item x="492"/>
        <item x="524"/>
        <item x="909"/>
        <item x="650"/>
        <item x="1116"/>
        <item x="912"/>
        <item x="576"/>
        <item x="949"/>
        <item x="594"/>
        <item x="1131"/>
        <item x="1253"/>
        <item x="282"/>
        <item x="124"/>
        <item x="276"/>
        <item x="551"/>
        <item x="877"/>
        <item x="862"/>
        <item x="280"/>
        <item x="50"/>
        <item x="392"/>
        <item x="153"/>
        <item x="286"/>
        <item x="1190"/>
        <item x="438"/>
        <item x="494"/>
        <item x="404"/>
        <item x="123"/>
        <item x="964"/>
        <item x="778"/>
        <item x="1171"/>
        <item x="323"/>
        <item x="49"/>
        <item x="109"/>
        <item x="552"/>
        <item x="200"/>
        <item x="1159"/>
        <item x="117"/>
        <item x="232"/>
        <item x="398"/>
        <item x="689"/>
        <item x="1141"/>
        <item x="610"/>
        <item x="1015"/>
        <item x="884"/>
        <item x="111"/>
        <item x="225"/>
        <item x="120"/>
        <item x="856"/>
        <item x="311"/>
        <item x="179"/>
        <item x="184"/>
        <item x="553"/>
        <item x="58"/>
        <item x="421"/>
        <item x="1199"/>
        <item x="217"/>
        <item x="669"/>
        <item x="190"/>
        <item x="336"/>
        <item x="481"/>
        <item x="102"/>
        <item x="159"/>
        <item x="1120"/>
        <item x="919"/>
        <item x="1213"/>
        <item x="162"/>
        <item x="30"/>
        <item x="403"/>
        <item x="954"/>
        <item x="630"/>
        <item x="293"/>
        <item x="460"/>
        <item x="1028"/>
        <item x="1219"/>
        <item x="814"/>
        <item x="967"/>
        <item x="56"/>
        <item x="491"/>
        <item x="224"/>
        <item x="718"/>
        <item x="178"/>
        <item x="105"/>
        <item x="204"/>
        <item x="316"/>
        <item x="879"/>
        <item x="927"/>
        <item x="1003"/>
        <item x="821"/>
        <item x="194"/>
        <item x="279"/>
        <item x="81"/>
        <item x="303"/>
        <item x="415"/>
        <item x="584"/>
        <item x="905"/>
        <item x="300"/>
        <item x="80"/>
        <item x="1122"/>
        <item x="1205"/>
        <item x="1021"/>
        <item x="725"/>
        <item x="556"/>
        <item x="1134"/>
        <item x="681"/>
        <item x="188"/>
        <item x="562"/>
        <item x="903"/>
        <item x="518"/>
        <item x="1156"/>
        <item x="1046"/>
        <item x="707"/>
        <item x="722"/>
        <item x="89"/>
        <item x="642"/>
        <item x="304"/>
        <item x="1133"/>
        <item x="271"/>
        <item x="531"/>
        <item x="1170"/>
        <item x="807"/>
        <item x="930"/>
        <item x="1060"/>
        <item x="898"/>
        <item x="1094"/>
        <item x="558"/>
        <item x="971"/>
        <item x="530"/>
        <item x="1011"/>
        <item x="554"/>
        <item x="832"/>
        <item x="463"/>
        <item x="1067"/>
        <item x="1112"/>
        <item x="616"/>
        <item x="330"/>
        <item x="106"/>
        <item x="238"/>
        <item x="327"/>
        <item x="685"/>
        <item x="887"/>
        <item x="256"/>
        <item x="1073"/>
        <item x="1243"/>
        <item x="1089"/>
        <item x="379"/>
        <item x="1038"/>
        <item x="674"/>
        <item x="138"/>
        <item x="1176"/>
        <item x="686"/>
        <item x="1261"/>
        <item x="424"/>
        <item x="241"/>
        <item x="580"/>
        <item x="174"/>
        <item x="264"/>
        <item x="833"/>
        <item x="658"/>
        <item x="1208"/>
        <item x="817"/>
        <item x="1137"/>
        <item x="758"/>
        <item x="849"/>
        <item x="363"/>
        <item x="670"/>
        <item x="135"/>
        <item x="839"/>
        <item x="266"/>
        <item x="239"/>
        <item x="627"/>
        <item x="1203"/>
        <item x="32"/>
        <item x="1100"/>
        <item x="648"/>
        <item x="97"/>
        <item x="67"/>
        <item x="1211"/>
        <item x="1088"/>
        <item x="1029"/>
        <item x="169"/>
        <item x="1135"/>
        <item x="314"/>
        <item x="762"/>
        <item x="141"/>
        <item x="1124"/>
        <item x="790"/>
        <item x="568"/>
        <item x="1242"/>
        <item x="119"/>
        <item x="353"/>
        <item x="916"/>
        <item x="705"/>
        <item x="1140"/>
        <item x="756"/>
        <item x="897"/>
        <item x="1256"/>
        <item x="795"/>
        <item x="70"/>
        <item x="538"/>
        <item x="61"/>
        <item x="103"/>
        <item x="71"/>
        <item x="183"/>
        <item x="1077"/>
        <item x="1234"/>
        <item x="776"/>
        <item x="278"/>
        <item x="64"/>
        <item x="319"/>
        <item x="100"/>
        <item x="989"/>
        <item x="943"/>
        <item x="661"/>
        <item x="447"/>
        <item x="79"/>
        <item x="233"/>
        <item x="444"/>
        <item x="973"/>
        <item x="66"/>
        <item x="944"/>
        <item x="431"/>
        <item x="533"/>
        <item x="747"/>
        <item x="251"/>
        <item x="1062"/>
        <item x="84"/>
        <item x="834"/>
        <item x="479"/>
        <item x="445"/>
        <item x="1228"/>
        <item x="284"/>
        <item x="965"/>
        <item x="51"/>
        <item x="805"/>
        <item x="1214"/>
        <item x="950"/>
        <item x="715"/>
        <item x="757"/>
        <item x="393"/>
        <item x="768"/>
        <item x="931"/>
        <item x="508"/>
        <item x="567"/>
        <item x="649"/>
        <item x="775"/>
        <item x="917"/>
        <item x="932"/>
        <item x="180"/>
        <item x="446"/>
        <item x="1113"/>
        <item x="270"/>
        <item x="578"/>
        <item x="136"/>
        <item x="820"/>
        <item x="33"/>
        <item x="258"/>
        <item x="713"/>
        <item x="161"/>
        <item x="208"/>
        <item x="550"/>
        <item x="728"/>
        <item x="540"/>
        <item x="995"/>
        <item x="36"/>
        <item x="74"/>
        <item x="143"/>
        <item x="116"/>
        <item x="112"/>
        <item x="59"/>
        <item x="837"/>
        <item x="65"/>
        <item x="382"/>
        <item x="121"/>
        <item x="287"/>
        <item x="698"/>
        <item x="92"/>
        <item x="1092"/>
        <item x="378"/>
        <item x="740"/>
        <item x="796"/>
        <item x="260"/>
        <item x="868"/>
        <item x="870"/>
        <item x="759"/>
        <item x="1020"/>
        <item x="1229"/>
        <item x="1101"/>
        <item x="1232"/>
        <item x="826"/>
        <item x="196"/>
        <item x="55"/>
        <item x="48"/>
        <item x="54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pivotField showAll="0"/>
    <pivotField showAll="0"/>
    <pivotField dataField="1" showAll="0"/>
  </pivotFields>
  <rowFields count="1">
    <field x="0"/>
  </rowFields>
  <rowItems count="11">
    <i>
      <x v="124"/>
    </i>
    <i>
      <x v="123"/>
    </i>
    <i>
      <x v="369"/>
    </i>
    <i>
      <x v="897"/>
    </i>
    <i>
      <x v="143"/>
    </i>
    <i>
      <x v="1147"/>
    </i>
    <i>
      <x v="616"/>
    </i>
    <i>
      <x v="144"/>
    </i>
    <i>
      <x v="126"/>
    </i>
    <i>
      <x v="852"/>
    </i>
    <i t="grand">
      <x/>
    </i>
  </rowItems>
  <colItems count="1">
    <i/>
  </colItems>
  <dataFields count="1">
    <dataField name="Total Revenue" fld="9" baseField="0" baseItem="12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628E5B-B7FC-49F2-9421-09E7C7E22F9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E10" firstHeaderRow="1" firstDataRow="1" firstDataCol="1"/>
  <pivotFields count="10">
    <pivotField showAll="0"/>
    <pivotField showAll="0"/>
    <pivotField showAll="0"/>
    <pivotField showAll="0"/>
    <pivotField showAll="0"/>
    <pivotField showAll="0"/>
    <pivotField numFmtId="14" showAll="0">
      <items count="8">
        <item x="1"/>
        <item x="0"/>
        <item x="3"/>
        <item x="6"/>
        <item x="5"/>
        <item x="4"/>
        <item x="2"/>
        <item t="default"/>
      </items>
    </pivotField>
    <pivotField axis="axisRow" showAll="0">
      <items count="8">
        <item x="6"/>
        <item x="3"/>
        <item x="5"/>
        <item x="2"/>
        <item x="0"/>
        <item x="4"/>
        <item x="1"/>
        <item t="default"/>
      </items>
    </pivotField>
    <pivotField showAll="0"/>
    <pivotField dataField="1" showAll="0"/>
  </pivotFields>
  <rowFields count="1">
    <field x="7"/>
  </rowFields>
  <rowItems count="8">
    <i>
      <x/>
    </i>
    <i>
      <x v="1"/>
    </i>
    <i>
      <x v="2"/>
    </i>
    <i>
      <x v="3"/>
    </i>
    <i>
      <x v="4"/>
    </i>
    <i>
      <x v="5"/>
    </i>
    <i>
      <x v="6"/>
    </i>
    <i t="grand">
      <x/>
    </i>
  </rowItems>
  <colItems count="1">
    <i/>
  </colItems>
  <dataFields count="1">
    <dataField name="Total Revenue" fld="9" baseField="7"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F46269-9628-464E-99D4-6BE435532C2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10" firstHeaderRow="1" firstDataRow="1" firstDataCol="1"/>
  <pivotFields count="10">
    <pivotField showAll="0"/>
    <pivotField showAll="0"/>
    <pivotField showAll="0"/>
    <pivotField showAll="0"/>
    <pivotField showAll="0"/>
    <pivotField showAll="0"/>
    <pivotField axis="axisRow" numFmtId="14" showAll="0">
      <items count="8">
        <item x="1"/>
        <item x="0"/>
        <item x="3"/>
        <item x="6"/>
        <item x="5"/>
        <item x="4"/>
        <item x="2"/>
        <item t="default"/>
      </items>
    </pivotField>
    <pivotField showAll="0">
      <items count="8">
        <item x="6"/>
        <item x="3"/>
        <item x="5"/>
        <item x="2"/>
        <item x="0"/>
        <item x="4"/>
        <item x="1"/>
        <item t="default"/>
      </items>
    </pivotField>
    <pivotField showAll="0"/>
    <pivotField dataField="1" showAll="0"/>
  </pivotFields>
  <rowFields count="1">
    <field x="6"/>
  </rowFields>
  <rowItems count="8">
    <i>
      <x/>
    </i>
    <i>
      <x v="1"/>
    </i>
    <i>
      <x v="2"/>
    </i>
    <i>
      <x v="3"/>
    </i>
    <i>
      <x v="4"/>
    </i>
    <i>
      <x v="5"/>
    </i>
    <i>
      <x v="6"/>
    </i>
    <i t="grand">
      <x/>
    </i>
  </rowItems>
  <colItems count="1">
    <i/>
  </colItems>
  <dataFields count="1">
    <dataField name="Total Revenue" fld="9" baseField="6"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32B1124-5375-4FE7-9EE4-7C831ECEACE5}"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6:E24" firstHeaderRow="1" firstDataRow="1" firstDataCol="1"/>
  <pivotFields count="10">
    <pivotField showAll="0"/>
    <pivotField showAll="0"/>
    <pivotField showAll="0"/>
    <pivotField dataField="1" showAll="0"/>
    <pivotField showAll="0"/>
    <pivotField showAll="0"/>
    <pivotField axis="axisRow" numFmtId="14" showAll="0" sortType="ascending">
      <items count="8">
        <item x="1"/>
        <item x="0"/>
        <item x="3"/>
        <item x="6"/>
        <item x="5"/>
        <item x="4"/>
        <item x="2"/>
        <item t="default"/>
      </items>
    </pivotField>
    <pivotField showAll="0">
      <items count="8">
        <item x="6"/>
        <item x="3"/>
        <item x="5"/>
        <item x="2"/>
        <item x="0"/>
        <item x="4"/>
        <item x="1"/>
        <item t="default"/>
      </items>
    </pivotField>
    <pivotField showAll="0"/>
    <pivotField showAll="0"/>
  </pivotFields>
  <rowFields count="1">
    <field x="6"/>
  </rowFields>
  <rowItems count="8">
    <i>
      <x/>
    </i>
    <i>
      <x v="1"/>
    </i>
    <i>
      <x v="2"/>
    </i>
    <i>
      <x v="3"/>
    </i>
    <i>
      <x v="4"/>
    </i>
    <i>
      <x v="5"/>
    </i>
    <i>
      <x v="6"/>
    </i>
    <i t="grand">
      <x/>
    </i>
  </rowItems>
  <colItems count="1">
    <i/>
  </colItems>
  <dataFields count="1">
    <dataField name="Total Units" fld="3" baseField="6" baseItem="0"/>
  </dataFields>
  <chartFormats count="9">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6" count="1" selected="0">
            <x v="0"/>
          </reference>
        </references>
      </pivotArea>
    </chartFormat>
    <chartFormat chart="4" format="11">
      <pivotArea type="data" outline="0" fieldPosition="0">
        <references count="2">
          <reference field="4294967294" count="1" selected="0">
            <x v="0"/>
          </reference>
          <reference field="6" count="1" selected="0">
            <x v="1"/>
          </reference>
        </references>
      </pivotArea>
    </chartFormat>
    <chartFormat chart="4" format="12">
      <pivotArea type="data" outline="0" fieldPosition="0">
        <references count="2">
          <reference field="4294967294" count="1" selected="0">
            <x v="0"/>
          </reference>
          <reference field="6" count="1" selected="0">
            <x v="2"/>
          </reference>
        </references>
      </pivotArea>
    </chartFormat>
    <chartFormat chart="4" format="13">
      <pivotArea type="data" outline="0" fieldPosition="0">
        <references count="2">
          <reference field="4294967294" count="1" selected="0">
            <x v="0"/>
          </reference>
          <reference field="6" count="1" selected="0">
            <x v="3"/>
          </reference>
        </references>
      </pivotArea>
    </chartFormat>
    <chartFormat chart="4" format="14">
      <pivotArea type="data" outline="0" fieldPosition="0">
        <references count="2">
          <reference field="4294967294" count="1" selected="0">
            <x v="0"/>
          </reference>
          <reference field="6" count="1" selected="0">
            <x v="4"/>
          </reference>
        </references>
      </pivotArea>
    </chartFormat>
    <chartFormat chart="4" format="15">
      <pivotArea type="data" outline="0" fieldPosition="0">
        <references count="2">
          <reference field="4294967294" count="1" selected="0">
            <x v="0"/>
          </reference>
          <reference field="6" count="1" selected="0">
            <x v="5"/>
          </reference>
        </references>
      </pivotArea>
    </chartFormat>
    <chartFormat chart="4" format="16">
      <pivotArea type="data" outline="0" fieldPosition="0">
        <references count="2">
          <reference field="4294967294" count="1" selected="0">
            <x v="0"/>
          </reference>
          <reference field="6" count="1" selected="0">
            <x v="6"/>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4096C465-5736-4C7D-AB43-D490ED5768CD}" sourceName="Day">
  <pivotTables>
    <pivotTable tabId="6" name="PivotTable3"/>
    <pivotTable tabId="6" name="PivotTable1"/>
    <pivotTable tabId="6" name="PivotTable2"/>
  </pivotTables>
  <data>
    <tabular pivotCacheId="232356871">
      <items count="7">
        <i x="6" s="1"/>
        <i x="3" s="1"/>
        <i x="5" s="1"/>
        <i x="2" s="1"/>
        <i x="0"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1F466A89-2CA4-482F-886A-23A8E540BECB}" sourceName="Date">
  <pivotTables>
    <pivotTable tabId="6" name="PivotTable5"/>
    <pivotTable tabId="6" name="PivotTable1"/>
    <pivotTable tabId="6" name="PivotTable2"/>
    <pivotTable tabId="6" name="PivotTable3"/>
  </pivotTables>
  <data>
    <tabular pivotCacheId="232356871">
      <items count="7">
        <i x="1" s="1"/>
        <i x="0" s="1"/>
        <i x="3" s="1"/>
        <i x="6" s="1"/>
        <i x="5"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ntory_Status" xr10:uid="{72488320-6EA6-4728-8CDA-55E14D64E3AB}" sourceName="[Table1].[Inventory Status]">
  <pivotTables>
    <pivotTable tabId="8" name="PivotTable4"/>
    <pivotTable tabId="8" name="PivotTable7"/>
    <pivotTable tabId="8" name="PivotTable8"/>
  </pivotTables>
  <data>
    <olap pivotCacheId="1074717722">
      <levels count="2">
        <level uniqueName="[Table1].[Inventory Status].[(All)]" sourceCaption="(All)" count="0"/>
        <level uniqueName="[Table1].[Inventory Status].[Inventory Status]" sourceCaption="Inventory Status" count="2">
          <ranges>
            <range startItem="0">
              <i n="[Table1].[Inventory Status].&amp;[Low Stock]" c="Low Stock"/>
              <i n="[Table1].[Inventory Status].&amp;[OK]" c="OK"/>
            </range>
          </ranges>
        </level>
      </levels>
      <selections count="1">
        <selection n="[Table1].[Inventory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5734F89E-C64D-4C13-B8E6-361C1F4CA012}" cache="Slicer_Day" caption="Day" style="SlicerStyleOther2" rowHeight="432000"/>
  <slicer name="Date" xr10:uid="{A77CD84E-C7FA-4FCF-8FF9-C74B50EAD3D7}" cache="Slicer_Date" caption="Date" style="SlicerStyleOther2" rowHeight="432000"/>
  <slicer name="Inventory Status" xr10:uid="{D077AEA9-8F81-4DE5-833E-0235FA4236D9}" cache="Slicer_Inventory_Status" caption="Inventory Status" level="1" style="SlicerStyleOther2"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BA5D81-4679-4CE5-BD57-EF31812BC853}" name="Table1" displayName="Table1" ref="A1:L1270" totalsRowShown="0" headerRowDxfId="16" tableBorderDxfId="15">
  <autoFilter ref="A1:L1270" xr:uid="{DABA5D81-4679-4CE5-BD57-EF31812BC853}"/>
  <tableColumns count="12">
    <tableColumn id="1" xr3:uid="{E5C4D001-819B-4F28-B417-1058DA31EB21}" name="Item Name" dataDxfId="14"/>
    <tableColumn id="2" xr3:uid="{AF2A63DB-7607-48F5-B806-2E6B213F9AE8}" name="Stock" dataDxfId="13"/>
    <tableColumn id="3" xr3:uid="{E44F5A52-5E4C-4ECF-820C-91A8A034F202}" name="Stock Days" dataDxfId="12"/>
    <tableColumn id="4" xr3:uid="{7F5429A7-2319-4058-A523-CE63AAF77AFD}" name="Sale" dataDxfId="11"/>
    <tableColumn id="5" xr3:uid="{0F38C002-FEA5-4ABA-8C2E-98FAE4CD6788}" name="No of Tran" dataDxfId="10"/>
    <tableColumn id="6" xr3:uid="{200C26EF-DF83-47DA-B890-50C672F53B55}" name="Days Tran" dataDxfId="9"/>
    <tableColumn id="7" xr3:uid="{FF18F838-01B5-4680-B1FF-FB6E8AA4BB7F}" name="Date" dataDxfId="8"/>
    <tableColumn id="15" xr3:uid="{92BD9B63-3863-4121-9AAC-C1DDA7986069}" name="Column1" dataDxfId="7">
      <calculatedColumnFormula>TEXT(G2,"dddd")</calculatedColumnFormula>
    </tableColumn>
    <tableColumn id="9" xr3:uid="{02D5E5DB-B646-4B1C-BADF-E4CBC6BCCAC2}" name="MRP" dataDxfId="6"/>
    <tableColumn id="14" xr3:uid="{E5F72E09-BF02-4999-9071-BD91BC3F7914}" name="Revenue" dataDxfId="5">
      <calculatedColumnFormula>D2*I2</calculatedColumnFormula>
    </tableColumn>
    <tableColumn id="11" xr3:uid="{7AAEF792-244D-459B-9F64-A2461C55C470}" name="Clean Stock" dataDxfId="4">
      <calculatedColumnFormula>IF(B2&lt;0,0,B2)</calculatedColumnFormula>
    </tableColumn>
    <tableColumn id="12" xr3:uid="{97B217D6-383F-4222-9F4B-53E3355CBAFA}" name="Inventory Status" dataDxfId="3">
      <calculatedColumnFormula>IF(K2&lt;5,"Low Stock","OK")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5517B-51E8-4B0E-AC7F-AEF6734BB574}">
  <sheetPr codeName="Sheet1"/>
  <dimension ref="A3:B23"/>
  <sheetViews>
    <sheetView workbookViewId="0">
      <selection activeCell="A21" sqref="A21"/>
    </sheetView>
  </sheetViews>
  <sheetFormatPr defaultRowHeight="14.25" x14ac:dyDescent="0.45"/>
  <cols>
    <col min="1" max="1" width="30.1328125" bestFit="1" customWidth="1"/>
    <col min="2" max="2" width="10.265625" bestFit="1" customWidth="1"/>
  </cols>
  <sheetData>
    <row r="3" spans="1:2" x14ac:dyDescent="0.45">
      <c r="A3" s="1" t="s">
        <v>1271</v>
      </c>
      <c r="B3" t="s">
        <v>1273</v>
      </c>
    </row>
    <row r="4" spans="1:2" x14ac:dyDescent="0.45">
      <c r="A4" s="2" t="s">
        <v>501</v>
      </c>
      <c r="B4">
        <v>52495</v>
      </c>
    </row>
    <row r="5" spans="1:2" x14ac:dyDescent="0.45">
      <c r="A5" s="2" t="s">
        <v>522</v>
      </c>
      <c r="B5">
        <v>1200</v>
      </c>
    </row>
    <row r="6" spans="1:2" x14ac:dyDescent="0.45">
      <c r="A6" s="2" t="s">
        <v>510</v>
      </c>
      <c r="B6">
        <v>1920</v>
      </c>
    </row>
    <row r="7" spans="1:2" x14ac:dyDescent="0.45">
      <c r="A7" s="2" t="s">
        <v>952</v>
      </c>
      <c r="B7">
        <v>720</v>
      </c>
    </row>
    <row r="8" spans="1:2" x14ac:dyDescent="0.45">
      <c r="A8" s="2" t="s">
        <v>507</v>
      </c>
      <c r="B8">
        <v>1020</v>
      </c>
    </row>
    <row r="9" spans="1:2" x14ac:dyDescent="0.45">
      <c r="A9" s="2" t="s">
        <v>715</v>
      </c>
      <c r="B9">
        <v>1020</v>
      </c>
    </row>
    <row r="10" spans="1:2" x14ac:dyDescent="0.45">
      <c r="A10" s="2" t="s">
        <v>503</v>
      </c>
      <c r="B10">
        <v>790</v>
      </c>
    </row>
    <row r="11" spans="1:2" x14ac:dyDescent="0.45">
      <c r="A11" s="2" t="s">
        <v>721</v>
      </c>
      <c r="B11">
        <v>654</v>
      </c>
    </row>
    <row r="12" spans="1:2" x14ac:dyDescent="0.45">
      <c r="A12" s="2" t="s">
        <v>515</v>
      </c>
      <c r="B12">
        <v>600</v>
      </c>
    </row>
    <row r="13" spans="1:2" x14ac:dyDescent="0.45">
      <c r="A13" s="2" t="s">
        <v>199</v>
      </c>
      <c r="B13">
        <v>854</v>
      </c>
    </row>
    <row r="14" spans="1:2" x14ac:dyDescent="0.45">
      <c r="A14" s="2" t="s">
        <v>1272</v>
      </c>
      <c r="B14">
        <v>61273</v>
      </c>
    </row>
    <row r="22" spans="1:2" x14ac:dyDescent="0.45">
      <c r="A22" s="3"/>
    </row>
    <row r="23" spans="1:2" x14ac:dyDescent="0.45">
      <c r="A23" s="3"/>
      <c r="B23" s="4"/>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0BC9F-AD5C-4F68-90F4-D6F05DDCA5F4}">
  <sheetPr codeName="Sheet2"/>
  <dimension ref="A3:B14"/>
  <sheetViews>
    <sheetView workbookViewId="0">
      <selection activeCell="F20" sqref="F20"/>
    </sheetView>
  </sheetViews>
  <sheetFormatPr defaultRowHeight="14.25" x14ac:dyDescent="0.45"/>
  <cols>
    <col min="1" max="1" width="30.1328125" bestFit="1" customWidth="1"/>
    <col min="2" max="2" width="10.265625" bestFit="1" customWidth="1"/>
  </cols>
  <sheetData>
    <row r="3" spans="1:2" x14ac:dyDescent="0.45">
      <c r="A3" s="1" t="s">
        <v>1271</v>
      </c>
      <c r="B3" t="s">
        <v>1273</v>
      </c>
    </row>
    <row r="4" spans="1:2" x14ac:dyDescent="0.45">
      <c r="A4" s="2" t="s">
        <v>510</v>
      </c>
      <c r="B4">
        <v>1920</v>
      </c>
    </row>
    <row r="5" spans="1:2" x14ac:dyDescent="0.45">
      <c r="A5" s="2" t="s">
        <v>522</v>
      </c>
      <c r="B5">
        <v>1200</v>
      </c>
    </row>
    <row r="6" spans="1:2" x14ac:dyDescent="0.45">
      <c r="A6" s="2" t="s">
        <v>715</v>
      </c>
      <c r="B6">
        <v>1020</v>
      </c>
    </row>
    <row r="7" spans="1:2" x14ac:dyDescent="0.45">
      <c r="A7" s="2" t="s">
        <v>507</v>
      </c>
      <c r="B7">
        <v>1020</v>
      </c>
    </row>
    <row r="8" spans="1:2" x14ac:dyDescent="0.45">
      <c r="A8" s="2" t="s">
        <v>199</v>
      </c>
      <c r="B8">
        <v>854</v>
      </c>
    </row>
    <row r="9" spans="1:2" x14ac:dyDescent="0.45">
      <c r="A9" s="2" t="s">
        <v>503</v>
      </c>
      <c r="B9">
        <v>790</v>
      </c>
    </row>
    <row r="10" spans="1:2" x14ac:dyDescent="0.45">
      <c r="A10" s="2" t="s">
        <v>952</v>
      </c>
      <c r="B10">
        <v>720</v>
      </c>
    </row>
    <row r="11" spans="1:2" x14ac:dyDescent="0.45">
      <c r="A11" s="2" t="s">
        <v>721</v>
      </c>
      <c r="B11">
        <v>654</v>
      </c>
    </row>
    <row r="12" spans="1:2" x14ac:dyDescent="0.45">
      <c r="A12" s="2" t="s">
        <v>515</v>
      </c>
      <c r="B12">
        <v>600</v>
      </c>
    </row>
    <row r="13" spans="1:2" x14ac:dyDescent="0.45">
      <c r="A13" s="2" t="s">
        <v>739</v>
      </c>
      <c r="B13">
        <v>580</v>
      </c>
    </row>
    <row r="14" spans="1:2" x14ac:dyDescent="0.45">
      <c r="A14" s="2" t="s">
        <v>742</v>
      </c>
      <c r="B14">
        <v>580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7ABCA-E6D6-4B5D-A167-FA966F6E078A}">
  <sheetPr codeName="Sheet6">
    <tabColor rgb="FF2E86C1"/>
  </sheetPr>
  <dimension ref="A1:O1270"/>
  <sheetViews>
    <sheetView topLeftCell="B1" zoomScaleNormal="100" workbookViewId="0">
      <selection activeCell="H20" sqref="H20"/>
    </sheetView>
  </sheetViews>
  <sheetFormatPr defaultRowHeight="14.25" x14ac:dyDescent="0.45"/>
  <cols>
    <col min="1" max="1" width="39.19921875" bestFit="1" customWidth="1"/>
    <col min="2" max="2" width="7.33203125" style="9" bestFit="1" customWidth="1"/>
    <col min="3" max="3" width="11.6640625" style="9" bestFit="1" customWidth="1"/>
    <col min="4" max="4" width="6.265625" style="9" bestFit="1" customWidth="1"/>
    <col min="5" max="5" width="11.46484375" style="9" bestFit="1" customWidth="1"/>
    <col min="6" max="6" width="10.86328125" style="9" bestFit="1" customWidth="1"/>
    <col min="7" max="7" width="9.9296875" style="9" bestFit="1" customWidth="1"/>
    <col min="8" max="8" width="9.9296875" style="9" customWidth="1"/>
    <col min="9" max="10" width="11.33203125" style="9" customWidth="1"/>
    <col min="11" max="11" width="14.46484375" bestFit="1" customWidth="1"/>
    <col min="12" max="12" width="18.6640625" bestFit="1" customWidth="1"/>
    <col min="15" max="15" width="13.59765625" bestFit="1" customWidth="1"/>
  </cols>
  <sheetData>
    <row r="1" spans="1:15" x14ac:dyDescent="0.45">
      <c r="A1" s="19" t="s">
        <v>0</v>
      </c>
      <c r="B1" s="5" t="s">
        <v>1</v>
      </c>
      <c r="C1" s="5" t="s">
        <v>2</v>
      </c>
      <c r="D1" s="5" t="s">
        <v>3</v>
      </c>
      <c r="E1" s="5" t="s">
        <v>4</v>
      </c>
      <c r="F1" s="5" t="s">
        <v>5</v>
      </c>
      <c r="G1" s="5" t="s">
        <v>1281</v>
      </c>
      <c r="H1" s="5" t="s">
        <v>1288</v>
      </c>
      <c r="I1" s="10" t="s">
        <v>1282</v>
      </c>
      <c r="J1" s="14" t="s">
        <v>1283</v>
      </c>
      <c r="K1" s="14" t="s">
        <v>1286</v>
      </c>
      <c r="L1" s="14" t="s">
        <v>1287</v>
      </c>
    </row>
    <row r="2" spans="1:15" x14ac:dyDescent="0.45">
      <c r="A2" s="20" t="s">
        <v>763</v>
      </c>
      <c r="B2" s="6">
        <v>4</v>
      </c>
      <c r="C2" s="6">
        <v>24</v>
      </c>
      <c r="D2" s="6">
        <v>5</v>
      </c>
      <c r="E2" s="6">
        <v>5</v>
      </c>
      <c r="F2" s="6">
        <v>5</v>
      </c>
      <c r="G2" s="15">
        <v>46083</v>
      </c>
      <c r="H2" s="15" t="str">
        <f>TEXT(G2,"dddd")</f>
        <v>Monday</v>
      </c>
      <c r="I2" s="11">
        <v>617</v>
      </c>
      <c r="J2" s="24">
        <f t="shared" ref="J2:J65" si="0">D2*I2</f>
        <v>3085</v>
      </c>
      <c r="K2" s="23">
        <f t="shared" ref="K2:K65" si="1">IF(B2&lt;0,0,B2)</f>
        <v>4</v>
      </c>
      <c r="L2" t="str">
        <f t="shared" ref="L2:L65" si="2">IF(K2&lt;5,"Low Stock","OK")</f>
        <v>Low Stock</v>
      </c>
    </row>
    <row r="3" spans="1:15" x14ac:dyDescent="0.45">
      <c r="A3" s="21" t="s">
        <v>723</v>
      </c>
      <c r="B3" s="7">
        <v>8</v>
      </c>
      <c r="C3" s="7">
        <v>24</v>
      </c>
      <c r="D3" s="7">
        <v>10</v>
      </c>
      <c r="E3" s="7">
        <v>8</v>
      </c>
      <c r="F3" s="7">
        <v>7</v>
      </c>
      <c r="G3" s="16">
        <v>46082</v>
      </c>
      <c r="H3" s="16" t="str">
        <f t="shared" ref="H3:H65" si="3">TEXT(G3,"dddd")</f>
        <v>Sunday</v>
      </c>
      <c r="I3" s="12">
        <v>448</v>
      </c>
      <c r="J3" s="9">
        <f t="shared" si="0"/>
        <v>4480</v>
      </c>
      <c r="K3">
        <f t="shared" si="1"/>
        <v>8</v>
      </c>
      <c r="L3" t="str">
        <f t="shared" si="2"/>
        <v>OK</v>
      </c>
      <c r="O3">
        <f>SUM(D2:D1270)</f>
        <v>52495</v>
      </c>
    </row>
    <row r="4" spans="1:15" x14ac:dyDescent="0.45">
      <c r="A4" s="20" t="s">
        <v>948</v>
      </c>
      <c r="B4" s="6">
        <v>1</v>
      </c>
      <c r="C4" s="6">
        <v>30</v>
      </c>
      <c r="D4" s="6">
        <v>1</v>
      </c>
      <c r="E4" s="6">
        <v>1</v>
      </c>
      <c r="F4" s="6">
        <v>1</v>
      </c>
      <c r="G4" s="15">
        <v>46088</v>
      </c>
      <c r="H4" s="15" t="str">
        <f t="shared" si="3"/>
        <v>Saturday</v>
      </c>
      <c r="I4" s="11">
        <v>585</v>
      </c>
      <c r="J4" s="24">
        <f t="shared" si="0"/>
        <v>585</v>
      </c>
      <c r="K4">
        <f t="shared" si="1"/>
        <v>1</v>
      </c>
      <c r="L4" t="str">
        <f t="shared" si="2"/>
        <v>Low Stock</v>
      </c>
      <c r="O4" s="26">
        <f>SUM(J2:J1270)</f>
        <v>5920739</v>
      </c>
    </row>
    <row r="5" spans="1:15" x14ac:dyDescent="0.45">
      <c r="A5" s="21" t="s">
        <v>173</v>
      </c>
      <c r="B5" s="7">
        <v>-1</v>
      </c>
      <c r="C5" s="7">
        <v>0</v>
      </c>
      <c r="D5" s="7">
        <v>2</v>
      </c>
      <c r="E5" s="7">
        <v>2</v>
      </c>
      <c r="F5" s="7">
        <v>2</v>
      </c>
      <c r="G5" s="16">
        <v>46083</v>
      </c>
      <c r="H5" s="16" t="str">
        <f t="shared" si="3"/>
        <v>Monday</v>
      </c>
      <c r="I5" s="12">
        <v>372</v>
      </c>
      <c r="J5" s="9">
        <f t="shared" si="0"/>
        <v>744</v>
      </c>
      <c r="K5">
        <f t="shared" si="1"/>
        <v>0</v>
      </c>
      <c r="L5" t="str">
        <f t="shared" si="2"/>
        <v>Low Stock</v>
      </c>
      <c r="O5" s="25">
        <f>AVERAGE(J2:J1270)</f>
        <v>4665.672970843184</v>
      </c>
    </row>
    <row r="6" spans="1:15" x14ac:dyDescent="0.45">
      <c r="A6" s="20" t="s">
        <v>27</v>
      </c>
      <c r="B6" s="6">
        <v>-5</v>
      </c>
      <c r="C6" s="6">
        <v>0</v>
      </c>
      <c r="D6" s="6">
        <v>3</v>
      </c>
      <c r="E6" s="6">
        <v>2</v>
      </c>
      <c r="F6" s="6">
        <v>2</v>
      </c>
      <c r="G6" s="15">
        <v>46082</v>
      </c>
      <c r="H6" s="15" t="str">
        <f t="shared" si="3"/>
        <v>Sunday</v>
      </c>
      <c r="I6" s="11">
        <v>455</v>
      </c>
      <c r="J6" s="24">
        <f t="shared" si="0"/>
        <v>1365</v>
      </c>
      <c r="K6">
        <f t="shared" si="1"/>
        <v>0</v>
      </c>
      <c r="L6" t="str">
        <f t="shared" si="2"/>
        <v>Low Stock</v>
      </c>
    </row>
    <row r="7" spans="1:15" x14ac:dyDescent="0.45">
      <c r="A7" s="21" t="s">
        <v>493</v>
      </c>
      <c r="B7" s="7">
        <v>-26</v>
      </c>
      <c r="C7" s="7">
        <v>0</v>
      </c>
      <c r="D7" s="7">
        <v>3</v>
      </c>
      <c r="E7" s="7">
        <v>2</v>
      </c>
      <c r="F7" s="7">
        <v>2</v>
      </c>
      <c r="G7" s="16">
        <v>46088</v>
      </c>
      <c r="H7" s="16" t="str">
        <f t="shared" si="3"/>
        <v>Saturday</v>
      </c>
      <c r="I7" s="12">
        <v>619</v>
      </c>
      <c r="J7" s="9">
        <f t="shared" si="0"/>
        <v>1857</v>
      </c>
      <c r="K7">
        <f t="shared" si="1"/>
        <v>0</v>
      </c>
      <c r="L7" t="str">
        <f t="shared" si="2"/>
        <v>Low Stock</v>
      </c>
    </row>
    <row r="8" spans="1:15" x14ac:dyDescent="0.45">
      <c r="A8" s="20" t="s">
        <v>814</v>
      </c>
      <c r="B8" s="6">
        <v>2</v>
      </c>
      <c r="C8" s="6">
        <v>20</v>
      </c>
      <c r="D8" s="6">
        <v>3</v>
      </c>
      <c r="E8" s="6">
        <v>2</v>
      </c>
      <c r="F8" s="6">
        <v>2</v>
      </c>
      <c r="G8" s="15">
        <v>46084</v>
      </c>
      <c r="H8" s="15" t="str">
        <f t="shared" si="3"/>
        <v>Tuesday</v>
      </c>
      <c r="I8" s="11">
        <v>370</v>
      </c>
      <c r="J8" s="24">
        <f t="shared" si="0"/>
        <v>1110</v>
      </c>
      <c r="K8">
        <f t="shared" si="1"/>
        <v>2</v>
      </c>
      <c r="L8" t="str">
        <f t="shared" si="2"/>
        <v>Low Stock</v>
      </c>
    </row>
    <row r="9" spans="1:15" x14ac:dyDescent="0.45">
      <c r="A9" s="21" t="s">
        <v>712</v>
      </c>
      <c r="B9" s="7">
        <v>12</v>
      </c>
      <c r="C9" s="7">
        <v>22</v>
      </c>
      <c r="D9" s="7">
        <v>16</v>
      </c>
      <c r="E9" s="7">
        <v>12</v>
      </c>
      <c r="F9" s="7">
        <v>9</v>
      </c>
      <c r="G9" s="16">
        <v>46087</v>
      </c>
      <c r="H9" s="16" t="str">
        <f t="shared" si="3"/>
        <v>Friday</v>
      </c>
      <c r="I9" s="12">
        <v>421</v>
      </c>
      <c r="J9" s="9">
        <f t="shared" si="0"/>
        <v>6736</v>
      </c>
      <c r="K9">
        <f t="shared" si="1"/>
        <v>12</v>
      </c>
      <c r="L9" t="str">
        <f t="shared" si="2"/>
        <v>OK</v>
      </c>
    </row>
    <row r="10" spans="1:15" x14ac:dyDescent="0.45">
      <c r="A10" s="20" t="s">
        <v>6</v>
      </c>
      <c r="B10" s="6">
        <v>3</v>
      </c>
      <c r="C10" s="6">
        <v>4</v>
      </c>
      <c r="D10" s="6">
        <v>19</v>
      </c>
      <c r="E10" s="6">
        <v>16</v>
      </c>
      <c r="F10" s="6">
        <v>12</v>
      </c>
      <c r="G10" s="15">
        <v>46082</v>
      </c>
      <c r="H10" s="15" t="str">
        <f t="shared" si="3"/>
        <v>Sunday</v>
      </c>
      <c r="I10" s="11">
        <v>545</v>
      </c>
      <c r="J10" s="24">
        <f t="shared" si="0"/>
        <v>10355</v>
      </c>
      <c r="K10">
        <f t="shared" si="1"/>
        <v>3</v>
      </c>
      <c r="L10" t="str">
        <f t="shared" si="2"/>
        <v>Low Stock</v>
      </c>
    </row>
    <row r="11" spans="1:15" x14ac:dyDescent="0.45">
      <c r="A11" s="21" t="s">
        <v>95</v>
      </c>
      <c r="B11" s="7">
        <v>-1</v>
      </c>
      <c r="C11" s="7">
        <v>0</v>
      </c>
      <c r="D11" s="7">
        <v>1</v>
      </c>
      <c r="E11" s="7">
        <v>1</v>
      </c>
      <c r="F11" s="7">
        <v>1</v>
      </c>
      <c r="G11" s="16">
        <v>46084</v>
      </c>
      <c r="H11" s="16" t="str">
        <f t="shared" si="3"/>
        <v>Tuesday</v>
      </c>
      <c r="I11" s="12">
        <v>347</v>
      </c>
      <c r="J11" s="9">
        <f t="shared" si="0"/>
        <v>347</v>
      </c>
      <c r="K11">
        <f t="shared" si="1"/>
        <v>0</v>
      </c>
      <c r="L11" t="str">
        <f t="shared" si="2"/>
        <v>Low Stock</v>
      </c>
    </row>
    <row r="12" spans="1:15" x14ac:dyDescent="0.45">
      <c r="A12" s="20" t="s">
        <v>740</v>
      </c>
      <c r="B12" s="6">
        <v>2</v>
      </c>
      <c r="C12" s="6">
        <v>30</v>
      </c>
      <c r="D12" s="6">
        <v>2</v>
      </c>
      <c r="E12" s="6">
        <v>2</v>
      </c>
      <c r="F12" s="6">
        <v>2</v>
      </c>
      <c r="G12" s="15">
        <v>46082</v>
      </c>
      <c r="H12" s="15" t="str">
        <f t="shared" si="3"/>
        <v>Sunday</v>
      </c>
      <c r="I12" s="11">
        <v>598</v>
      </c>
      <c r="J12" s="24">
        <f t="shared" si="0"/>
        <v>1196</v>
      </c>
      <c r="K12">
        <f t="shared" si="1"/>
        <v>2</v>
      </c>
      <c r="L12" t="str">
        <f t="shared" si="2"/>
        <v>Low Stock</v>
      </c>
    </row>
    <row r="13" spans="1:15" x14ac:dyDescent="0.45">
      <c r="A13" s="21" t="s">
        <v>11</v>
      </c>
      <c r="B13" s="7">
        <v>-1</v>
      </c>
      <c r="C13" s="7">
        <v>0</v>
      </c>
      <c r="D13" s="7">
        <v>4</v>
      </c>
      <c r="E13" s="7">
        <v>4</v>
      </c>
      <c r="F13" s="7">
        <v>4</v>
      </c>
      <c r="G13" s="16">
        <v>46086</v>
      </c>
      <c r="H13" s="16" t="str">
        <f t="shared" si="3"/>
        <v>Thursday</v>
      </c>
      <c r="I13" s="12">
        <v>410</v>
      </c>
      <c r="J13" s="9">
        <f t="shared" si="0"/>
        <v>1640</v>
      </c>
      <c r="K13">
        <f t="shared" si="1"/>
        <v>0</v>
      </c>
      <c r="L13" t="str">
        <f t="shared" si="2"/>
        <v>Low Stock</v>
      </c>
    </row>
    <row r="14" spans="1:15" x14ac:dyDescent="0.45">
      <c r="A14" s="20" t="s">
        <v>8</v>
      </c>
      <c r="B14" s="6">
        <v>2</v>
      </c>
      <c r="C14" s="6">
        <v>4</v>
      </c>
      <c r="D14" s="6">
        <v>14</v>
      </c>
      <c r="E14" s="6">
        <v>11</v>
      </c>
      <c r="F14" s="6">
        <v>9</v>
      </c>
      <c r="G14" s="15">
        <v>46082</v>
      </c>
      <c r="H14" s="15" t="str">
        <f t="shared" si="3"/>
        <v>Sunday</v>
      </c>
      <c r="I14" s="11">
        <v>600</v>
      </c>
      <c r="J14" s="24">
        <f t="shared" si="0"/>
        <v>8400</v>
      </c>
      <c r="K14">
        <f t="shared" si="1"/>
        <v>2</v>
      </c>
      <c r="L14" t="str">
        <f t="shared" si="2"/>
        <v>Low Stock</v>
      </c>
    </row>
    <row r="15" spans="1:15" x14ac:dyDescent="0.45">
      <c r="A15" s="21" t="s">
        <v>10</v>
      </c>
      <c r="B15" s="7">
        <v>-3</v>
      </c>
      <c r="C15" s="7">
        <v>0</v>
      </c>
      <c r="D15" s="7">
        <v>7</v>
      </c>
      <c r="E15" s="7">
        <v>5</v>
      </c>
      <c r="F15" s="7">
        <v>5</v>
      </c>
      <c r="G15" s="16">
        <v>46084</v>
      </c>
      <c r="H15" s="16" t="str">
        <f t="shared" si="3"/>
        <v>Tuesday</v>
      </c>
      <c r="I15" s="12">
        <v>390</v>
      </c>
      <c r="J15" s="9">
        <f t="shared" si="0"/>
        <v>2730</v>
      </c>
      <c r="K15">
        <f t="shared" si="1"/>
        <v>0</v>
      </c>
      <c r="L15" t="str">
        <f t="shared" si="2"/>
        <v>Low Stock</v>
      </c>
    </row>
    <row r="16" spans="1:15" x14ac:dyDescent="0.45">
      <c r="A16" s="20" t="s">
        <v>96</v>
      </c>
      <c r="B16" s="6">
        <v>-2</v>
      </c>
      <c r="C16" s="6">
        <v>0</v>
      </c>
      <c r="D16" s="6">
        <v>2</v>
      </c>
      <c r="E16" s="6">
        <v>2</v>
      </c>
      <c r="F16" s="6">
        <v>2</v>
      </c>
      <c r="G16" s="15">
        <v>46084</v>
      </c>
      <c r="H16" s="15" t="str">
        <f t="shared" si="3"/>
        <v>Tuesday</v>
      </c>
      <c r="I16" s="11">
        <v>799</v>
      </c>
      <c r="J16" s="24">
        <f t="shared" si="0"/>
        <v>1598</v>
      </c>
      <c r="K16">
        <f t="shared" si="1"/>
        <v>0</v>
      </c>
      <c r="L16" t="str">
        <f t="shared" si="2"/>
        <v>Low Stock</v>
      </c>
    </row>
    <row r="17" spans="1:12" x14ac:dyDescent="0.45">
      <c r="A17" s="21" t="s">
        <v>713</v>
      </c>
      <c r="B17" s="7">
        <v>11</v>
      </c>
      <c r="C17" s="7">
        <v>23</v>
      </c>
      <c r="D17" s="7">
        <v>14</v>
      </c>
      <c r="E17" s="7">
        <v>7</v>
      </c>
      <c r="F17" s="7">
        <v>5</v>
      </c>
      <c r="G17" s="16">
        <v>46084</v>
      </c>
      <c r="H17" s="16" t="str">
        <f t="shared" si="3"/>
        <v>Tuesday</v>
      </c>
      <c r="I17" s="12">
        <v>707</v>
      </c>
      <c r="J17" s="9">
        <f t="shared" si="0"/>
        <v>9898</v>
      </c>
      <c r="K17">
        <f t="shared" si="1"/>
        <v>11</v>
      </c>
      <c r="L17" t="str">
        <f t="shared" si="2"/>
        <v>OK</v>
      </c>
    </row>
    <row r="18" spans="1:12" x14ac:dyDescent="0.45">
      <c r="A18" s="20" t="s">
        <v>283</v>
      </c>
      <c r="B18" s="6">
        <v>-1</v>
      </c>
      <c r="C18" s="6">
        <v>0</v>
      </c>
      <c r="D18" s="6">
        <v>2</v>
      </c>
      <c r="E18" s="6">
        <v>2</v>
      </c>
      <c r="F18" s="6">
        <v>2</v>
      </c>
      <c r="G18" s="15">
        <v>46087</v>
      </c>
      <c r="H18" s="15" t="str">
        <f t="shared" si="3"/>
        <v>Friday</v>
      </c>
      <c r="I18" s="11">
        <v>708</v>
      </c>
      <c r="J18" s="24">
        <f t="shared" si="0"/>
        <v>1416</v>
      </c>
      <c r="K18">
        <f t="shared" si="1"/>
        <v>0</v>
      </c>
      <c r="L18" t="str">
        <f t="shared" si="2"/>
        <v>Low Stock</v>
      </c>
    </row>
    <row r="19" spans="1:12" x14ac:dyDescent="0.45">
      <c r="A19" s="21" t="s">
        <v>505</v>
      </c>
      <c r="B19" s="7">
        <v>5</v>
      </c>
      <c r="C19" s="7">
        <v>10</v>
      </c>
      <c r="D19" s="7">
        <v>15</v>
      </c>
      <c r="E19" s="7">
        <v>6</v>
      </c>
      <c r="F19" s="7">
        <v>6</v>
      </c>
      <c r="G19" s="16">
        <v>46083</v>
      </c>
      <c r="H19" s="16" t="str">
        <f t="shared" si="3"/>
        <v>Monday</v>
      </c>
      <c r="I19" s="12">
        <v>740</v>
      </c>
      <c r="J19" s="9">
        <f t="shared" si="0"/>
        <v>11100</v>
      </c>
      <c r="K19">
        <f t="shared" si="1"/>
        <v>5</v>
      </c>
      <c r="L19" t="str">
        <f t="shared" si="2"/>
        <v>OK</v>
      </c>
    </row>
    <row r="20" spans="1:12" x14ac:dyDescent="0.45">
      <c r="A20" s="20" t="s">
        <v>719</v>
      </c>
      <c r="B20" s="6">
        <v>4</v>
      </c>
      <c r="C20" s="6">
        <v>30</v>
      </c>
      <c r="D20" s="6">
        <v>4</v>
      </c>
      <c r="E20" s="6">
        <v>4</v>
      </c>
      <c r="F20" s="6">
        <v>4</v>
      </c>
      <c r="G20" s="15">
        <v>46085</v>
      </c>
      <c r="H20" s="15" t="str">
        <f t="shared" si="3"/>
        <v>Wednesday</v>
      </c>
      <c r="I20" s="11">
        <v>641</v>
      </c>
      <c r="J20" s="24">
        <f t="shared" si="0"/>
        <v>2564</v>
      </c>
      <c r="K20">
        <f t="shared" si="1"/>
        <v>4</v>
      </c>
      <c r="L20" t="str">
        <f t="shared" si="2"/>
        <v>Low Stock</v>
      </c>
    </row>
    <row r="21" spans="1:12" x14ac:dyDescent="0.45">
      <c r="A21" s="21" t="s">
        <v>9</v>
      </c>
      <c r="B21" s="7">
        <v>1</v>
      </c>
      <c r="C21" s="7">
        <v>2</v>
      </c>
      <c r="D21" s="7">
        <v>11</v>
      </c>
      <c r="E21" s="7">
        <v>9</v>
      </c>
      <c r="F21" s="7">
        <v>7</v>
      </c>
      <c r="G21" s="16">
        <v>46086</v>
      </c>
      <c r="H21" s="16" t="str">
        <f t="shared" si="3"/>
        <v>Thursday</v>
      </c>
      <c r="I21" s="12">
        <v>745</v>
      </c>
      <c r="J21" s="9">
        <f t="shared" si="0"/>
        <v>8195</v>
      </c>
      <c r="K21">
        <f t="shared" si="1"/>
        <v>1</v>
      </c>
      <c r="L21" t="str">
        <f t="shared" si="2"/>
        <v>Low Stock</v>
      </c>
    </row>
    <row r="22" spans="1:12" x14ac:dyDescent="0.45">
      <c r="A22" s="20" t="s">
        <v>741</v>
      </c>
      <c r="B22" s="6">
        <v>4</v>
      </c>
      <c r="C22" s="6">
        <v>24</v>
      </c>
      <c r="D22" s="6">
        <v>5</v>
      </c>
      <c r="E22" s="6">
        <v>5</v>
      </c>
      <c r="F22" s="6">
        <v>5</v>
      </c>
      <c r="G22" s="15">
        <v>46085</v>
      </c>
      <c r="H22" s="15" t="str">
        <f t="shared" si="3"/>
        <v>Wednesday</v>
      </c>
      <c r="I22" s="11">
        <v>375</v>
      </c>
      <c r="J22" s="24">
        <f t="shared" si="0"/>
        <v>1875</v>
      </c>
      <c r="K22">
        <f t="shared" si="1"/>
        <v>4</v>
      </c>
      <c r="L22" t="str">
        <f t="shared" si="2"/>
        <v>Low Stock</v>
      </c>
    </row>
    <row r="23" spans="1:12" x14ac:dyDescent="0.45">
      <c r="A23" s="21" t="s">
        <v>94</v>
      </c>
      <c r="B23" s="7">
        <v>0</v>
      </c>
      <c r="C23" s="7">
        <v>0</v>
      </c>
      <c r="D23" s="7">
        <v>1</v>
      </c>
      <c r="E23" s="7">
        <v>1</v>
      </c>
      <c r="F23" s="7">
        <v>1</v>
      </c>
      <c r="G23" s="16">
        <v>46085</v>
      </c>
      <c r="H23" s="16" t="str">
        <f t="shared" si="3"/>
        <v>Wednesday</v>
      </c>
      <c r="I23" s="12">
        <v>573</v>
      </c>
      <c r="J23" s="9">
        <f t="shared" si="0"/>
        <v>573</v>
      </c>
      <c r="K23">
        <f t="shared" si="1"/>
        <v>0</v>
      </c>
      <c r="L23" t="str">
        <f t="shared" si="2"/>
        <v>Low Stock</v>
      </c>
    </row>
    <row r="24" spans="1:12" x14ac:dyDescent="0.45">
      <c r="A24" s="20" t="s">
        <v>724</v>
      </c>
      <c r="B24" s="6">
        <v>3</v>
      </c>
      <c r="C24" s="6">
        <v>18</v>
      </c>
      <c r="D24" s="6">
        <v>5</v>
      </c>
      <c r="E24" s="6">
        <v>5</v>
      </c>
      <c r="F24" s="6">
        <v>5</v>
      </c>
      <c r="G24" s="15">
        <v>46088</v>
      </c>
      <c r="H24" s="15" t="str">
        <f t="shared" si="3"/>
        <v>Saturday</v>
      </c>
      <c r="I24" s="11">
        <v>427</v>
      </c>
      <c r="J24" s="24">
        <f t="shared" si="0"/>
        <v>2135</v>
      </c>
      <c r="K24">
        <f t="shared" si="1"/>
        <v>3</v>
      </c>
      <c r="L24" t="str">
        <f t="shared" si="2"/>
        <v>Low Stock</v>
      </c>
    </row>
    <row r="25" spans="1:12" x14ac:dyDescent="0.45">
      <c r="A25" s="21" t="s">
        <v>722</v>
      </c>
      <c r="B25" s="7">
        <v>5</v>
      </c>
      <c r="C25" s="7">
        <v>21</v>
      </c>
      <c r="D25" s="7">
        <v>7</v>
      </c>
      <c r="E25" s="7">
        <v>4</v>
      </c>
      <c r="F25" s="7">
        <v>4</v>
      </c>
      <c r="G25" s="16">
        <v>46087</v>
      </c>
      <c r="H25" s="16" t="str">
        <f t="shared" si="3"/>
        <v>Friday</v>
      </c>
      <c r="I25" s="12">
        <v>437</v>
      </c>
      <c r="J25" s="9">
        <f t="shared" si="0"/>
        <v>3059</v>
      </c>
      <c r="K25">
        <f t="shared" si="1"/>
        <v>5</v>
      </c>
      <c r="L25" t="str">
        <f t="shared" si="2"/>
        <v>OK</v>
      </c>
    </row>
    <row r="26" spans="1:12" x14ac:dyDescent="0.45">
      <c r="A26" s="20" t="s">
        <v>532</v>
      </c>
      <c r="B26" s="6">
        <v>1</v>
      </c>
      <c r="C26" s="6">
        <v>15</v>
      </c>
      <c r="D26" s="6">
        <v>2</v>
      </c>
      <c r="E26" s="6">
        <v>2</v>
      </c>
      <c r="F26" s="6">
        <v>2</v>
      </c>
      <c r="G26" s="15">
        <v>46087</v>
      </c>
      <c r="H26" s="15" t="str">
        <f t="shared" si="3"/>
        <v>Friday</v>
      </c>
      <c r="I26" s="11">
        <v>672</v>
      </c>
      <c r="J26" s="24">
        <f t="shared" si="0"/>
        <v>1344</v>
      </c>
      <c r="K26">
        <f t="shared" si="1"/>
        <v>1</v>
      </c>
      <c r="L26" t="str">
        <f t="shared" si="2"/>
        <v>Low Stock</v>
      </c>
    </row>
    <row r="27" spans="1:12" x14ac:dyDescent="0.45">
      <c r="A27" s="21" t="s">
        <v>725</v>
      </c>
      <c r="B27" s="7">
        <v>4</v>
      </c>
      <c r="C27" s="7">
        <v>17</v>
      </c>
      <c r="D27" s="7">
        <v>7</v>
      </c>
      <c r="E27" s="7">
        <v>5</v>
      </c>
      <c r="F27" s="7">
        <v>5</v>
      </c>
      <c r="G27" s="16">
        <v>46083</v>
      </c>
      <c r="H27" s="16" t="str">
        <f t="shared" si="3"/>
        <v>Monday</v>
      </c>
      <c r="I27" s="12">
        <v>304</v>
      </c>
      <c r="J27" s="9">
        <f t="shared" si="0"/>
        <v>2128</v>
      </c>
      <c r="K27">
        <f t="shared" si="1"/>
        <v>4</v>
      </c>
      <c r="L27" t="str">
        <f t="shared" si="2"/>
        <v>Low Stock</v>
      </c>
    </row>
    <row r="28" spans="1:12" x14ac:dyDescent="0.45">
      <c r="A28" s="20" t="s">
        <v>504</v>
      </c>
      <c r="B28" s="6">
        <v>9</v>
      </c>
      <c r="C28" s="6">
        <v>12</v>
      </c>
      <c r="D28" s="6">
        <v>21</v>
      </c>
      <c r="E28" s="6">
        <v>18</v>
      </c>
      <c r="F28" s="6">
        <v>15</v>
      </c>
      <c r="G28" s="15">
        <v>46088</v>
      </c>
      <c r="H28" s="15" t="str">
        <f t="shared" si="3"/>
        <v>Saturday</v>
      </c>
      <c r="I28" s="11">
        <v>764</v>
      </c>
      <c r="J28" s="24">
        <f t="shared" si="0"/>
        <v>16044</v>
      </c>
      <c r="K28">
        <f t="shared" si="1"/>
        <v>9</v>
      </c>
      <c r="L28" t="str">
        <f t="shared" si="2"/>
        <v>OK</v>
      </c>
    </row>
    <row r="29" spans="1:12" x14ac:dyDescent="0.45">
      <c r="A29" s="21" t="s">
        <v>47</v>
      </c>
      <c r="B29" s="7">
        <v>0</v>
      </c>
      <c r="C29" s="7">
        <v>0</v>
      </c>
      <c r="D29" s="7">
        <v>3</v>
      </c>
      <c r="E29" s="7">
        <v>1</v>
      </c>
      <c r="F29" s="7">
        <v>1</v>
      </c>
      <c r="G29" s="16">
        <v>46083</v>
      </c>
      <c r="H29" s="16" t="str">
        <f t="shared" si="3"/>
        <v>Monday</v>
      </c>
      <c r="I29" s="12">
        <v>519</v>
      </c>
      <c r="J29" s="9">
        <f t="shared" si="0"/>
        <v>1557</v>
      </c>
      <c r="K29">
        <f t="shared" si="1"/>
        <v>0</v>
      </c>
      <c r="L29" t="str">
        <f t="shared" si="2"/>
        <v>Low Stock</v>
      </c>
    </row>
    <row r="30" spans="1:12" x14ac:dyDescent="0.45">
      <c r="A30" s="20" t="s">
        <v>268</v>
      </c>
      <c r="B30" s="6">
        <v>0</v>
      </c>
      <c r="C30" s="6">
        <v>0</v>
      </c>
      <c r="D30" s="6">
        <v>2</v>
      </c>
      <c r="E30" s="6">
        <v>2</v>
      </c>
      <c r="F30" s="6">
        <v>2</v>
      </c>
      <c r="G30" s="15">
        <v>46087</v>
      </c>
      <c r="H30" s="15" t="str">
        <f t="shared" si="3"/>
        <v>Friday</v>
      </c>
      <c r="I30" s="11">
        <v>399</v>
      </c>
      <c r="J30" s="24">
        <f t="shared" si="0"/>
        <v>798</v>
      </c>
      <c r="K30">
        <f t="shared" si="1"/>
        <v>0</v>
      </c>
      <c r="L30" t="str">
        <f t="shared" si="2"/>
        <v>Low Stock</v>
      </c>
    </row>
    <row r="31" spans="1:12" x14ac:dyDescent="0.45">
      <c r="A31" s="21" t="s">
        <v>279</v>
      </c>
      <c r="B31" s="7">
        <v>0</v>
      </c>
      <c r="C31" s="7">
        <v>0</v>
      </c>
      <c r="D31" s="7">
        <v>1</v>
      </c>
      <c r="E31" s="7">
        <v>1</v>
      </c>
      <c r="F31" s="7">
        <v>1</v>
      </c>
      <c r="G31" s="16">
        <v>46086</v>
      </c>
      <c r="H31" s="16" t="str">
        <f t="shared" si="3"/>
        <v>Thursday</v>
      </c>
      <c r="I31" s="12">
        <v>545</v>
      </c>
      <c r="J31" s="9">
        <f t="shared" si="0"/>
        <v>545</v>
      </c>
      <c r="K31">
        <f t="shared" si="1"/>
        <v>0</v>
      </c>
      <c r="L31" t="str">
        <f t="shared" si="2"/>
        <v>Low Stock</v>
      </c>
    </row>
    <row r="32" spans="1:12" x14ac:dyDescent="0.45">
      <c r="A32" s="20" t="s">
        <v>1241</v>
      </c>
      <c r="B32" s="6">
        <v>2</v>
      </c>
      <c r="C32" s="6">
        <v>30</v>
      </c>
      <c r="D32" s="6">
        <v>2</v>
      </c>
      <c r="E32" s="6">
        <v>2</v>
      </c>
      <c r="F32" s="6">
        <v>2</v>
      </c>
      <c r="G32" s="15">
        <v>46085</v>
      </c>
      <c r="H32" s="15" t="str">
        <f t="shared" si="3"/>
        <v>Wednesday</v>
      </c>
      <c r="I32" s="11">
        <v>178</v>
      </c>
      <c r="J32" s="24">
        <f t="shared" si="0"/>
        <v>356</v>
      </c>
      <c r="K32">
        <f t="shared" si="1"/>
        <v>2</v>
      </c>
      <c r="L32" t="str">
        <f t="shared" si="2"/>
        <v>Low Stock</v>
      </c>
    </row>
    <row r="33" spans="1:12" x14ac:dyDescent="0.45">
      <c r="A33" s="21" t="s">
        <v>539</v>
      </c>
      <c r="B33" s="7">
        <v>3</v>
      </c>
      <c r="C33" s="7">
        <v>12</v>
      </c>
      <c r="D33" s="7">
        <v>7</v>
      </c>
      <c r="E33" s="7">
        <v>7</v>
      </c>
      <c r="F33" s="7">
        <v>7</v>
      </c>
      <c r="G33" s="16">
        <v>46083</v>
      </c>
      <c r="H33" s="16" t="str">
        <f t="shared" si="3"/>
        <v>Monday</v>
      </c>
      <c r="I33" s="12">
        <v>205</v>
      </c>
      <c r="J33" s="9">
        <f t="shared" si="0"/>
        <v>1435</v>
      </c>
      <c r="K33">
        <f t="shared" si="1"/>
        <v>3</v>
      </c>
      <c r="L33" t="str">
        <f t="shared" si="2"/>
        <v>Low Stock</v>
      </c>
    </row>
    <row r="34" spans="1:12" x14ac:dyDescent="0.45">
      <c r="A34" s="20" t="s">
        <v>32</v>
      </c>
      <c r="B34" s="6">
        <v>1</v>
      </c>
      <c r="C34" s="6">
        <v>2</v>
      </c>
      <c r="D34" s="6">
        <v>13</v>
      </c>
      <c r="E34" s="6">
        <v>13</v>
      </c>
      <c r="F34" s="6">
        <v>10</v>
      </c>
      <c r="G34" s="15">
        <v>46085</v>
      </c>
      <c r="H34" s="15" t="str">
        <f t="shared" si="3"/>
        <v>Wednesday</v>
      </c>
      <c r="I34" s="11">
        <v>288</v>
      </c>
      <c r="J34" s="24">
        <f t="shared" si="0"/>
        <v>3744</v>
      </c>
      <c r="K34">
        <f t="shared" si="1"/>
        <v>1</v>
      </c>
      <c r="L34" t="str">
        <f t="shared" si="2"/>
        <v>Low Stock</v>
      </c>
    </row>
    <row r="35" spans="1:12" x14ac:dyDescent="0.45">
      <c r="A35" s="21" t="s">
        <v>394</v>
      </c>
      <c r="B35" s="7">
        <v>0</v>
      </c>
      <c r="C35" s="7">
        <v>0</v>
      </c>
      <c r="D35" s="7">
        <v>1</v>
      </c>
      <c r="E35" s="7">
        <v>1</v>
      </c>
      <c r="F35" s="7">
        <v>1</v>
      </c>
      <c r="G35" s="16">
        <v>46087</v>
      </c>
      <c r="H35" s="16" t="str">
        <f t="shared" si="3"/>
        <v>Friday</v>
      </c>
      <c r="I35" s="12">
        <v>159</v>
      </c>
      <c r="J35" s="9">
        <f t="shared" si="0"/>
        <v>159</v>
      </c>
      <c r="K35">
        <f t="shared" si="1"/>
        <v>0</v>
      </c>
      <c r="L35" t="str">
        <f t="shared" si="2"/>
        <v>Low Stock</v>
      </c>
    </row>
    <row r="36" spans="1:12" x14ac:dyDescent="0.45">
      <c r="A36" s="20" t="s">
        <v>558</v>
      </c>
      <c r="B36" s="6">
        <v>3</v>
      </c>
      <c r="C36" s="6">
        <v>12</v>
      </c>
      <c r="D36" s="6">
        <v>7</v>
      </c>
      <c r="E36" s="6">
        <v>7</v>
      </c>
      <c r="F36" s="6">
        <v>7</v>
      </c>
      <c r="G36" s="15">
        <v>46087</v>
      </c>
      <c r="H36" s="15" t="str">
        <f t="shared" si="3"/>
        <v>Friday</v>
      </c>
      <c r="I36" s="11">
        <v>252</v>
      </c>
      <c r="J36" s="24">
        <f t="shared" si="0"/>
        <v>1764</v>
      </c>
      <c r="K36">
        <f t="shared" si="1"/>
        <v>3</v>
      </c>
      <c r="L36" t="str">
        <f t="shared" si="2"/>
        <v>Low Stock</v>
      </c>
    </row>
    <row r="37" spans="1:12" x14ac:dyDescent="0.45">
      <c r="A37" s="21" t="s">
        <v>474</v>
      </c>
      <c r="B37" s="7">
        <v>0</v>
      </c>
      <c r="C37" s="7">
        <v>0</v>
      </c>
      <c r="D37" s="7">
        <v>2</v>
      </c>
      <c r="E37" s="7">
        <v>2</v>
      </c>
      <c r="F37" s="7">
        <v>2</v>
      </c>
      <c r="G37" s="16">
        <v>46085</v>
      </c>
      <c r="H37" s="16" t="str">
        <f t="shared" si="3"/>
        <v>Wednesday</v>
      </c>
      <c r="I37" s="12">
        <v>230</v>
      </c>
      <c r="J37" s="9">
        <f t="shared" si="0"/>
        <v>460</v>
      </c>
      <c r="K37">
        <f t="shared" si="1"/>
        <v>0</v>
      </c>
      <c r="L37" t="str">
        <f t="shared" si="2"/>
        <v>Low Stock</v>
      </c>
    </row>
    <row r="38" spans="1:12" x14ac:dyDescent="0.45">
      <c r="A38" s="20" t="s">
        <v>1258</v>
      </c>
      <c r="B38" s="6">
        <v>1</v>
      </c>
      <c r="C38" s="6">
        <v>30</v>
      </c>
      <c r="D38" s="6">
        <v>1</v>
      </c>
      <c r="E38" s="6">
        <v>1</v>
      </c>
      <c r="F38" s="6">
        <v>1</v>
      </c>
      <c r="G38" s="15">
        <v>46084</v>
      </c>
      <c r="H38" s="15" t="str">
        <f t="shared" si="3"/>
        <v>Tuesday</v>
      </c>
      <c r="I38" s="11">
        <v>177</v>
      </c>
      <c r="J38" s="24">
        <f t="shared" si="0"/>
        <v>177</v>
      </c>
      <c r="K38">
        <f t="shared" si="1"/>
        <v>1</v>
      </c>
      <c r="L38" t="str">
        <f t="shared" si="2"/>
        <v>Low Stock</v>
      </c>
    </row>
    <row r="39" spans="1:12" x14ac:dyDescent="0.45">
      <c r="A39" s="21" t="s">
        <v>661</v>
      </c>
      <c r="B39" s="7">
        <v>1</v>
      </c>
      <c r="C39" s="7">
        <v>10</v>
      </c>
      <c r="D39" s="7">
        <v>3</v>
      </c>
      <c r="E39" s="7">
        <v>3</v>
      </c>
      <c r="F39" s="7">
        <v>2</v>
      </c>
      <c r="G39" s="16">
        <v>46083</v>
      </c>
      <c r="H39" s="16" t="str">
        <f t="shared" si="3"/>
        <v>Monday</v>
      </c>
      <c r="I39" s="12">
        <v>220</v>
      </c>
      <c r="J39" s="9">
        <f t="shared" si="0"/>
        <v>660</v>
      </c>
      <c r="K39">
        <f t="shared" si="1"/>
        <v>1</v>
      </c>
      <c r="L39" t="str">
        <f t="shared" si="2"/>
        <v>Low Stock</v>
      </c>
    </row>
    <row r="40" spans="1:12" x14ac:dyDescent="0.45">
      <c r="A40" s="20" t="s">
        <v>897</v>
      </c>
      <c r="B40" s="6">
        <v>4</v>
      </c>
      <c r="C40" s="6">
        <v>17</v>
      </c>
      <c r="D40" s="6">
        <v>7</v>
      </c>
      <c r="E40" s="6">
        <v>7</v>
      </c>
      <c r="F40" s="6">
        <v>6</v>
      </c>
      <c r="G40" s="15">
        <v>46083</v>
      </c>
      <c r="H40" s="15" t="str">
        <f t="shared" si="3"/>
        <v>Monday</v>
      </c>
      <c r="I40" s="11">
        <v>128</v>
      </c>
      <c r="J40" s="24">
        <f t="shared" si="0"/>
        <v>896</v>
      </c>
      <c r="K40">
        <f t="shared" si="1"/>
        <v>4</v>
      </c>
      <c r="L40" t="str">
        <f t="shared" si="2"/>
        <v>Low Stock</v>
      </c>
    </row>
    <row r="41" spans="1:12" x14ac:dyDescent="0.45">
      <c r="A41" s="21" t="s">
        <v>604</v>
      </c>
      <c r="B41" s="7">
        <v>2</v>
      </c>
      <c r="C41" s="7">
        <v>12</v>
      </c>
      <c r="D41" s="7">
        <v>5</v>
      </c>
      <c r="E41" s="7">
        <v>5</v>
      </c>
      <c r="F41" s="7">
        <v>4</v>
      </c>
      <c r="G41" s="16">
        <v>46082</v>
      </c>
      <c r="H41" s="16" t="str">
        <f t="shared" si="3"/>
        <v>Sunday</v>
      </c>
      <c r="I41" s="12">
        <v>266</v>
      </c>
      <c r="J41" s="9">
        <f t="shared" si="0"/>
        <v>1330</v>
      </c>
      <c r="K41">
        <f t="shared" si="1"/>
        <v>2</v>
      </c>
      <c r="L41" t="str">
        <f t="shared" si="2"/>
        <v>Low Stock</v>
      </c>
    </row>
    <row r="42" spans="1:12" x14ac:dyDescent="0.45">
      <c r="A42" s="20" t="s">
        <v>300</v>
      </c>
      <c r="B42" s="6">
        <v>-1</v>
      </c>
      <c r="C42" s="6">
        <v>0</v>
      </c>
      <c r="D42" s="6">
        <v>1</v>
      </c>
      <c r="E42" s="6">
        <v>1</v>
      </c>
      <c r="F42" s="6">
        <v>1</v>
      </c>
      <c r="G42" s="15">
        <v>46083</v>
      </c>
      <c r="H42" s="15" t="str">
        <f t="shared" si="3"/>
        <v>Monday</v>
      </c>
      <c r="I42" s="11">
        <v>124</v>
      </c>
      <c r="J42" s="24">
        <f t="shared" si="0"/>
        <v>124</v>
      </c>
      <c r="K42">
        <f t="shared" si="1"/>
        <v>0</v>
      </c>
      <c r="L42" t="str">
        <f t="shared" si="2"/>
        <v>Low Stock</v>
      </c>
    </row>
    <row r="43" spans="1:12" x14ac:dyDescent="0.45">
      <c r="A43" s="21" t="s">
        <v>1124</v>
      </c>
      <c r="B43" s="7">
        <v>1</v>
      </c>
      <c r="C43" s="7">
        <v>30</v>
      </c>
      <c r="D43" s="7">
        <v>1</v>
      </c>
      <c r="E43" s="7">
        <v>1</v>
      </c>
      <c r="F43" s="7">
        <v>1</v>
      </c>
      <c r="G43" s="16">
        <v>46088</v>
      </c>
      <c r="H43" s="16" t="str">
        <f t="shared" si="3"/>
        <v>Saturday</v>
      </c>
      <c r="I43" s="12">
        <v>120</v>
      </c>
      <c r="J43" s="9">
        <f t="shared" si="0"/>
        <v>120</v>
      </c>
      <c r="K43">
        <f t="shared" si="1"/>
        <v>1</v>
      </c>
      <c r="L43" t="str">
        <f t="shared" si="2"/>
        <v>Low Stock</v>
      </c>
    </row>
    <row r="44" spans="1:12" x14ac:dyDescent="0.45">
      <c r="A44" s="20" t="s">
        <v>38</v>
      </c>
      <c r="B44" s="6">
        <v>1</v>
      </c>
      <c r="C44" s="6">
        <v>1</v>
      </c>
      <c r="D44" s="6">
        <v>17</v>
      </c>
      <c r="E44" s="6">
        <v>17</v>
      </c>
      <c r="F44" s="6">
        <v>11</v>
      </c>
      <c r="G44" s="15">
        <v>46082</v>
      </c>
      <c r="H44" s="15" t="str">
        <f t="shared" si="3"/>
        <v>Sunday</v>
      </c>
      <c r="I44" s="11">
        <v>172</v>
      </c>
      <c r="J44" s="24">
        <f t="shared" si="0"/>
        <v>2924</v>
      </c>
      <c r="K44">
        <f t="shared" si="1"/>
        <v>1</v>
      </c>
      <c r="L44" t="str">
        <f t="shared" si="2"/>
        <v>Low Stock</v>
      </c>
    </row>
    <row r="45" spans="1:12" x14ac:dyDescent="0.45">
      <c r="A45" s="21" t="s">
        <v>322</v>
      </c>
      <c r="B45" s="7">
        <v>0</v>
      </c>
      <c r="C45" s="7">
        <v>0</v>
      </c>
      <c r="D45" s="7">
        <v>3</v>
      </c>
      <c r="E45" s="7">
        <v>3</v>
      </c>
      <c r="F45" s="7">
        <v>3</v>
      </c>
      <c r="G45" s="16">
        <v>46087</v>
      </c>
      <c r="H45" s="16" t="str">
        <f t="shared" si="3"/>
        <v>Friday</v>
      </c>
      <c r="I45" s="12">
        <v>128</v>
      </c>
      <c r="J45" s="9">
        <f t="shared" si="0"/>
        <v>384</v>
      </c>
      <c r="K45">
        <f t="shared" si="1"/>
        <v>0</v>
      </c>
      <c r="L45" t="str">
        <f t="shared" si="2"/>
        <v>Low Stock</v>
      </c>
    </row>
    <row r="46" spans="1:12" x14ac:dyDescent="0.45">
      <c r="A46" s="20" t="s">
        <v>1231</v>
      </c>
      <c r="B46" s="6">
        <v>1</v>
      </c>
      <c r="C46" s="6">
        <v>30</v>
      </c>
      <c r="D46" s="6">
        <v>1</v>
      </c>
      <c r="E46" s="6">
        <v>1</v>
      </c>
      <c r="F46" s="6">
        <v>1</v>
      </c>
      <c r="G46" s="15">
        <v>46088</v>
      </c>
      <c r="H46" s="15" t="str">
        <f t="shared" si="3"/>
        <v>Saturday</v>
      </c>
      <c r="I46" s="11">
        <v>197</v>
      </c>
      <c r="J46" s="24">
        <f t="shared" si="0"/>
        <v>197</v>
      </c>
      <c r="K46">
        <f t="shared" si="1"/>
        <v>1</v>
      </c>
      <c r="L46" t="str">
        <f t="shared" si="2"/>
        <v>Low Stock</v>
      </c>
    </row>
    <row r="47" spans="1:12" x14ac:dyDescent="0.45">
      <c r="A47" s="21" t="s">
        <v>988</v>
      </c>
      <c r="B47" s="7">
        <v>1</v>
      </c>
      <c r="C47" s="7">
        <v>30</v>
      </c>
      <c r="D47" s="7">
        <v>1</v>
      </c>
      <c r="E47" s="7">
        <v>1</v>
      </c>
      <c r="F47" s="7">
        <v>1</v>
      </c>
      <c r="G47" s="16">
        <v>46084</v>
      </c>
      <c r="H47" s="16" t="str">
        <f t="shared" si="3"/>
        <v>Tuesday</v>
      </c>
      <c r="I47" s="12">
        <v>213</v>
      </c>
      <c r="J47" s="9">
        <f t="shared" si="0"/>
        <v>213</v>
      </c>
      <c r="K47">
        <f t="shared" si="1"/>
        <v>1</v>
      </c>
      <c r="L47" t="str">
        <f t="shared" si="2"/>
        <v>Low Stock</v>
      </c>
    </row>
    <row r="48" spans="1:12" x14ac:dyDescent="0.45">
      <c r="A48" s="20" t="s">
        <v>1136</v>
      </c>
      <c r="B48" s="6">
        <v>3</v>
      </c>
      <c r="C48" s="6">
        <v>22</v>
      </c>
      <c r="D48" s="6">
        <v>4</v>
      </c>
      <c r="E48" s="6">
        <v>4</v>
      </c>
      <c r="F48" s="6">
        <v>4</v>
      </c>
      <c r="G48" s="15">
        <v>46082</v>
      </c>
      <c r="H48" s="15" t="str">
        <f t="shared" si="3"/>
        <v>Sunday</v>
      </c>
      <c r="I48" s="11">
        <v>163</v>
      </c>
      <c r="J48" s="24">
        <f t="shared" si="0"/>
        <v>652</v>
      </c>
      <c r="K48">
        <f t="shared" si="1"/>
        <v>3</v>
      </c>
      <c r="L48" t="str">
        <f t="shared" si="2"/>
        <v>Low Stock</v>
      </c>
    </row>
    <row r="49" spans="1:12" x14ac:dyDescent="0.45">
      <c r="A49" s="21" t="s">
        <v>685</v>
      </c>
      <c r="B49" s="7">
        <v>2</v>
      </c>
      <c r="C49" s="7">
        <v>12</v>
      </c>
      <c r="D49" s="7">
        <v>5</v>
      </c>
      <c r="E49" s="7">
        <v>4</v>
      </c>
      <c r="F49" s="7">
        <v>4</v>
      </c>
      <c r="G49" s="16">
        <v>46088</v>
      </c>
      <c r="H49" s="16" t="str">
        <f t="shared" si="3"/>
        <v>Saturday</v>
      </c>
      <c r="I49" s="12">
        <v>225</v>
      </c>
      <c r="J49" s="9">
        <f t="shared" si="0"/>
        <v>1125</v>
      </c>
      <c r="K49">
        <f t="shared" si="1"/>
        <v>2</v>
      </c>
      <c r="L49" t="str">
        <f t="shared" si="2"/>
        <v>Low Stock</v>
      </c>
    </row>
    <row r="50" spans="1:12" x14ac:dyDescent="0.45">
      <c r="A50" s="20" t="s">
        <v>1243</v>
      </c>
      <c r="B50" s="6">
        <v>3</v>
      </c>
      <c r="C50" s="6">
        <v>30</v>
      </c>
      <c r="D50" s="6">
        <v>3</v>
      </c>
      <c r="E50" s="6">
        <v>3</v>
      </c>
      <c r="F50" s="6">
        <v>2</v>
      </c>
      <c r="G50" s="15">
        <v>46085</v>
      </c>
      <c r="H50" s="15" t="str">
        <f t="shared" si="3"/>
        <v>Wednesday</v>
      </c>
      <c r="I50" s="11">
        <v>285</v>
      </c>
      <c r="J50" s="24">
        <f t="shared" si="0"/>
        <v>855</v>
      </c>
      <c r="K50">
        <f t="shared" si="1"/>
        <v>3</v>
      </c>
      <c r="L50" t="str">
        <f t="shared" si="2"/>
        <v>Low Stock</v>
      </c>
    </row>
    <row r="51" spans="1:12" x14ac:dyDescent="0.45">
      <c r="A51" s="21" t="s">
        <v>531</v>
      </c>
      <c r="B51" s="7">
        <v>2</v>
      </c>
      <c r="C51" s="7">
        <v>10</v>
      </c>
      <c r="D51" s="7">
        <v>6</v>
      </c>
      <c r="E51" s="7">
        <v>6</v>
      </c>
      <c r="F51" s="7">
        <v>4</v>
      </c>
      <c r="G51" s="16">
        <v>46085</v>
      </c>
      <c r="H51" s="16" t="str">
        <f t="shared" si="3"/>
        <v>Wednesday</v>
      </c>
      <c r="I51" s="12">
        <v>209</v>
      </c>
      <c r="J51" s="9">
        <f t="shared" si="0"/>
        <v>1254</v>
      </c>
      <c r="K51">
        <f t="shared" si="1"/>
        <v>2</v>
      </c>
      <c r="L51" t="str">
        <f t="shared" si="2"/>
        <v>Low Stock</v>
      </c>
    </row>
    <row r="52" spans="1:12" x14ac:dyDescent="0.45">
      <c r="A52" s="20" t="s">
        <v>982</v>
      </c>
      <c r="B52" s="6">
        <v>1</v>
      </c>
      <c r="C52" s="6">
        <v>30</v>
      </c>
      <c r="D52" s="6">
        <v>1</v>
      </c>
      <c r="E52" s="6">
        <v>1</v>
      </c>
      <c r="F52" s="6">
        <v>1</v>
      </c>
      <c r="G52" s="15">
        <v>46088</v>
      </c>
      <c r="H52" s="15" t="str">
        <f t="shared" si="3"/>
        <v>Saturday</v>
      </c>
      <c r="I52" s="11">
        <v>258</v>
      </c>
      <c r="J52" s="24">
        <f t="shared" si="0"/>
        <v>258</v>
      </c>
      <c r="K52">
        <f t="shared" si="1"/>
        <v>1</v>
      </c>
      <c r="L52" t="str">
        <f t="shared" si="2"/>
        <v>Low Stock</v>
      </c>
    </row>
    <row r="53" spans="1:12" x14ac:dyDescent="0.45">
      <c r="A53" s="21" t="s">
        <v>947</v>
      </c>
      <c r="B53" s="7">
        <v>2</v>
      </c>
      <c r="C53" s="7">
        <v>30</v>
      </c>
      <c r="D53" s="7">
        <v>2</v>
      </c>
      <c r="E53" s="7">
        <v>2</v>
      </c>
      <c r="F53" s="7">
        <v>2</v>
      </c>
      <c r="G53" s="16">
        <v>46084</v>
      </c>
      <c r="H53" s="16" t="str">
        <f t="shared" si="3"/>
        <v>Tuesday</v>
      </c>
      <c r="I53" s="12">
        <v>175</v>
      </c>
      <c r="J53" s="9">
        <f t="shared" si="0"/>
        <v>350</v>
      </c>
      <c r="K53">
        <f t="shared" si="1"/>
        <v>2</v>
      </c>
      <c r="L53" t="str">
        <f t="shared" si="2"/>
        <v>Low Stock</v>
      </c>
    </row>
    <row r="54" spans="1:12" x14ac:dyDescent="0.45">
      <c r="A54" s="20" t="s">
        <v>560</v>
      </c>
      <c r="B54" s="6">
        <v>3</v>
      </c>
      <c r="C54" s="6">
        <v>15</v>
      </c>
      <c r="D54" s="6">
        <v>6</v>
      </c>
      <c r="E54" s="6">
        <v>6</v>
      </c>
      <c r="F54" s="6">
        <v>5</v>
      </c>
      <c r="G54" s="15">
        <v>46087</v>
      </c>
      <c r="H54" s="15" t="str">
        <f t="shared" si="3"/>
        <v>Friday</v>
      </c>
      <c r="I54" s="11">
        <v>272</v>
      </c>
      <c r="J54" s="24">
        <f t="shared" si="0"/>
        <v>1632</v>
      </c>
      <c r="K54">
        <f t="shared" si="1"/>
        <v>3</v>
      </c>
      <c r="L54" t="str">
        <f t="shared" si="2"/>
        <v>Low Stock</v>
      </c>
    </row>
    <row r="55" spans="1:12" x14ac:dyDescent="0.45">
      <c r="A55" s="21" t="s">
        <v>1006</v>
      </c>
      <c r="B55" s="7">
        <v>1</v>
      </c>
      <c r="C55" s="7">
        <v>30</v>
      </c>
      <c r="D55" s="7">
        <v>1</v>
      </c>
      <c r="E55" s="7">
        <v>1</v>
      </c>
      <c r="F55" s="7">
        <v>1</v>
      </c>
      <c r="G55" s="16">
        <v>46084</v>
      </c>
      <c r="H55" s="16" t="str">
        <f t="shared" si="3"/>
        <v>Tuesday</v>
      </c>
      <c r="I55" s="12">
        <v>253</v>
      </c>
      <c r="J55" s="9">
        <f t="shared" si="0"/>
        <v>253</v>
      </c>
      <c r="K55">
        <f t="shared" si="1"/>
        <v>1</v>
      </c>
      <c r="L55" t="str">
        <f t="shared" si="2"/>
        <v>Low Stock</v>
      </c>
    </row>
    <row r="56" spans="1:12" x14ac:dyDescent="0.45">
      <c r="A56" s="20" t="s">
        <v>670</v>
      </c>
      <c r="B56" s="6">
        <v>1</v>
      </c>
      <c r="C56" s="6">
        <v>15</v>
      </c>
      <c r="D56" s="6">
        <v>2</v>
      </c>
      <c r="E56" s="6">
        <v>2</v>
      </c>
      <c r="F56" s="6">
        <v>2</v>
      </c>
      <c r="G56" s="15">
        <v>46088</v>
      </c>
      <c r="H56" s="15" t="str">
        <f t="shared" si="3"/>
        <v>Saturday</v>
      </c>
      <c r="I56" s="11">
        <v>165</v>
      </c>
      <c r="J56" s="24">
        <f t="shared" si="0"/>
        <v>330</v>
      </c>
      <c r="K56">
        <f t="shared" si="1"/>
        <v>1</v>
      </c>
      <c r="L56" t="str">
        <f t="shared" si="2"/>
        <v>Low Stock</v>
      </c>
    </row>
    <row r="57" spans="1:12" x14ac:dyDescent="0.45">
      <c r="A57" s="21" t="s">
        <v>938</v>
      </c>
      <c r="B57" s="7">
        <v>3</v>
      </c>
      <c r="C57" s="7">
        <v>18</v>
      </c>
      <c r="D57" s="7">
        <v>5</v>
      </c>
      <c r="E57" s="7">
        <v>4</v>
      </c>
      <c r="F57" s="7">
        <v>4</v>
      </c>
      <c r="G57" s="16">
        <v>46082</v>
      </c>
      <c r="H57" s="16" t="str">
        <f t="shared" si="3"/>
        <v>Sunday</v>
      </c>
      <c r="I57" s="12">
        <v>214</v>
      </c>
      <c r="J57" s="9">
        <f t="shared" si="0"/>
        <v>1070</v>
      </c>
      <c r="K57">
        <f t="shared" si="1"/>
        <v>3</v>
      </c>
      <c r="L57" t="str">
        <f t="shared" si="2"/>
        <v>Low Stock</v>
      </c>
    </row>
    <row r="58" spans="1:12" x14ac:dyDescent="0.45">
      <c r="A58" s="20" t="s">
        <v>1084</v>
      </c>
      <c r="B58" s="6">
        <v>1</v>
      </c>
      <c r="C58" s="6">
        <v>30</v>
      </c>
      <c r="D58" s="6">
        <v>1</v>
      </c>
      <c r="E58" s="6">
        <v>1</v>
      </c>
      <c r="F58" s="6">
        <v>1</v>
      </c>
      <c r="G58" s="15">
        <v>46082</v>
      </c>
      <c r="H58" s="15" t="str">
        <f t="shared" si="3"/>
        <v>Sunday</v>
      </c>
      <c r="I58" s="11">
        <v>177</v>
      </c>
      <c r="J58" s="24">
        <f t="shared" si="0"/>
        <v>177</v>
      </c>
      <c r="K58">
        <f t="shared" si="1"/>
        <v>1</v>
      </c>
      <c r="L58" t="str">
        <f t="shared" si="2"/>
        <v>Low Stock</v>
      </c>
    </row>
    <row r="59" spans="1:12" x14ac:dyDescent="0.45">
      <c r="A59" s="21" t="s">
        <v>1234</v>
      </c>
      <c r="B59" s="7">
        <v>6</v>
      </c>
      <c r="C59" s="7">
        <v>30</v>
      </c>
      <c r="D59" s="7">
        <v>6</v>
      </c>
      <c r="E59" s="7">
        <v>6</v>
      </c>
      <c r="F59" s="7">
        <v>5</v>
      </c>
      <c r="G59" s="16">
        <v>46082</v>
      </c>
      <c r="H59" s="16" t="str">
        <f t="shared" si="3"/>
        <v>Sunday</v>
      </c>
      <c r="I59" s="12">
        <v>276</v>
      </c>
      <c r="J59" s="9">
        <f t="shared" si="0"/>
        <v>1656</v>
      </c>
      <c r="K59">
        <f t="shared" si="1"/>
        <v>6</v>
      </c>
      <c r="L59" t="str">
        <f t="shared" si="2"/>
        <v>OK</v>
      </c>
    </row>
    <row r="60" spans="1:12" x14ac:dyDescent="0.45">
      <c r="A60" s="20" t="s">
        <v>686</v>
      </c>
      <c r="B60" s="6">
        <v>1</v>
      </c>
      <c r="C60" s="6">
        <v>15</v>
      </c>
      <c r="D60" s="6">
        <v>2</v>
      </c>
      <c r="E60" s="6">
        <v>2</v>
      </c>
      <c r="F60" s="6">
        <v>2</v>
      </c>
      <c r="G60" s="15">
        <v>46083</v>
      </c>
      <c r="H60" s="15" t="str">
        <f t="shared" si="3"/>
        <v>Monday</v>
      </c>
      <c r="I60" s="11">
        <v>226</v>
      </c>
      <c r="J60" s="24">
        <f t="shared" si="0"/>
        <v>452</v>
      </c>
      <c r="K60">
        <f t="shared" si="1"/>
        <v>1</v>
      </c>
      <c r="L60" t="str">
        <f t="shared" si="2"/>
        <v>Low Stock</v>
      </c>
    </row>
    <row r="61" spans="1:12" x14ac:dyDescent="0.45">
      <c r="A61" s="21" t="s">
        <v>446</v>
      </c>
      <c r="B61" s="7">
        <v>-1</v>
      </c>
      <c r="C61" s="7">
        <v>0</v>
      </c>
      <c r="D61" s="7">
        <v>1</v>
      </c>
      <c r="E61" s="7">
        <v>1</v>
      </c>
      <c r="F61" s="7">
        <v>1</v>
      </c>
      <c r="G61" s="16">
        <v>46085</v>
      </c>
      <c r="H61" s="16" t="str">
        <f t="shared" si="3"/>
        <v>Wednesday</v>
      </c>
      <c r="I61" s="12">
        <v>216</v>
      </c>
      <c r="J61" s="9">
        <f t="shared" si="0"/>
        <v>216</v>
      </c>
      <c r="K61">
        <f t="shared" si="1"/>
        <v>0</v>
      </c>
      <c r="L61" t="str">
        <f t="shared" si="2"/>
        <v>Low Stock</v>
      </c>
    </row>
    <row r="62" spans="1:12" x14ac:dyDescent="0.45">
      <c r="A62" s="20" t="s">
        <v>793</v>
      </c>
      <c r="B62" s="6">
        <v>2</v>
      </c>
      <c r="C62" s="6">
        <v>20</v>
      </c>
      <c r="D62" s="6">
        <v>3</v>
      </c>
      <c r="E62" s="6">
        <v>3</v>
      </c>
      <c r="F62" s="6">
        <v>3</v>
      </c>
      <c r="G62" s="15">
        <v>46088</v>
      </c>
      <c r="H62" s="15" t="str">
        <f t="shared" si="3"/>
        <v>Saturday</v>
      </c>
      <c r="I62" s="11">
        <v>144</v>
      </c>
      <c r="J62" s="24">
        <f t="shared" si="0"/>
        <v>432</v>
      </c>
      <c r="K62">
        <f t="shared" si="1"/>
        <v>2</v>
      </c>
      <c r="L62" t="str">
        <f t="shared" si="2"/>
        <v>Low Stock</v>
      </c>
    </row>
    <row r="63" spans="1:12" x14ac:dyDescent="0.45">
      <c r="A63" s="21" t="s">
        <v>1057</v>
      </c>
      <c r="B63" s="7">
        <v>1</v>
      </c>
      <c r="C63" s="7">
        <v>30</v>
      </c>
      <c r="D63" s="7">
        <v>1</v>
      </c>
      <c r="E63" s="7">
        <v>1</v>
      </c>
      <c r="F63" s="7">
        <v>1</v>
      </c>
      <c r="G63" s="16">
        <v>46085</v>
      </c>
      <c r="H63" s="16" t="str">
        <f t="shared" si="3"/>
        <v>Wednesday</v>
      </c>
      <c r="I63" s="12">
        <v>240</v>
      </c>
      <c r="J63" s="9">
        <f t="shared" si="0"/>
        <v>240</v>
      </c>
      <c r="K63">
        <f t="shared" si="1"/>
        <v>1</v>
      </c>
      <c r="L63" t="str">
        <f t="shared" si="2"/>
        <v>Low Stock</v>
      </c>
    </row>
    <row r="64" spans="1:12" x14ac:dyDescent="0.45">
      <c r="A64" s="20" t="s">
        <v>807</v>
      </c>
      <c r="B64" s="6">
        <v>5</v>
      </c>
      <c r="C64" s="6">
        <v>25</v>
      </c>
      <c r="D64" s="6">
        <v>6</v>
      </c>
      <c r="E64" s="6">
        <v>6</v>
      </c>
      <c r="F64" s="6">
        <v>6</v>
      </c>
      <c r="G64" s="15">
        <v>46082</v>
      </c>
      <c r="H64" s="15" t="str">
        <f t="shared" si="3"/>
        <v>Sunday</v>
      </c>
      <c r="I64" s="11">
        <v>127</v>
      </c>
      <c r="J64" s="24">
        <f t="shared" si="0"/>
        <v>762</v>
      </c>
      <c r="K64">
        <f t="shared" si="1"/>
        <v>5</v>
      </c>
      <c r="L64" t="str">
        <f t="shared" si="2"/>
        <v>OK</v>
      </c>
    </row>
    <row r="65" spans="1:12" x14ac:dyDescent="0.45">
      <c r="A65" s="21" t="s">
        <v>382</v>
      </c>
      <c r="B65" s="7">
        <v>-1</v>
      </c>
      <c r="C65" s="7">
        <v>0</v>
      </c>
      <c r="D65" s="7">
        <v>1</v>
      </c>
      <c r="E65" s="7">
        <v>1</v>
      </c>
      <c r="F65" s="7">
        <v>1</v>
      </c>
      <c r="G65" s="16">
        <v>46083</v>
      </c>
      <c r="H65" s="16" t="str">
        <f t="shared" si="3"/>
        <v>Monday</v>
      </c>
      <c r="I65" s="12">
        <v>181</v>
      </c>
      <c r="J65" s="9">
        <f t="shared" si="0"/>
        <v>181</v>
      </c>
      <c r="K65">
        <f t="shared" si="1"/>
        <v>0</v>
      </c>
      <c r="L65" t="str">
        <f t="shared" si="2"/>
        <v>Low Stock</v>
      </c>
    </row>
    <row r="66" spans="1:12" x14ac:dyDescent="0.45">
      <c r="A66" s="20" t="s">
        <v>888</v>
      </c>
      <c r="B66" s="6">
        <v>7</v>
      </c>
      <c r="C66" s="6">
        <v>26</v>
      </c>
      <c r="D66" s="6">
        <v>8</v>
      </c>
      <c r="E66" s="6">
        <v>8</v>
      </c>
      <c r="F66" s="6">
        <v>6</v>
      </c>
      <c r="G66" s="15">
        <v>46086</v>
      </c>
      <c r="H66" s="15" t="str">
        <f t="shared" ref="H66:H129" si="4">TEXT(G66,"dddd")</f>
        <v>Thursday</v>
      </c>
      <c r="I66" s="11">
        <v>271</v>
      </c>
      <c r="J66" s="24">
        <f t="shared" ref="J66:J129" si="5">D66*I66</f>
        <v>2168</v>
      </c>
      <c r="K66">
        <f t="shared" ref="K66:K129" si="6">IF(B66&lt;0,0,B66)</f>
        <v>7</v>
      </c>
      <c r="L66" t="str">
        <f t="shared" ref="L66:L129" si="7">IF(K66&lt;5,"Low Stock","OK")</f>
        <v>OK</v>
      </c>
    </row>
    <row r="67" spans="1:12" x14ac:dyDescent="0.45">
      <c r="A67" s="21" t="s">
        <v>944</v>
      </c>
      <c r="B67" s="7">
        <v>4</v>
      </c>
      <c r="C67" s="7">
        <v>30</v>
      </c>
      <c r="D67" s="7">
        <v>4</v>
      </c>
      <c r="E67" s="7">
        <v>4</v>
      </c>
      <c r="F67" s="7">
        <v>3</v>
      </c>
      <c r="G67" s="16">
        <v>46086</v>
      </c>
      <c r="H67" s="16" t="str">
        <f t="shared" si="4"/>
        <v>Thursday</v>
      </c>
      <c r="I67" s="12">
        <v>203</v>
      </c>
      <c r="J67" s="9">
        <f t="shared" si="5"/>
        <v>812</v>
      </c>
      <c r="K67">
        <f t="shared" si="6"/>
        <v>4</v>
      </c>
      <c r="L67" t="str">
        <f t="shared" si="7"/>
        <v>Low Stock</v>
      </c>
    </row>
    <row r="68" spans="1:12" x14ac:dyDescent="0.45">
      <c r="A68" s="20" t="s">
        <v>1080</v>
      </c>
      <c r="B68" s="6">
        <v>1</v>
      </c>
      <c r="C68" s="6">
        <v>30</v>
      </c>
      <c r="D68" s="6">
        <v>1</v>
      </c>
      <c r="E68" s="6">
        <v>1</v>
      </c>
      <c r="F68" s="6">
        <v>1</v>
      </c>
      <c r="G68" s="15">
        <v>46087</v>
      </c>
      <c r="H68" s="15" t="str">
        <f t="shared" si="4"/>
        <v>Friday</v>
      </c>
      <c r="I68" s="11">
        <v>222</v>
      </c>
      <c r="J68" s="24">
        <f t="shared" si="5"/>
        <v>222</v>
      </c>
      <c r="K68">
        <f t="shared" si="6"/>
        <v>1</v>
      </c>
      <c r="L68" t="str">
        <f t="shared" si="7"/>
        <v>Low Stock</v>
      </c>
    </row>
    <row r="69" spans="1:12" x14ac:dyDescent="0.45">
      <c r="A69" s="21" t="s">
        <v>1156</v>
      </c>
      <c r="B69" s="7">
        <v>3</v>
      </c>
      <c r="C69" s="7">
        <v>30</v>
      </c>
      <c r="D69" s="7">
        <v>3</v>
      </c>
      <c r="E69" s="7">
        <v>3</v>
      </c>
      <c r="F69" s="7">
        <v>3</v>
      </c>
      <c r="G69" s="16">
        <v>46084</v>
      </c>
      <c r="H69" s="16" t="str">
        <f t="shared" si="4"/>
        <v>Tuesday</v>
      </c>
      <c r="I69" s="12">
        <v>181</v>
      </c>
      <c r="J69" s="9">
        <f t="shared" si="5"/>
        <v>543</v>
      </c>
      <c r="K69">
        <f t="shared" si="6"/>
        <v>3</v>
      </c>
      <c r="L69" t="str">
        <f t="shared" si="7"/>
        <v>Low Stock</v>
      </c>
    </row>
    <row r="70" spans="1:12" x14ac:dyDescent="0.45">
      <c r="A70" s="20" t="s">
        <v>684</v>
      </c>
      <c r="B70" s="6">
        <v>5</v>
      </c>
      <c r="C70" s="6">
        <v>13</v>
      </c>
      <c r="D70" s="6">
        <v>11</v>
      </c>
      <c r="E70" s="6">
        <v>11</v>
      </c>
      <c r="F70" s="6">
        <v>9</v>
      </c>
      <c r="G70" s="15">
        <v>46085</v>
      </c>
      <c r="H70" s="15" t="str">
        <f t="shared" si="4"/>
        <v>Wednesday</v>
      </c>
      <c r="I70" s="11">
        <v>166</v>
      </c>
      <c r="J70" s="24">
        <f t="shared" si="5"/>
        <v>1826</v>
      </c>
      <c r="K70">
        <f t="shared" si="6"/>
        <v>5</v>
      </c>
      <c r="L70" t="str">
        <f t="shared" si="7"/>
        <v>OK</v>
      </c>
    </row>
    <row r="71" spans="1:12" x14ac:dyDescent="0.45">
      <c r="A71" s="21" t="s">
        <v>860</v>
      </c>
      <c r="B71" s="7">
        <v>3</v>
      </c>
      <c r="C71" s="7">
        <v>18</v>
      </c>
      <c r="D71" s="7">
        <v>5</v>
      </c>
      <c r="E71" s="7">
        <v>5</v>
      </c>
      <c r="F71" s="7">
        <v>5</v>
      </c>
      <c r="G71" s="16">
        <v>46085</v>
      </c>
      <c r="H71" s="16" t="str">
        <f t="shared" si="4"/>
        <v>Wednesday</v>
      </c>
      <c r="I71" s="12">
        <v>185</v>
      </c>
      <c r="J71" s="9">
        <f t="shared" si="5"/>
        <v>925</v>
      </c>
      <c r="K71">
        <f t="shared" si="6"/>
        <v>3</v>
      </c>
      <c r="L71" t="str">
        <f t="shared" si="7"/>
        <v>Low Stock</v>
      </c>
    </row>
    <row r="72" spans="1:12" x14ac:dyDescent="0.45">
      <c r="A72" s="20" t="s">
        <v>230</v>
      </c>
      <c r="B72" s="6">
        <v>0</v>
      </c>
      <c r="C72" s="6">
        <v>0</v>
      </c>
      <c r="D72" s="6">
        <v>1</v>
      </c>
      <c r="E72" s="6">
        <v>1</v>
      </c>
      <c r="F72" s="6">
        <v>1</v>
      </c>
      <c r="G72" s="15">
        <v>46083</v>
      </c>
      <c r="H72" s="15" t="str">
        <f t="shared" si="4"/>
        <v>Monday</v>
      </c>
      <c r="I72" s="11">
        <v>247</v>
      </c>
      <c r="J72" s="24">
        <f t="shared" si="5"/>
        <v>247</v>
      </c>
      <c r="K72">
        <f t="shared" si="6"/>
        <v>0</v>
      </c>
      <c r="L72" t="str">
        <f t="shared" si="7"/>
        <v>Low Stock</v>
      </c>
    </row>
    <row r="73" spans="1:12" x14ac:dyDescent="0.45">
      <c r="A73" s="21" t="s">
        <v>311</v>
      </c>
      <c r="B73" s="7">
        <v>0</v>
      </c>
      <c r="C73" s="7">
        <v>0</v>
      </c>
      <c r="D73" s="7">
        <v>1</v>
      </c>
      <c r="E73" s="7">
        <v>1</v>
      </c>
      <c r="F73" s="7">
        <v>1</v>
      </c>
      <c r="G73" s="16">
        <v>46086</v>
      </c>
      <c r="H73" s="16" t="str">
        <f t="shared" si="4"/>
        <v>Thursday</v>
      </c>
      <c r="I73" s="12">
        <v>268</v>
      </c>
      <c r="J73" s="9">
        <f t="shared" si="5"/>
        <v>268</v>
      </c>
      <c r="K73">
        <f t="shared" si="6"/>
        <v>0</v>
      </c>
      <c r="L73" t="str">
        <f t="shared" si="7"/>
        <v>Low Stock</v>
      </c>
    </row>
    <row r="74" spans="1:12" x14ac:dyDescent="0.45">
      <c r="A74" s="20" t="s">
        <v>974</v>
      </c>
      <c r="B74" s="6">
        <v>2</v>
      </c>
      <c r="C74" s="6">
        <v>30</v>
      </c>
      <c r="D74" s="6">
        <v>2</v>
      </c>
      <c r="E74" s="6">
        <v>2</v>
      </c>
      <c r="F74" s="6">
        <v>2</v>
      </c>
      <c r="G74" s="15">
        <v>46088</v>
      </c>
      <c r="H74" s="15" t="str">
        <f t="shared" si="4"/>
        <v>Saturday</v>
      </c>
      <c r="I74" s="11">
        <v>220</v>
      </c>
      <c r="J74" s="24">
        <f t="shared" si="5"/>
        <v>440</v>
      </c>
      <c r="K74">
        <f t="shared" si="6"/>
        <v>2</v>
      </c>
      <c r="L74" t="str">
        <f t="shared" si="7"/>
        <v>Low Stock</v>
      </c>
    </row>
    <row r="75" spans="1:12" x14ac:dyDescent="0.45">
      <c r="A75" s="21" t="s">
        <v>170</v>
      </c>
      <c r="B75" s="7">
        <v>0</v>
      </c>
      <c r="C75" s="7">
        <v>0</v>
      </c>
      <c r="D75" s="7">
        <v>2</v>
      </c>
      <c r="E75" s="7">
        <v>2</v>
      </c>
      <c r="F75" s="7">
        <v>2</v>
      </c>
      <c r="G75" s="16">
        <v>46086</v>
      </c>
      <c r="H75" s="16" t="str">
        <f t="shared" si="4"/>
        <v>Thursday</v>
      </c>
      <c r="I75" s="12">
        <v>229</v>
      </c>
      <c r="J75" s="9">
        <f t="shared" si="5"/>
        <v>458</v>
      </c>
      <c r="K75">
        <f t="shared" si="6"/>
        <v>0</v>
      </c>
      <c r="L75" t="str">
        <f t="shared" si="7"/>
        <v>Low Stock</v>
      </c>
    </row>
    <row r="76" spans="1:12" x14ac:dyDescent="0.45">
      <c r="A76" s="20" t="s">
        <v>490</v>
      </c>
      <c r="B76" s="6">
        <v>0</v>
      </c>
      <c r="C76" s="6">
        <v>0</v>
      </c>
      <c r="D76" s="6">
        <v>3</v>
      </c>
      <c r="E76" s="6">
        <v>3</v>
      </c>
      <c r="F76" s="6">
        <v>3</v>
      </c>
      <c r="G76" s="15">
        <v>46085</v>
      </c>
      <c r="H76" s="15" t="str">
        <f t="shared" si="4"/>
        <v>Wednesday</v>
      </c>
      <c r="I76" s="11">
        <v>231</v>
      </c>
      <c r="J76" s="24">
        <f t="shared" si="5"/>
        <v>693</v>
      </c>
      <c r="K76">
        <f t="shared" si="6"/>
        <v>0</v>
      </c>
      <c r="L76" t="str">
        <f t="shared" si="7"/>
        <v>Low Stock</v>
      </c>
    </row>
    <row r="77" spans="1:12" x14ac:dyDescent="0.45">
      <c r="A77" s="21" t="s">
        <v>145</v>
      </c>
      <c r="B77" s="7">
        <v>0</v>
      </c>
      <c r="C77" s="7">
        <v>0</v>
      </c>
      <c r="D77" s="7">
        <v>2</v>
      </c>
      <c r="E77" s="7">
        <v>1</v>
      </c>
      <c r="F77" s="7">
        <v>1</v>
      </c>
      <c r="G77" s="16">
        <v>46085</v>
      </c>
      <c r="H77" s="16" t="str">
        <f t="shared" si="4"/>
        <v>Wednesday</v>
      </c>
      <c r="I77" s="12">
        <v>189</v>
      </c>
      <c r="J77" s="9">
        <f t="shared" si="5"/>
        <v>378</v>
      </c>
      <c r="K77">
        <f t="shared" si="6"/>
        <v>0</v>
      </c>
      <c r="L77" t="str">
        <f t="shared" si="7"/>
        <v>Low Stock</v>
      </c>
    </row>
    <row r="78" spans="1:12" x14ac:dyDescent="0.45">
      <c r="A78" s="20" t="s">
        <v>150</v>
      </c>
      <c r="B78" s="6">
        <v>-210</v>
      </c>
      <c r="C78" s="6">
        <v>0</v>
      </c>
      <c r="D78" s="6">
        <v>20</v>
      </c>
      <c r="E78" s="6">
        <v>2</v>
      </c>
      <c r="F78" s="6">
        <v>2</v>
      </c>
      <c r="G78" s="15">
        <v>46084</v>
      </c>
      <c r="H78" s="15" t="str">
        <f t="shared" si="4"/>
        <v>Tuesday</v>
      </c>
      <c r="I78" s="11">
        <v>160</v>
      </c>
      <c r="J78" s="24">
        <f t="shared" si="5"/>
        <v>3200</v>
      </c>
      <c r="K78">
        <f t="shared" si="6"/>
        <v>0</v>
      </c>
      <c r="L78" t="str">
        <f t="shared" si="7"/>
        <v>Low Stock</v>
      </c>
    </row>
    <row r="79" spans="1:12" x14ac:dyDescent="0.45">
      <c r="A79" s="21" t="s">
        <v>213</v>
      </c>
      <c r="B79" s="7">
        <v>-6</v>
      </c>
      <c r="C79" s="7">
        <v>0</v>
      </c>
      <c r="D79" s="7">
        <v>1</v>
      </c>
      <c r="E79" s="7">
        <v>1</v>
      </c>
      <c r="F79" s="7">
        <v>1</v>
      </c>
      <c r="G79" s="16">
        <v>46083</v>
      </c>
      <c r="H79" s="16" t="str">
        <f t="shared" si="4"/>
        <v>Monday</v>
      </c>
      <c r="I79" s="12">
        <v>182</v>
      </c>
      <c r="J79" s="9">
        <f t="shared" si="5"/>
        <v>182</v>
      </c>
      <c r="K79">
        <f t="shared" si="6"/>
        <v>0</v>
      </c>
      <c r="L79" t="str">
        <f t="shared" si="7"/>
        <v>Low Stock</v>
      </c>
    </row>
    <row r="80" spans="1:12" x14ac:dyDescent="0.45">
      <c r="A80" s="20" t="s">
        <v>280</v>
      </c>
      <c r="B80" s="6">
        <v>-2</v>
      </c>
      <c r="C80" s="6">
        <v>0</v>
      </c>
      <c r="D80" s="6">
        <v>4</v>
      </c>
      <c r="E80" s="6">
        <v>2</v>
      </c>
      <c r="F80" s="6">
        <v>2</v>
      </c>
      <c r="G80" s="15">
        <v>46083</v>
      </c>
      <c r="H80" s="15" t="str">
        <f t="shared" si="4"/>
        <v>Monday</v>
      </c>
      <c r="I80" s="11">
        <v>80</v>
      </c>
      <c r="J80" s="24">
        <f t="shared" si="5"/>
        <v>320</v>
      </c>
      <c r="K80">
        <f t="shared" si="6"/>
        <v>0</v>
      </c>
      <c r="L80" t="str">
        <f t="shared" si="7"/>
        <v>Low Stock</v>
      </c>
    </row>
    <row r="81" spans="1:12" x14ac:dyDescent="0.45">
      <c r="A81" s="21" t="s">
        <v>414</v>
      </c>
      <c r="B81" s="7">
        <v>0</v>
      </c>
      <c r="C81" s="7">
        <v>0</v>
      </c>
      <c r="D81" s="7">
        <v>1</v>
      </c>
      <c r="E81" s="7">
        <v>1</v>
      </c>
      <c r="F81" s="7">
        <v>1</v>
      </c>
      <c r="G81" s="16">
        <v>46082</v>
      </c>
      <c r="H81" s="16" t="str">
        <f t="shared" si="4"/>
        <v>Sunday</v>
      </c>
      <c r="I81" s="12">
        <v>145</v>
      </c>
      <c r="J81" s="9">
        <f t="shared" si="5"/>
        <v>145</v>
      </c>
      <c r="K81">
        <f t="shared" si="6"/>
        <v>0</v>
      </c>
      <c r="L81" t="str">
        <f t="shared" si="7"/>
        <v>Low Stock</v>
      </c>
    </row>
    <row r="82" spans="1:12" x14ac:dyDescent="0.45">
      <c r="A82" s="20" t="s">
        <v>919</v>
      </c>
      <c r="B82" s="6">
        <v>7</v>
      </c>
      <c r="C82" s="6">
        <v>23</v>
      </c>
      <c r="D82" s="6">
        <v>9</v>
      </c>
      <c r="E82" s="6">
        <v>5</v>
      </c>
      <c r="F82" s="6">
        <v>5</v>
      </c>
      <c r="G82" s="15">
        <v>46087</v>
      </c>
      <c r="H82" s="15" t="str">
        <f t="shared" si="4"/>
        <v>Friday</v>
      </c>
      <c r="I82" s="11">
        <v>185</v>
      </c>
      <c r="J82" s="24">
        <f t="shared" si="5"/>
        <v>1665</v>
      </c>
      <c r="K82">
        <f t="shared" si="6"/>
        <v>7</v>
      </c>
      <c r="L82" t="str">
        <f t="shared" si="7"/>
        <v>OK</v>
      </c>
    </row>
    <row r="83" spans="1:12" x14ac:dyDescent="0.45">
      <c r="A83" s="21" t="s">
        <v>28</v>
      </c>
      <c r="B83" s="7">
        <v>1</v>
      </c>
      <c r="C83" s="7">
        <v>3</v>
      </c>
      <c r="D83" s="7">
        <v>8</v>
      </c>
      <c r="E83" s="7">
        <v>7</v>
      </c>
      <c r="F83" s="7">
        <v>7</v>
      </c>
      <c r="G83" s="16">
        <v>46084</v>
      </c>
      <c r="H83" s="16" t="str">
        <f t="shared" si="4"/>
        <v>Tuesday</v>
      </c>
      <c r="I83" s="12">
        <v>122</v>
      </c>
      <c r="J83" s="9">
        <f t="shared" si="5"/>
        <v>976</v>
      </c>
      <c r="K83">
        <f t="shared" si="6"/>
        <v>1</v>
      </c>
      <c r="L83" t="str">
        <f t="shared" si="7"/>
        <v>Low Stock</v>
      </c>
    </row>
    <row r="84" spans="1:12" x14ac:dyDescent="0.45">
      <c r="A84" s="20" t="s">
        <v>50</v>
      </c>
      <c r="B84" s="6">
        <v>0</v>
      </c>
      <c r="C84" s="6">
        <v>0</v>
      </c>
      <c r="D84" s="6">
        <v>1</v>
      </c>
      <c r="E84" s="6">
        <v>1</v>
      </c>
      <c r="F84" s="6">
        <v>1</v>
      </c>
      <c r="G84" s="15">
        <v>46087</v>
      </c>
      <c r="H84" s="15" t="str">
        <f t="shared" si="4"/>
        <v>Friday</v>
      </c>
      <c r="I84" s="11">
        <v>81</v>
      </c>
      <c r="J84" s="24">
        <f t="shared" si="5"/>
        <v>81</v>
      </c>
      <c r="K84">
        <f t="shared" si="6"/>
        <v>0</v>
      </c>
      <c r="L84" t="str">
        <f t="shared" si="7"/>
        <v>Low Stock</v>
      </c>
    </row>
    <row r="85" spans="1:12" x14ac:dyDescent="0.45">
      <c r="A85" s="21" t="s">
        <v>1177</v>
      </c>
      <c r="B85" s="7">
        <v>2</v>
      </c>
      <c r="C85" s="7">
        <v>30</v>
      </c>
      <c r="D85" s="7">
        <v>2</v>
      </c>
      <c r="E85" s="7">
        <v>2</v>
      </c>
      <c r="F85" s="7">
        <v>2</v>
      </c>
      <c r="G85" s="16">
        <v>46083</v>
      </c>
      <c r="H85" s="16" t="str">
        <f t="shared" si="4"/>
        <v>Monday</v>
      </c>
      <c r="I85" s="12">
        <v>192</v>
      </c>
      <c r="J85" s="9">
        <f t="shared" si="5"/>
        <v>384</v>
      </c>
      <c r="K85">
        <f t="shared" si="6"/>
        <v>2</v>
      </c>
      <c r="L85" t="str">
        <f t="shared" si="7"/>
        <v>Low Stock</v>
      </c>
    </row>
    <row r="86" spans="1:12" x14ac:dyDescent="0.45">
      <c r="A86" s="20" t="s">
        <v>1257</v>
      </c>
      <c r="B86" s="6">
        <v>1</v>
      </c>
      <c r="C86" s="6">
        <v>30</v>
      </c>
      <c r="D86" s="6">
        <v>1</v>
      </c>
      <c r="E86" s="6">
        <v>1</v>
      </c>
      <c r="F86" s="6">
        <v>1</v>
      </c>
      <c r="G86" s="15">
        <v>46087</v>
      </c>
      <c r="H86" s="15" t="str">
        <f t="shared" si="4"/>
        <v>Friday</v>
      </c>
      <c r="I86" s="11">
        <v>108</v>
      </c>
      <c r="J86" s="24">
        <f t="shared" si="5"/>
        <v>108</v>
      </c>
      <c r="K86">
        <f t="shared" si="6"/>
        <v>1</v>
      </c>
      <c r="L86" t="str">
        <f t="shared" si="7"/>
        <v>Low Stock</v>
      </c>
    </row>
    <row r="87" spans="1:12" x14ac:dyDescent="0.45">
      <c r="A87" s="21" t="s">
        <v>267</v>
      </c>
      <c r="B87" s="7">
        <v>1</v>
      </c>
      <c r="C87" s="7">
        <v>7</v>
      </c>
      <c r="D87" s="7">
        <v>4</v>
      </c>
      <c r="E87" s="7">
        <v>4</v>
      </c>
      <c r="F87" s="7">
        <v>4</v>
      </c>
      <c r="G87" s="16">
        <v>46086</v>
      </c>
      <c r="H87" s="16" t="str">
        <f t="shared" si="4"/>
        <v>Thursday</v>
      </c>
      <c r="I87" s="12">
        <v>157</v>
      </c>
      <c r="J87" s="9">
        <f t="shared" si="5"/>
        <v>628</v>
      </c>
      <c r="K87">
        <f t="shared" si="6"/>
        <v>1</v>
      </c>
      <c r="L87" t="str">
        <f t="shared" si="7"/>
        <v>Low Stock</v>
      </c>
    </row>
    <row r="88" spans="1:12" x14ac:dyDescent="0.45">
      <c r="A88" s="20" t="s">
        <v>349</v>
      </c>
      <c r="B88" s="6">
        <v>-3</v>
      </c>
      <c r="C88" s="6">
        <v>0</v>
      </c>
      <c r="D88" s="6">
        <v>2</v>
      </c>
      <c r="E88" s="6">
        <v>2</v>
      </c>
      <c r="F88" s="6">
        <v>2</v>
      </c>
      <c r="G88" s="15">
        <v>46088</v>
      </c>
      <c r="H88" s="15" t="str">
        <f t="shared" si="4"/>
        <v>Saturday</v>
      </c>
      <c r="I88" s="11">
        <v>70</v>
      </c>
      <c r="J88" s="24">
        <f t="shared" si="5"/>
        <v>140</v>
      </c>
      <c r="K88">
        <f t="shared" si="6"/>
        <v>0</v>
      </c>
      <c r="L88" t="str">
        <f t="shared" si="7"/>
        <v>Low Stock</v>
      </c>
    </row>
    <row r="89" spans="1:12" x14ac:dyDescent="0.45">
      <c r="A89" s="21" t="s">
        <v>384</v>
      </c>
      <c r="B89" s="7">
        <v>-2</v>
      </c>
      <c r="C89" s="7">
        <v>0</v>
      </c>
      <c r="D89" s="7">
        <v>1</v>
      </c>
      <c r="E89" s="7">
        <v>1</v>
      </c>
      <c r="F89" s="7">
        <v>1</v>
      </c>
      <c r="G89" s="16">
        <v>46088</v>
      </c>
      <c r="H89" s="16" t="str">
        <f t="shared" si="4"/>
        <v>Saturday</v>
      </c>
      <c r="I89" s="12">
        <v>93</v>
      </c>
      <c r="J89" s="9">
        <f t="shared" si="5"/>
        <v>93</v>
      </c>
      <c r="K89">
        <f t="shared" si="6"/>
        <v>0</v>
      </c>
      <c r="L89" t="str">
        <f t="shared" si="7"/>
        <v>Low Stock</v>
      </c>
    </row>
    <row r="90" spans="1:12" x14ac:dyDescent="0.45">
      <c r="A90" s="20" t="s">
        <v>630</v>
      </c>
      <c r="B90" s="6">
        <v>1</v>
      </c>
      <c r="C90" s="6">
        <v>15</v>
      </c>
      <c r="D90" s="6">
        <v>2</v>
      </c>
      <c r="E90" s="6">
        <v>2</v>
      </c>
      <c r="F90" s="6">
        <v>2</v>
      </c>
      <c r="G90" s="15">
        <v>46083</v>
      </c>
      <c r="H90" s="15" t="str">
        <f t="shared" si="4"/>
        <v>Monday</v>
      </c>
      <c r="I90" s="11">
        <v>200</v>
      </c>
      <c r="J90" s="24">
        <f t="shared" si="5"/>
        <v>400</v>
      </c>
      <c r="K90">
        <f t="shared" si="6"/>
        <v>1</v>
      </c>
      <c r="L90" t="str">
        <f t="shared" si="7"/>
        <v>Low Stock</v>
      </c>
    </row>
    <row r="91" spans="1:12" x14ac:dyDescent="0.45">
      <c r="A91" s="21" t="s">
        <v>884</v>
      </c>
      <c r="B91" s="7">
        <v>20</v>
      </c>
      <c r="C91" s="7">
        <v>20</v>
      </c>
      <c r="D91" s="7">
        <v>30</v>
      </c>
      <c r="E91" s="7">
        <v>3</v>
      </c>
      <c r="F91" s="7">
        <v>3</v>
      </c>
      <c r="G91" s="16">
        <v>46083</v>
      </c>
      <c r="H91" s="16" t="str">
        <f t="shared" si="4"/>
        <v>Monday</v>
      </c>
      <c r="I91" s="12">
        <v>121</v>
      </c>
      <c r="J91" s="9">
        <f t="shared" si="5"/>
        <v>3630</v>
      </c>
      <c r="K91">
        <f t="shared" si="6"/>
        <v>20</v>
      </c>
      <c r="L91" t="str">
        <f t="shared" si="7"/>
        <v>OK</v>
      </c>
    </row>
    <row r="92" spans="1:12" x14ac:dyDescent="0.45">
      <c r="A92" s="20" t="s">
        <v>896</v>
      </c>
      <c r="B92" s="6">
        <v>6</v>
      </c>
      <c r="C92" s="6">
        <v>25</v>
      </c>
      <c r="D92" s="6">
        <v>7</v>
      </c>
      <c r="E92" s="6">
        <v>9</v>
      </c>
      <c r="F92" s="6">
        <v>8</v>
      </c>
      <c r="G92" s="15">
        <v>46084</v>
      </c>
      <c r="H92" s="15" t="str">
        <f t="shared" si="4"/>
        <v>Tuesday</v>
      </c>
      <c r="I92" s="11">
        <v>152</v>
      </c>
      <c r="J92" s="24">
        <f t="shared" si="5"/>
        <v>1064</v>
      </c>
      <c r="K92">
        <f t="shared" si="6"/>
        <v>6</v>
      </c>
      <c r="L92" t="str">
        <f t="shared" si="7"/>
        <v>OK</v>
      </c>
    </row>
    <row r="93" spans="1:12" x14ac:dyDescent="0.45">
      <c r="A93" s="21" t="s">
        <v>1042</v>
      </c>
      <c r="B93" s="7">
        <v>2</v>
      </c>
      <c r="C93" s="7">
        <v>30</v>
      </c>
      <c r="D93" s="7">
        <v>2</v>
      </c>
      <c r="E93" s="7">
        <v>2</v>
      </c>
      <c r="F93" s="7">
        <v>2</v>
      </c>
      <c r="G93" s="16">
        <v>46087</v>
      </c>
      <c r="H93" s="16" t="str">
        <f t="shared" si="4"/>
        <v>Friday</v>
      </c>
      <c r="I93" s="12">
        <v>184</v>
      </c>
      <c r="J93" s="9">
        <f t="shared" si="5"/>
        <v>368</v>
      </c>
      <c r="K93">
        <f t="shared" si="6"/>
        <v>2</v>
      </c>
      <c r="L93" t="str">
        <f t="shared" si="7"/>
        <v>Low Stock</v>
      </c>
    </row>
    <row r="94" spans="1:12" x14ac:dyDescent="0.45">
      <c r="A94" s="20" t="s">
        <v>1270</v>
      </c>
      <c r="B94" s="6">
        <v>10</v>
      </c>
      <c r="C94" s="6">
        <v>30</v>
      </c>
      <c r="D94" s="6">
        <v>10</v>
      </c>
      <c r="E94" s="6">
        <v>1</v>
      </c>
      <c r="F94" s="6">
        <v>1</v>
      </c>
      <c r="G94" s="15">
        <v>46088</v>
      </c>
      <c r="H94" s="15" t="str">
        <f t="shared" si="4"/>
        <v>Saturday</v>
      </c>
      <c r="I94" s="11">
        <v>181</v>
      </c>
      <c r="J94" s="24">
        <f t="shared" si="5"/>
        <v>1810</v>
      </c>
      <c r="K94">
        <f t="shared" si="6"/>
        <v>10</v>
      </c>
      <c r="L94" t="str">
        <f t="shared" si="7"/>
        <v>OK</v>
      </c>
    </row>
    <row r="95" spans="1:12" x14ac:dyDescent="0.45">
      <c r="A95" s="21" t="s">
        <v>1050</v>
      </c>
      <c r="B95" s="7">
        <v>3</v>
      </c>
      <c r="C95" s="7">
        <v>30</v>
      </c>
      <c r="D95" s="7">
        <v>3</v>
      </c>
      <c r="E95" s="7">
        <v>3</v>
      </c>
      <c r="F95" s="7">
        <v>3</v>
      </c>
      <c r="G95" s="16">
        <v>46087</v>
      </c>
      <c r="H95" s="16" t="str">
        <f t="shared" si="4"/>
        <v>Friday</v>
      </c>
      <c r="I95" s="12">
        <v>92</v>
      </c>
      <c r="J95" s="9">
        <f t="shared" si="5"/>
        <v>276</v>
      </c>
      <c r="K95">
        <f t="shared" si="6"/>
        <v>3</v>
      </c>
      <c r="L95" t="str">
        <f t="shared" si="7"/>
        <v>Low Stock</v>
      </c>
    </row>
    <row r="96" spans="1:12" x14ac:dyDescent="0.45">
      <c r="A96" s="20" t="s">
        <v>1182</v>
      </c>
      <c r="B96" s="6">
        <v>1</v>
      </c>
      <c r="C96" s="6">
        <v>30</v>
      </c>
      <c r="D96" s="6">
        <v>1</v>
      </c>
      <c r="E96" s="6">
        <v>1</v>
      </c>
      <c r="F96" s="6">
        <v>1</v>
      </c>
      <c r="G96" s="15">
        <v>46086</v>
      </c>
      <c r="H96" s="15" t="str">
        <f t="shared" si="4"/>
        <v>Thursday</v>
      </c>
      <c r="I96" s="11">
        <v>102</v>
      </c>
      <c r="J96" s="24">
        <f t="shared" si="5"/>
        <v>102</v>
      </c>
      <c r="K96">
        <f t="shared" si="6"/>
        <v>1</v>
      </c>
      <c r="L96" t="str">
        <f t="shared" si="7"/>
        <v>Low Stock</v>
      </c>
    </row>
    <row r="97" spans="1:12" x14ac:dyDescent="0.45">
      <c r="A97" s="21" t="s">
        <v>1188</v>
      </c>
      <c r="B97" s="7">
        <v>30</v>
      </c>
      <c r="C97" s="7">
        <v>30</v>
      </c>
      <c r="D97" s="7">
        <v>30</v>
      </c>
      <c r="E97" s="7">
        <v>1</v>
      </c>
      <c r="F97" s="7">
        <v>1</v>
      </c>
      <c r="G97" s="16">
        <v>46086</v>
      </c>
      <c r="H97" s="16" t="str">
        <f t="shared" si="4"/>
        <v>Thursday</v>
      </c>
      <c r="I97" s="12">
        <v>110</v>
      </c>
      <c r="J97" s="9">
        <f t="shared" si="5"/>
        <v>3300</v>
      </c>
      <c r="K97">
        <f t="shared" si="6"/>
        <v>30</v>
      </c>
      <c r="L97" t="str">
        <f t="shared" si="7"/>
        <v>OK</v>
      </c>
    </row>
    <row r="98" spans="1:12" x14ac:dyDescent="0.45">
      <c r="A98" s="20" t="s">
        <v>234</v>
      </c>
      <c r="B98" s="6">
        <v>0</v>
      </c>
      <c r="C98" s="6">
        <v>0</v>
      </c>
      <c r="D98" s="6">
        <v>2</v>
      </c>
      <c r="E98" s="6">
        <v>2</v>
      </c>
      <c r="F98" s="6">
        <v>2</v>
      </c>
      <c r="G98" s="15">
        <v>46085</v>
      </c>
      <c r="H98" s="15" t="str">
        <f t="shared" si="4"/>
        <v>Wednesday</v>
      </c>
      <c r="I98" s="11">
        <v>110</v>
      </c>
      <c r="J98" s="24">
        <f t="shared" si="5"/>
        <v>220</v>
      </c>
      <c r="K98">
        <f t="shared" si="6"/>
        <v>0</v>
      </c>
      <c r="L98" t="str">
        <f t="shared" si="7"/>
        <v>Low Stock</v>
      </c>
    </row>
    <row r="99" spans="1:12" x14ac:dyDescent="0.45">
      <c r="A99" s="21" t="s">
        <v>739</v>
      </c>
      <c r="B99" s="7">
        <v>458</v>
      </c>
      <c r="C99" s="7">
        <v>23</v>
      </c>
      <c r="D99" s="7">
        <v>580</v>
      </c>
      <c r="E99" s="7">
        <v>41</v>
      </c>
      <c r="F99" s="7">
        <v>20</v>
      </c>
      <c r="G99" s="16">
        <v>46083</v>
      </c>
      <c r="H99" s="16" t="str">
        <f t="shared" si="4"/>
        <v>Monday</v>
      </c>
      <c r="I99" s="12">
        <v>141</v>
      </c>
      <c r="J99" s="9">
        <f t="shared" si="5"/>
        <v>81780</v>
      </c>
      <c r="K99">
        <f t="shared" si="6"/>
        <v>458</v>
      </c>
      <c r="L99" t="str">
        <f t="shared" si="7"/>
        <v>OK</v>
      </c>
    </row>
    <row r="100" spans="1:12" x14ac:dyDescent="0.45">
      <c r="A100" s="20" t="s">
        <v>76</v>
      </c>
      <c r="B100" s="6">
        <v>-1</v>
      </c>
      <c r="C100" s="6">
        <v>0</v>
      </c>
      <c r="D100" s="6">
        <v>2</v>
      </c>
      <c r="E100" s="6">
        <v>2</v>
      </c>
      <c r="F100" s="6">
        <v>2</v>
      </c>
      <c r="G100" s="15">
        <v>46084</v>
      </c>
      <c r="H100" s="15" t="str">
        <f t="shared" si="4"/>
        <v>Tuesday</v>
      </c>
      <c r="I100" s="11">
        <v>178</v>
      </c>
      <c r="J100" s="24">
        <f t="shared" si="5"/>
        <v>356</v>
      </c>
      <c r="K100">
        <f t="shared" si="6"/>
        <v>0</v>
      </c>
      <c r="L100" t="str">
        <f t="shared" si="7"/>
        <v>Low Stock</v>
      </c>
    </row>
    <row r="101" spans="1:12" x14ac:dyDescent="0.45">
      <c r="A101" s="21" t="s">
        <v>215</v>
      </c>
      <c r="B101" s="7">
        <v>-8</v>
      </c>
      <c r="C101" s="7">
        <v>0</v>
      </c>
      <c r="D101" s="7">
        <v>3</v>
      </c>
      <c r="E101" s="7">
        <v>3</v>
      </c>
      <c r="F101" s="7">
        <v>3</v>
      </c>
      <c r="G101" s="16">
        <v>46085</v>
      </c>
      <c r="H101" s="16" t="str">
        <f t="shared" si="4"/>
        <v>Wednesday</v>
      </c>
      <c r="I101" s="12">
        <v>174</v>
      </c>
      <c r="J101" s="9">
        <f t="shared" si="5"/>
        <v>522</v>
      </c>
      <c r="K101">
        <f t="shared" si="6"/>
        <v>0</v>
      </c>
      <c r="L101" t="str">
        <f t="shared" si="7"/>
        <v>Low Stock</v>
      </c>
    </row>
    <row r="102" spans="1:12" x14ac:dyDescent="0.45">
      <c r="A102" s="20" t="s">
        <v>668</v>
      </c>
      <c r="B102" s="6">
        <v>2</v>
      </c>
      <c r="C102" s="6">
        <v>15</v>
      </c>
      <c r="D102" s="6">
        <v>4</v>
      </c>
      <c r="E102" s="6">
        <v>4</v>
      </c>
      <c r="F102" s="6">
        <v>4</v>
      </c>
      <c r="G102" s="15">
        <v>46087</v>
      </c>
      <c r="H102" s="15" t="str">
        <f t="shared" si="4"/>
        <v>Friday</v>
      </c>
      <c r="I102" s="11">
        <v>160</v>
      </c>
      <c r="J102" s="24">
        <f t="shared" si="5"/>
        <v>640</v>
      </c>
      <c r="K102">
        <f t="shared" si="6"/>
        <v>2</v>
      </c>
      <c r="L102" t="str">
        <f t="shared" si="7"/>
        <v>Low Stock</v>
      </c>
    </row>
    <row r="103" spans="1:12" x14ac:dyDescent="0.45">
      <c r="A103" s="21" t="s">
        <v>54</v>
      </c>
      <c r="B103" s="7">
        <v>0</v>
      </c>
      <c r="C103" s="7">
        <v>0</v>
      </c>
      <c r="D103" s="7">
        <v>1</v>
      </c>
      <c r="E103" s="7">
        <v>1</v>
      </c>
      <c r="F103" s="7">
        <v>1</v>
      </c>
      <c r="G103" s="16">
        <v>46082</v>
      </c>
      <c r="H103" s="16" t="str">
        <f t="shared" si="4"/>
        <v>Sunday</v>
      </c>
      <c r="I103" s="12">
        <v>124</v>
      </c>
      <c r="J103" s="9">
        <f t="shared" si="5"/>
        <v>124</v>
      </c>
      <c r="K103">
        <f t="shared" si="6"/>
        <v>0</v>
      </c>
      <c r="L103" t="str">
        <f t="shared" si="7"/>
        <v>Low Stock</v>
      </c>
    </row>
    <row r="104" spans="1:12" x14ac:dyDescent="0.45">
      <c r="A104" s="20" t="s">
        <v>182</v>
      </c>
      <c r="B104" s="6">
        <v>1</v>
      </c>
      <c r="C104" s="6">
        <v>7</v>
      </c>
      <c r="D104" s="6">
        <v>4</v>
      </c>
      <c r="E104" s="6">
        <v>3</v>
      </c>
      <c r="F104" s="6">
        <v>3</v>
      </c>
      <c r="G104" s="15">
        <v>46086</v>
      </c>
      <c r="H104" s="15" t="str">
        <f t="shared" si="4"/>
        <v>Thursday</v>
      </c>
      <c r="I104" s="11">
        <v>128</v>
      </c>
      <c r="J104" s="24">
        <f t="shared" si="5"/>
        <v>512</v>
      </c>
      <c r="K104">
        <f t="shared" si="6"/>
        <v>1</v>
      </c>
      <c r="L104" t="str">
        <f t="shared" si="7"/>
        <v>Low Stock</v>
      </c>
    </row>
    <row r="105" spans="1:12" x14ac:dyDescent="0.45">
      <c r="A105" s="21" t="s">
        <v>310</v>
      </c>
      <c r="B105" s="7">
        <v>-1</v>
      </c>
      <c r="C105" s="7">
        <v>0</v>
      </c>
      <c r="D105" s="7">
        <v>1</v>
      </c>
      <c r="E105" s="7">
        <v>1</v>
      </c>
      <c r="F105" s="7">
        <v>1</v>
      </c>
      <c r="G105" s="16">
        <v>46087</v>
      </c>
      <c r="H105" s="16" t="str">
        <f t="shared" si="4"/>
        <v>Friday</v>
      </c>
      <c r="I105" s="12">
        <v>161</v>
      </c>
      <c r="J105" s="9">
        <f t="shared" si="5"/>
        <v>161</v>
      </c>
      <c r="K105">
        <f t="shared" si="6"/>
        <v>0</v>
      </c>
      <c r="L105" t="str">
        <f t="shared" si="7"/>
        <v>Low Stock</v>
      </c>
    </row>
    <row r="106" spans="1:12" x14ac:dyDescent="0.45">
      <c r="A106" s="20" t="s">
        <v>619</v>
      </c>
      <c r="B106" s="6">
        <v>3</v>
      </c>
      <c r="C106" s="6">
        <v>15</v>
      </c>
      <c r="D106" s="6">
        <v>6</v>
      </c>
      <c r="E106" s="6">
        <v>6</v>
      </c>
      <c r="F106" s="6">
        <v>4</v>
      </c>
      <c r="G106" s="15">
        <v>46087</v>
      </c>
      <c r="H106" s="15" t="str">
        <f t="shared" si="4"/>
        <v>Friday</v>
      </c>
      <c r="I106" s="11">
        <v>193</v>
      </c>
      <c r="J106" s="24">
        <f t="shared" si="5"/>
        <v>1158</v>
      </c>
      <c r="K106">
        <f t="shared" si="6"/>
        <v>3</v>
      </c>
      <c r="L106" t="str">
        <f t="shared" si="7"/>
        <v>Low Stock</v>
      </c>
    </row>
    <row r="107" spans="1:12" x14ac:dyDescent="0.45">
      <c r="A107" s="21" t="s">
        <v>675</v>
      </c>
      <c r="B107" s="7">
        <v>1</v>
      </c>
      <c r="C107" s="7">
        <v>10</v>
      </c>
      <c r="D107" s="7">
        <v>3</v>
      </c>
      <c r="E107" s="7">
        <v>3</v>
      </c>
      <c r="F107" s="7">
        <v>3</v>
      </c>
      <c r="G107" s="16">
        <v>46086</v>
      </c>
      <c r="H107" s="16" t="str">
        <f t="shared" si="4"/>
        <v>Thursday</v>
      </c>
      <c r="I107" s="12">
        <v>130</v>
      </c>
      <c r="J107" s="9">
        <f t="shared" si="5"/>
        <v>390</v>
      </c>
      <c r="K107">
        <f t="shared" si="6"/>
        <v>1</v>
      </c>
      <c r="L107" t="str">
        <f t="shared" si="7"/>
        <v>Low Stock</v>
      </c>
    </row>
    <row r="108" spans="1:12" x14ac:dyDescent="0.45">
      <c r="A108" s="20" t="s">
        <v>1078</v>
      </c>
      <c r="B108" s="6">
        <v>30</v>
      </c>
      <c r="C108" s="6">
        <v>30</v>
      </c>
      <c r="D108" s="6">
        <v>30</v>
      </c>
      <c r="E108" s="6">
        <v>1</v>
      </c>
      <c r="F108" s="6">
        <v>1</v>
      </c>
      <c r="G108" s="15">
        <v>46086</v>
      </c>
      <c r="H108" s="15" t="str">
        <f t="shared" si="4"/>
        <v>Thursday</v>
      </c>
      <c r="I108" s="11">
        <v>173</v>
      </c>
      <c r="J108" s="24">
        <f t="shared" si="5"/>
        <v>5190</v>
      </c>
      <c r="K108">
        <f t="shared" si="6"/>
        <v>30</v>
      </c>
      <c r="L108" t="str">
        <f t="shared" si="7"/>
        <v>OK</v>
      </c>
    </row>
    <row r="109" spans="1:12" x14ac:dyDescent="0.45">
      <c r="A109" s="21" t="s">
        <v>1183</v>
      </c>
      <c r="B109" s="7">
        <v>1</v>
      </c>
      <c r="C109" s="7">
        <v>30</v>
      </c>
      <c r="D109" s="7">
        <v>1</v>
      </c>
      <c r="E109" s="7">
        <v>1</v>
      </c>
      <c r="F109" s="7">
        <v>1</v>
      </c>
      <c r="G109" s="16">
        <v>46088</v>
      </c>
      <c r="H109" s="16" t="str">
        <f t="shared" si="4"/>
        <v>Saturday</v>
      </c>
      <c r="I109" s="12">
        <v>116</v>
      </c>
      <c r="J109" s="9">
        <f t="shared" si="5"/>
        <v>116</v>
      </c>
      <c r="K109">
        <f t="shared" si="6"/>
        <v>1</v>
      </c>
      <c r="L109" t="str">
        <f t="shared" si="7"/>
        <v>Low Stock</v>
      </c>
    </row>
    <row r="110" spans="1:12" x14ac:dyDescent="0.45">
      <c r="A110" s="20" t="s">
        <v>200</v>
      </c>
      <c r="B110" s="6">
        <v>-56</v>
      </c>
      <c r="C110" s="6">
        <v>0</v>
      </c>
      <c r="D110" s="6">
        <v>30</v>
      </c>
      <c r="E110" s="6">
        <v>2</v>
      </c>
      <c r="F110" s="6">
        <v>2</v>
      </c>
      <c r="G110" s="15">
        <v>46086</v>
      </c>
      <c r="H110" s="15" t="str">
        <f t="shared" si="4"/>
        <v>Thursday</v>
      </c>
      <c r="I110" s="11">
        <v>157</v>
      </c>
      <c r="J110" s="24">
        <f t="shared" si="5"/>
        <v>4710</v>
      </c>
      <c r="K110">
        <f t="shared" si="6"/>
        <v>0</v>
      </c>
      <c r="L110" t="str">
        <f t="shared" si="7"/>
        <v>Low Stock</v>
      </c>
    </row>
    <row r="111" spans="1:12" x14ac:dyDescent="0.45">
      <c r="A111" s="21" t="s">
        <v>236</v>
      </c>
      <c r="B111" s="7">
        <v>-5</v>
      </c>
      <c r="C111" s="7">
        <v>0</v>
      </c>
      <c r="D111" s="7">
        <v>2</v>
      </c>
      <c r="E111" s="7">
        <v>2</v>
      </c>
      <c r="F111" s="7">
        <v>2</v>
      </c>
      <c r="G111" s="16">
        <v>46087</v>
      </c>
      <c r="H111" s="16" t="str">
        <f t="shared" si="4"/>
        <v>Friday</v>
      </c>
      <c r="I111" s="12">
        <v>193</v>
      </c>
      <c r="J111" s="9">
        <f t="shared" si="5"/>
        <v>386</v>
      </c>
      <c r="K111">
        <f t="shared" si="6"/>
        <v>0</v>
      </c>
      <c r="L111" t="str">
        <f t="shared" si="7"/>
        <v>Low Stock</v>
      </c>
    </row>
    <row r="112" spans="1:12" x14ac:dyDescent="0.45">
      <c r="A112" s="20" t="s">
        <v>1094</v>
      </c>
      <c r="B112" s="6">
        <v>1</v>
      </c>
      <c r="C112" s="6">
        <v>30</v>
      </c>
      <c r="D112" s="6">
        <v>1</v>
      </c>
      <c r="E112" s="6">
        <v>1</v>
      </c>
      <c r="F112" s="6">
        <v>1</v>
      </c>
      <c r="G112" s="15">
        <v>46083</v>
      </c>
      <c r="H112" s="15" t="str">
        <f t="shared" si="4"/>
        <v>Monday</v>
      </c>
      <c r="I112" s="11">
        <v>188</v>
      </c>
      <c r="J112" s="24">
        <f t="shared" si="5"/>
        <v>188</v>
      </c>
      <c r="K112">
        <f t="shared" si="6"/>
        <v>1</v>
      </c>
      <c r="L112" t="str">
        <f t="shared" si="7"/>
        <v>Low Stock</v>
      </c>
    </row>
    <row r="113" spans="1:12" x14ac:dyDescent="0.45">
      <c r="A113" s="21" t="s">
        <v>1128</v>
      </c>
      <c r="B113" s="7">
        <v>1</v>
      </c>
      <c r="C113" s="7">
        <v>30</v>
      </c>
      <c r="D113" s="7">
        <v>1</v>
      </c>
      <c r="E113" s="7">
        <v>1</v>
      </c>
      <c r="F113" s="7">
        <v>1</v>
      </c>
      <c r="G113" s="16">
        <v>46082</v>
      </c>
      <c r="H113" s="16" t="str">
        <f t="shared" si="4"/>
        <v>Sunday</v>
      </c>
      <c r="I113" s="12">
        <v>147</v>
      </c>
      <c r="J113" s="9">
        <f t="shared" si="5"/>
        <v>147</v>
      </c>
      <c r="K113">
        <f t="shared" si="6"/>
        <v>1</v>
      </c>
      <c r="L113" t="str">
        <f t="shared" si="7"/>
        <v>Low Stock</v>
      </c>
    </row>
    <row r="114" spans="1:12" x14ac:dyDescent="0.45">
      <c r="A114" s="20" t="s">
        <v>138</v>
      </c>
      <c r="B114" s="6">
        <v>-1</v>
      </c>
      <c r="C114" s="6">
        <v>0</v>
      </c>
      <c r="D114" s="6">
        <v>2</v>
      </c>
      <c r="E114" s="6">
        <v>2</v>
      </c>
      <c r="F114" s="6">
        <v>2</v>
      </c>
      <c r="G114" s="15">
        <v>46088</v>
      </c>
      <c r="H114" s="15" t="str">
        <f t="shared" si="4"/>
        <v>Saturday</v>
      </c>
      <c r="I114" s="11">
        <v>181</v>
      </c>
      <c r="J114" s="24">
        <f t="shared" si="5"/>
        <v>362</v>
      </c>
      <c r="K114">
        <f t="shared" si="6"/>
        <v>0</v>
      </c>
      <c r="L114" t="str">
        <f t="shared" si="7"/>
        <v>Low Stock</v>
      </c>
    </row>
    <row r="115" spans="1:12" x14ac:dyDescent="0.45">
      <c r="A115" s="21" t="s">
        <v>172</v>
      </c>
      <c r="B115" s="7">
        <v>0</v>
      </c>
      <c r="C115" s="7">
        <v>0</v>
      </c>
      <c r="D115" s="7">
        <v>1</v>
      </c>
      <c r="E115" s="7">
        <v>1</v>
      </c>
      <c r="F115" s="7">
        <v>1</v>
      </c>
      <c r="G115" s="16">
        <v>46083</v>
      </c>
      <c r="H115" s="16" t="str">
        <f t="shared" si="4"/>
        <v>Monday</v>
      </c>
      <c r="I115" s="12">
        <v>75</v>
      </c>
      <c r="J115" s="9">
        <f t="shared" si="5"/>
        <v>75</v>
      </c>
      <c r="K115">
        <f t="shared" si="6"/>
        <v>0</v>
      </c>
      <c r="L115" t="str">
        <f t="shared" si="7"/>
        <v>Low Stock</v>
      </c>
    </row>
    <row r="116" spans="1:12" x14ac:dyDescent="0.45">
      <c r="A116" s="20" t="s">
        <v>635</v>
      </c>
      <c r="B116" s="6">
        <v>1</v>
      </c>
      <c r="C116" s="6">
        <v>10</v>
      </c>
      <c r="D116" s="6">
        <v>3</v>
      </c>
      <c r="E116" s="6">
        <v>3</v>
      </c>
      <c r="F116" s="6">
        <v>3</v>
      </c>
      <c r="G116" s="15">
        <v>46084</v>
      </c>
      <c r="H116" s="15" t="str">
        <f t="shared" si="4"/>
        <v>Tuesday</v>
      </c>
      <c r="I116" s="11">
        <v>157</v>
      </c>
      <c r="J116" s="24">
        <f t="shared" si="5"/>
        <v>471</v>
      </c>
      <c r="K116">
        <f t="shared" si="6"/>
        <v>1</v>
      </c>
      <c r="L116" t="str">
        <f t="shared" si="7"/>
        <v>Low Stock</v>
      </c>
    </row>
    <row r="117" spans="1:12" x14ac:dyDescent="0.45">
      <c r="A117" s="21" t="s">
        <v>1159</v>
      </c>
      <c r="B117" s="7">
        <v>3</v>
      </c>
      <c r="C117" s="7">
        <v>30</v>
      </c>
      <c r="D117" s="7">
        <v>3</v>
      </c>
      <c r="E117" s="7">
        <v>2</v>
      </c>
      <c r="F117" s="7">
        <v>2</v>
      </c>
      <c r="G117" s="16">
        <v>46082</v>
      </c>
      <c r="H117" s="16" t="str">
        <f t="shared" si="4"/>
        <v>Sunday</v>
      </c>
      <c r="I117" s="12">
        <v>158</v>
      </c>
      <c r="J117" s="9">
        <f t="shared" si="5"/>
        <v>474</v>
      </c>
      <c r="K117">
        <f t="shared" si="6"/>
        <v>3</v>
      </c>
      <c r="L117" t="str">
        <f t="shared" si="7"/>
        <v>Low Stock</v>
      </c>
    </row>
    <row r="118" spans="1:12" x14ac:dyDescent="0.45">
      <c r="A118" s="20" t="s">
        <v>1197</v>
      </c>
      <c r="B118" s="6">
        <v>60</v>
      </c>
      <c r="C118" s="6">
        <v>30</v>
      </c>
      <c r="D118" s="6">
        <v>60</v>
      </c>
      <c r="E118" s="6">
        <v>2</v>
      </c>
      <c r="F118" s="6">
        <v>2</v>
      </c>
      <c r="G118" s="15">
        <v>46086</v>
      </c>
      <c r="H118" s="15" t="str">
        <f t="shared" si="4"/>
        <v>Thursday</v>
      </c>
      <c r="I118" s="11">
        <v>126</v>
      </c>
      <c r="J118" s="24">
        <f t="shared" si="5"/>
        <v>7560</v>
      </c>
      <c r="K118">
        <f t="shared" si="6"/>
        <v>60</v>
      </c>
      <c r="L118" t="str">
        <f t="shared" si="7"/>
        <v>OK</v>
      </c>
    </row>
    <row r="119" spans="1:12" x14ac:dyDescent="0.45">
      <c r="A119" s="21" t="s">
        <v>1198</v>
      </c>
      <c r="B119" s="7">
        <v>1</v>
      </c>
      <c r="C119" s="7">
        <v>30</v>
      </c>
      <c r="D119" s="7">
        <v>1</v>
      </c>
      <c r="E119" s="7">
        <v>1</v>
      </c>
      <c r="F119" s="7">
        <v>1</v>
      </c>
      <c r="G119" s="16">
        <v>46086</v>
      </c>
      <c r="H119" s="16" t="str">
        <f t="shared" si="4"/>
        <v>Thursday</v>
      </c>
      <c r="I119" s="12">
        <v>136</v>
      </c>
      <c r="J119" s="9">
        <f t="shared" si="5"/>
        <v>136</v>
      </c>
      <c r="K119">
        <f t="shared" si="6"/>
        <v>1</v>
      </c>
      <c r="L119" t="str">
        <f t="shared" si="7"/>
        <v>Low Stock</v>
      </c>
    </row>
    <row r="120" spans="1:12" x14ac:dyDescent="0.45">
      <c r="A120" s="20" t="s">
        <v>499</v>
      </c>
      <c r="B120" s="6">
        <v>0</v>
      </c>
      <c r="C120" s="6">
        <v>0</v>
      </c>
      <c r="D120" s="6">
        <v>2</v>
      </c>
      <c r="E120" s="6">
        <v>2</v>
      </c>
      <c r="F120" s="6">
        <v>2</v>
      </c>
      <c r="G120" s="15">
        <v>46082</v>
      </c>
      <c r="H120" s="15" t="str">
        <f t="shared" si="4"/>
        <v>Sunday</v>
      </c>
      <c r="I120" s="11">
        <v>139</v>
      </c>
      <c r="J120" s="24">
        <f t="shared" si="5"/>
        <v>278</v>
      </c>
      <c r="K120">
        <f t="shared" si="6"/>
        <v>0</v>
      </c>
      <c r="L120" t="str">
        <f t="shared" si="7"/>
        <v>Low Stock</v>
      </c>
    </row>
    <row r="121" spans="1:12" x14ac:dyDescent="0.45">
      <c r="A121" s="21" t="s">
        <v>512</v>
      </c>
      <c r="B121" s="7">
        <v>100</v>
      </c>
      <c r="C121" s="7">
        <v>13</v>
      </c>
      <c r="D121" s="7">
        <v>225</v>
      </c>
      <c r="E121" s="7">
        <v>10</v>
      </c>
      <c r="F121" s="7">
        <v>10</v>
      </c>
      <c r="G121" s="16">
        <v>46085</v>
      </c>
      <c r="H121" s="16" t="str">
        <f t="shared" si="4"/>
        <v>Wednesday</v>
      </c>
      <c r="I121" s="12">
        <v>166</v>
      </c>
      <c r="J121" s="9">
        <f t="shared" si="5"/>
        <v>37350</v>
      </c>
      <c r="K121">
        <f t="shared" si="6"/>
        <v>100</v>
      </c>
      <c r="L121" t="str">
        <f t="shared" si="7"/>
        <v>OK</v>
      </c>
    </row>
    <row r="122" spans="1:12" x14ac:dyDescent="0.45">
      <c r="A122" s="20" t="s">
        <v>555</v>
      </c>
      <c r="B122" s="6">
        <v>20</v>
      </c>
      <c r="C122" s="6">
        <v>15</v>
      </c>
      <c r="D122" s="6">
        <v>40</v>
      </c>
      <c r="E122" s="6">
        <v>2</v>
      </c>
      <c r="F122" s="6">
        <v>2</v>
      </c>
      <c r="G122" s="15">
        <v>46082</v>
      </c>
      <c r="H122" s="15" t="str">
        <f t="shared" si="4"/>
        <v>Sunday</v>
      </c>
      <c r="I122" s="11">
        <v>83</v>
      </c>
      <c r="J122" s="24">
        <f t="shared" si="5"/>
        <v>3320</v>
      </c>
      <c r="K122">
        <f t="shared" si="6"/>
        <v>20</v>
      </c>
      <c r="L122" t="str">
        <f t="shared" si="7"/>
        <v>OK</v>
      </c>
    </row>
    <row r="123" spans="1:12" x14ac:dyDescent="0.45">
      <c r="A123" s="21" t="s">
        <v>575</v>
      </c>
      <c r="B123" s="7">
        <v>1</v>
      </c>
      <c r="C123" s="7">
        <v>15</v>
      </c>
      <c r="D123" s="7">
        <v>2</v>
      </c>
      <c r="E123" s="7">
        <v>2</v>
      </c>
      <c r="F123" s="7">
        <v>1</v>
      </c>
      <c r="G123" s="16">
        <v>46085</v>
      </c>
      <c r="H123" s="16" t="str">
        <f t="shared" si="4"/>
        <v>Wednesday</v>
      </c>
      <c r="I123" s="12">
        <v>72</v>
      </c>
      <c r="J123" s="9">
        <f t="shared" si="5"/>
        <v>144</v>
      </c>
      <c r="K123">
        <f t="shared" si="6"/>
        <v>1</v>
      </c>
      <c r="L123" t="str">
        <f t="shared" si="7"/>
        <v>Low Stock</v>
      </c>
    </row>
    <row r="124" spans="1:12" x14ac:dyDescent="0.45">
      <c r="A124" s="20" t="s">
        <v>825</v>
      </c>
      <c r="B124" s="6">
        <v>3</v>
      </c>
      <c r="C124" s="6">
        <v>22</v>
      </c>
      <c r="D124" s="6">
        <v>4</v>
      </c>
      <c r="E124" s="6">
        <v>4</v>
      </c>
      <c r="F124" s="6">
        <v>4</v>
      </c>
      <c r="G124" s="15">
        <v>46087</v>
      </c>
      <c r="H124" s="15" t="str">
        <f t="shared" si="4"/>
        <v>Friday</v>
      </c>
      <c r="I124" s="11">
        <v>137</v>
      </c>
      <c r="J124" s="24">
        <f t="shared" si="5"/>
        <v>548</v>
      </c>
      <c r="K124">
        <f t="shared" si="6"/>
        <v>3</v>
      </c>
      <c r="L124" t="str">
        <f t="shared" si="7"/>
        <v>Low Stock</v>
      </c>
    </row>
    <row r="125" spans="1:12" x14ac:dyDescent="0.45">
      <c r="A125" s="21" t="s">
        <v>1239</v>
      </c>
      <c r="B125" s="7">
        <v>4</v>
      </c>
      <c r="C125" s="7">
        <v>30</v>
      </c>
      <c r="D125" s="7">
        <v>4</v>
      </c>
      <c r="E125" s="7">
        <v>3</v>
      </c>
      <c r="F125" s="7">
        <v>3</v>
      </c>
      <c r="G125" s="16">
        <v>46082</v>
      </c>
      <c r="H125" s="16" t="str">
        <f t="shared" si="4"/>
        <v>Sunday</v>
      </c>
      <c r="I125" s="12">
        <v>205</v>
      </c>
      <c r="J125" s="9">
        <f t="shared" si="5"/>
        <v>820</v>
      </c>
      <c r="K125">
        <f t="shared" si="6"/>
        <v>4</v>
      </c>
      <c r="L125" t="str">
        <f t="shared" si="7"/>
        <v>Low Stock</v>
      </c>
    </row>
    <row r="126" spans="1:12" x14ac:dyDescent="0.45">
      <c r="A126" s="20" t="s">
        <v>152</v>
      </c>
      <c r="B126" s="6">
        <v>-3</v>
      </c>
      <c r="C126" s="6">
        <v>0</v>
      </c>
      <c r="D126" s="6">
        <v>3</v>
      </c>
      <c r="E126" s="6">
        <v>3</v>
      </c>
      <c r="F126" s="6">
        <v>3</v>
      </c>
      <c r="G126" s="15">
        <v>46085</v>
      </c>
      <c r="H126" s="15" t="str">
        <f t="shared" si="4"/>
        <v>Wednesday</v>
      </c>
      <c r="I126" s="11">
        <v>167</v>
      </c>
      <c r="J126" s="24">
        <f t="shared" si="5"/>
        <v>501</v>
      </c>
      <c r="K126">
        <f t="shared" si="6"/>
        <v>0</v>
      </c>
      <c r="L126" t="str">
        <f t="shared" si="7"/>
        <v>Low Stock</v>
      </c>
    </row>
    <row r="127" spans="1:12" x14ac:dyDescent="0.45">
      <c r="A127" s="21" t="s">
        <v>240</v>
      </c>
      <c r="B127" s="7">
        <v>-6</v>
      </c>
      <c r="C127" s="7">
        <v>0</v>
      </c>
      <c r="D127" s="7">
        <v>2</v>
      </c>
      <c r="E127" s="7">
        <v>2</v>
      </c>
      <c r="F127" s="7">
        <v>2</v>
      </c>
      <c r="G127" s="16">
        <v>46083</v>
      </c>
      <c r="H127" s="16" t="str">
        <f t="shared" si="4"/>
        <v>Monday</v>
      </c>
      <c r="I127" s="12">
        <v>175</v>
      </c>
      <c r="J127" s="9">
        <f t="shared" si="5"/>
        <v>350</v>
      </c>
      <c r="K127">
        <f t="shared" si="6"/>
        <v>0</v>
      </c>
      <c r="L127" t="str">
        <f t="shared" si="7"/>
        <v>Low Stock</v>
      </c>
    </row>
    <row r="128" spans="1:12" x14ac:dyDescent="0.45">
      <c r="A128" s="20" t="s">
        <v>305</v>
      </c>
      <c r="B128" s="6">
        <v>-21</v>
      </c>
      <c r="C128" s="6">
        <v>0</v>
      </c>
      <c r="D128" s="6">
        <v>3</v>
      </c>
      <c r="E128" s="6">
        <v>1</v>
      </c>
      <c r="F128" s="6">
        <v>1</v>
      </c>
      <c r="G128" s="15">
        <v>46086</v>
      </c>
      <c r="H128" s="15" t="str">
        <f t="shared" si="4"/>
        <v>Thursday</v>
      </c>
      <c r="I128" s="11">
        <v>173</v>
      </c>
      <c r="J128" s="24">
        <f t="shared" si="5"/>
        <v>519</v>
      </c>
      <c r="K128">
        <f t="shared" si="6"/>
        <v>0</v>
      </c>
      <c r="L128" t="str">
        <f t="shared" si="7"/>
        <v>Low Stock</v>
      </c>
    </row>
    <row r="129" spans="1:12" x14ac:dyDescent="0.45">
      <c r="A129" s="21" t="s">
        <v>452</v>
      </c>
      <c r="B129" s="7">
        <v>0</v>
      </c>
      <c r="C129" s="7">
        <v>0</v>
      </c>
      <c r="D129" s="7">
        <v>2</v>
      </c>
      <c r="E129" s="7">
        <v>2</v>
      </c>
      <c r="F129" s="7">
        <v>2</v>
      </c>
      <c r="G129" s="16">
        <v>46084</v>
      </c>
      <c r="H129" s="16" t="str">
        <f t="shared" si="4"/>
        <v>Tuesday</v>
      </c>
      <c r="I129" s="12">
        <v>83</v>
      </c>
      <c r="J129" s="9">
        <f t="shared" si="5"/>
        <v>166</v>
      </c>
      <c r="K129">
        <f t="shared" si="6"/>
        <v>0</v>
      </c>
      <c r="L129" t="str">
        <f t="shared" si="7"/>
        <v>Low Stock</v>
      </c>
    </row>
    <row r="130" spans="1:12" x14ac:dyDescent="0.45">
      <c r="A130" s="20" t="s">
        <v>530</v>
      </c>
      <c r="B130" s="6">
        <v>30</v>
      </c>
      <c r="C130" s="6">
        <v>15</v>
      </c>
      <c r="D130" s="6">
        <v>60</v>
      </c>
      <c r="E130" s="6">
        <v>4</v>
      </c>
      <c r="F130" s="6">
        <v>4</v>
      </c>
      <c r="G130" s="15">
        <v>46088</v>
      </c>
      <c r="H130" s="15" t="str">
        <f t="shared" ref="H130:H193" si="8">TEXT(G130,"dddd")</f>
        <v>Saturday</v>
      </c>
      <c r="I130" s="11">
        <v>183</v>
      </c>
      <c r="J130" s="24">
        <f t="shared" ref="J130:J193" si="9">D130*I130</f>
        <v>10980</v>
      </c>
      <c r="K130">
        <f t="shared" ref="K130:K193" si="10">IF(B130&lt;0,0,B130)</f>
        <v>30</v>
      </c>
      <c r="L130" t="str">
        <f t="shared" ref="L130:L193" si="11">IF(K130&lt;5,"Low Stock","OK")</f>
        <v>OK</v>
      </c>
    </row>
    <row r="131" spans="1:12" x14ac:dyDescent="0.45">
      <c r="A131" s="21" t="s">
        <v>873</v>
      </c>
      <c r="B131" s="7">
        <v>4</v>
      </c>
      <c r="C131" s="7">
        <v>30</v>
      </c>
      <c r="D131" s="7">
        <v>4</v>
      </c>
      <c r="E131" s="7">
        <v>1</v>
      </c>
      <c r="F131" s="7">
        <v>1</v>
      </c>
      <c r="G131" s="16">
        <v>46084</v>
      </c>
      <c r="H131" s="16" t="str">
        <f t="shared" si="8"/>
        <v>Tuesday</v>
      </c>
      <c r="I131" s="12">
        <v>163</v>
      </c>
      <c r="J131" s="9">
        <f t="shared" si="9"/>
        <v>652</v>
      </c>
      <c r="K131">
        <f t="shared" si="10"/>
        <v>4</v>
      </c>
      <c r="L131" t="str">
        <f t="shared" si="11"/>
        <v>Low Stock</v>
      </c>
    </row>
    <row r="132" spans="1:12" x14ac:dyDescent="0.45">
      <c r="A132" s="20" t="s">
        <v>950</v>
      </c>
      <c r="B132" s="6">
        <v>2</v>
      </c>
      <c r="C132" s="6">
        <v>30</v>
      </c>
      <c r="D132" s="6">
        <v>2</v>
      </c>
      <c r="E132" s="6">
        <v>2</v>
      </c>
      <c r="F132" s="6">
        <v>2</v>
      </c>
      <c r="G132" s="15">
        <v>46084</v>
      </c>
      <c r="H132" s="15" t="str">
        <f t="shared" si="8"/>
        <v>Tuesday</v>
      </c>
      <c r="I132" s="11">
        <v>82</v>
      </c>
      <c r="J132" s="24">
        <f t="shared" si="9"/>
        <v>164</v>
      </c>
      <c r="K132">
        <f t="shared" si="10"/>
        <v>2</v>
      </c>
      <c r="L132" t="str">
        <f t="shared" si="11"/>
        <v>Low Stock</v>
      </c>
    </row>
    <row r="133" spans="1:12" x14ac:dyDescent="0.45">
      <c r="A133" s="21" t="s">
        <v>131</v>
      </c>
      <c r="B133" s="7">
        <v>0</v>
      </c>
      <c r="C133" s="7">
        <v>0</v>
      </c>
      <c r="D133" s="7">
        <v>2</v>
      </c>
      <c r="E133" s="7">
        <v>2</v>
      </c>
      <c r="F133" s="7">
        <v>2</v>
      </c>
      <c r="G133" s="16">
        <v>46083</v>
      </c>
      <c r="H133" s="16" t="str">
        <f t="shared" si="8"/>
        <v>Monday</v>
      </c>
      <c r="I133" s="12">
        <v>119</v>
      </c>
      <c r="J133" s="9">
        <f t="shared" si="9"/>
        <v>238</v>
      </c>
      <c r="K133">
        <f t="shared" si="10"/>
        <v>0</v>
      </c>
      <c r="L133" t="str">
        <f t="shared" si="11"/>
        <v>Low Stock</v>
      </c>
    </row>
    <row r="134" spans="1:12" x14ac:dyDescent="0.45">
      <c r="A134" s="20" t="s">
        <v>273</v>
      </c>
      <c r="B134" s="6">
        <v>-1</v>
      </c>
      <c r="C134" s="6">
        <v>0</v>
      </c>
      <c r="D134" s="6">
        <v>1</v>
      </c>
      <c r="E134" s="6">
        <v>1</v>
      </c>
      <c r="F134" s="6">
        <v>1</v>
      </c>
      <c r="G134" s="15">
        <v>46082</v>
      </c>
      <c r="H134" s="15" t="str">
        <f t="shared" si="8"/>
        <v>Sunday</v>
      </c>
      <c r="I134" s="11">
        <v>122</v>
      </c>
      <c r="J134" s="24">
        <f t="shared" si="9"/>
        <v>122</v>
      </c>
      <c r="K134">
        <f t="shared" si="10"/>
        <v>0</v>
      </c>
      <c r="L134" t="str">
        <f t="shared" si="11"/>
        <v>Low Stock</v>
      </c>
    </row>
    <row r="135" spans="1:12" x14ac:dyDescent="0.45">
      <c r="A135" s="21" t="s">
        <v>621</v>
      </c>
      <c r="B135" s="7">
        <v>10</v>
      </c>
      <c r="C135" s="7">
        <v>15</v>
      </c>
      <c r="D135" s="7">
        <v>20</v>
      </c>
      <c r="E135" s="7">
        <v>2</v>
      </c>
      <c r="F135" s="7">
        <v>2</v>
      </c>
      <c r="G135" s="16">
        <v>46084</v>
      </c>
      <c r="H135" s="16" t="str">
        <f t="shared" si="8"/>
        <v>Tuesday</v>
      </c>
      <c r="I135" s="12">
        <v>196</v>
      </c>
      <c r="J135" s="9">
        <f t="shared" si="9"/>
        <v>3920</v>
      </c>
      <c r="K135">
        <f t="shared" si="10"/>
        <v>10</v>
      </c>
      <c r="L135" t="str">
        <f t="shared" si="11"/>
        <v>OK</v>
      </c>
    </row>
    <row r="136" spans="1:12" x14ac:dyDescent="0.45">
      <c r="A136" s="20" t="s">
        <v>743</v>
      </c>
      <c r="B136" s="6">
        <v>4</v>
      </c>
      <c r="C136" s="6">
        <v>30</v>
      </c>
      <c r="D136" s="6">
        <v>4</v>
      </c>
      <c r="E136" s="6">
        <v>4</v>
      </c>
      <c r="F136" s="6">
        <v>4</v>
      </c>
      <c r="G136" s="15">
        <v>46082</v>
      </c>
      <c r="H136" s="15" t="str">
        <f t="shared" si="8"/>
        <v>Sunday</v>
      </c>
      <c r="I136" s="11">
        <v>83</v>
      </c>
      <c r="J136" s="24">
        <f t="shared" si="9"/>
        <v>332</v>
      </c>
      <c r="K136">
        <f t="shared" si="10"/>
        <v>4</v>
      </c>
      <c r="L136" t="str">
        <f t="shared" si="11"/>
        <v>Low Stock</v>
      </c>
    </row>
    <row r="137" spans="1:12" x14ac:dyDescent="0.45">
      <c r="A137" s="21" t="s">
        <v>956</v>
      </c>
      <c r="B137" s="7">
        <v>2</v>
      </c>
      <c r="C137" s="7">
        <v>20</v>
      </c>
      <c r="D137" s="7">
        <v>3</v>
      </c>
      <c r="E137" s="7">
        <v>3</v>
      </c>
      <c r="F137" s="7">
        <v>3</v>
      </c>
      <c r="G137" s="16">
        <v>46085</v>
      </c>
      <c r="H137" s="16" t="str">
        <f t="shared" si="8"/>
        <v>Wednesday</v>
      </c>
      <c r="I137" s="12">
        <v>136</v>
      </c>
      <c r="J137" s="9">
        <f t="shared" si="9"/>
        <v>408</v>
      </c>
      <c r="K137">
        <f t="shared" si="10"/>
        <v>2</v>
      </c>
      <c r="L137" t="str">
        <f t="shared" si="11"/>
        <v>Low Stock</v>
      </c>
    </row>
    <row r="138" spans="1:12" x14ac:dyDescent="0.45">
      <c r="A138" s="20" t="s">
        <v>86</v>
      </c>
      <c r="B138" s="6">
        <v>0</v>
      </c>
      <c r="C138" s="6">
        <v>0</v>
      </c>
      <c r="D138" s="6">
        <v>2</v>
      </c>
      <c r="E138" s="6">
        <v>2</v>
      </c>
      <c r="F138" s="6">
        <v>2</v>
      </c>
      <c r="G138" s="15">
        <v>46087</v>
      </c>
      <c r="H138" s="15" t="str">
        <f t="shared" si="8"/>
        <v>Friday</v>
      </c>
      <c r="I138" s="11">
        <v>135</v>
      </c>
      <c r="J138" s="24">
        <f t="shared" si="9"/>
        <v>270</v>
      </c>
      <c r="K138">
        <f t="shared" si="10"/>
        <v>0</v>
      </c>
      <c r="L138" t="str">
        <f t="shared" si="11"/>
        <v>Low Stock</v>
      </c>
    </row>
    <row r="139" spans="1:12" x14ac:dyDescent="0.45">
      <c r="A139" s="21" t="s">
        <v>180</v>
      </c>
      <c r="B139" s="7">
        <v>0</v>
      </c>
      <c r="C139" s="7">
        <v>0</v>
      </c>
      <c r="D139" s="7">
        <v>2</v>
      </c>
      <c r="E139" s="7">
        <v>2</v>
      </c>
      <c r="F139" s="7">
        <v>2</v>
      </c>
      <c r="G139" s="16">
        <v>46085</v>
      </c>
      <c r="H139" s="16" t="str">
        <f t="shared" si="8"/>
        <v>Wednesday</v>
      </c>
      <c r="I139" s="12">
        <v>80</v>
      </c>
      <c r="J139" s="9">
        <f t="shared" si="9"/>
        <v>160</v>
      </c>
      <c r="K139">
        <f t="shared" si="10"/>
        <v>0</v>
      </c>
      <c r="L139" t="str">
        <f t="shared" si="11"/>
        <v>Low Stock</v>
      </c>
    </row>
    <row r="140" spans="1:12" x14ac:dyDescent="0.45">
      <c r="A140" s="20" t="s">
        <v>375</v>
      </c>
      <c r="B140" s="6">
        <v>-7</v>
      </c>
      <c r="C140" s="6">
        <v>0</v>
      </c>
      <c r="D140" s="6">
        <v>1</v>
      </c>
      <c r="E140" s="6">
        <v>1</v>
      </c>
      <c r="F140" s="6">
        <v>1</v>
      </c>
      <c r="G140" s="15">
        <v>46086</v>
      </c>
      <c r="H140" s="15" t="str">
        <f t="shared" si="8"/>
        <v>Thursday</v>
      </c>
      <c r="I140" s="11">
        <v>123</v>
      </c>
      <c r="J140" s="24">
        <f t="shared" si="9"/>
        <v>123</v>
      </c>
      <c r="K140">
        <f t="shared" si="10"/>
        <v>0</v>
      </c>
      <c r="L140" t="str">
        <f t="shared" si="11"/>
        <v>Low Stock</v>
      </c>
    </row>
    <row r="141" spans="1:12" x14ac:dyDescent="0.45">
      <c r="A141" s="21" t="s">
        <v>448</v>
      </c>
      <c r="B141" s="7">
        <v>0</v>
      </c>
      <c r="C141" s="7">
        <v>0</v>
      </c>
      <c r="D141" s="7">
        <v>1</v>
      </c>
      <c r="E141" s="7">
        <v>1</v>
      </c>
      <c r="F141" s="7">
        <v>1</v>
      </c>
      <c r="G141" s="16">
        <v>46087</v>
      </c>
      <c r="H141" s="16" t="str">
        <f t="shared" si="8"/>
        <v>Friday</v>
      </c>
      <c r="I141" s="12">
        <v>117</v>
      </c>
      <c r="J141" s="9">
        <f t="shared" si="9"/>
        <v>117</v>
      </c>
      <c r="K141">
        <f t="shared" si="10"/>
        <v>0</v>
      </c>
      <c r="L141" t="str">
        <f t="shared" si="11"/>
        <v>Low Stock</v>
      </c>
    </row>
    <row r="142" spans="1:12" x14ac:dyDescent="0.45">
      <c r="A142" s="20" t="s">
        <v>467</v>
      </c>
      <c r="B142" s="6">
        <v>-4</v>
      </c>
      <c r="C142" s="6">
        <v>0</v>
      </c>
      <c r="D142" s="6">
        <v>2</v>
      </c>
      <c r="E142" s="6">
        <v>2</v>
      </c>
      <c r="F142" s="6">
        <v>2</v>
      </c>
      <c r="G142" s="15">
        <v>46082</v>
      </c>
      <c r="H142" s="15" t="str">
        <f t="shared" si="8"/>
        <v>Sunday</v>
      </c>
      <c r="I142" s="11">
        <v>181</v>
      </c>
      <c r="J142" s="24">
        <f t="shared" si="9"/>
        <v>362</v>
      </c>
      <c r="K142">
        <f t="shared" si="10"/>
        <v>0</v>
      </c>
      <c r="L142" t="str">
        <f t="shared" si="11"/>
        <v>Low Stock</v>
      </c>
    </row>
    <row r="143" spans="1:12" x14ac:dyDescent="0.45">
      <c r="A143" s="21" t="s">
        <v>484</v>
      </c>
      <c r="B143" s="7">
        <v>-1</v>
      </c>
      <c r="C143" s="7">
        <v>0</v>
      </c>
      <c r="D143" s="7">
        <v>4</v>
      </c>
      <c r="E143" s="7">
        <v>4</v>
      </c>
      <c r="F143" s="7">
        <v>3</v>
      </c>
      <c r="G143" s="16">
        <v>46082</v>
      </c>
      <c r="H143" s="16" t="str">
        <f t="shared" si="8"/>
        <v>Sunday</v>
      </c>
      <c r="I143" s="12">
        <v>227</v>
      </c>
      <c r="J143" s="9">
        <f t="shared" si="9"/>
        <v>908</v>
      </c>
      <c r="K143">
        <f t="shared" si="10"/>
        <v>0</v>
      </c>
      <c r="L143" t="str">
        <f t="shared" si="11"/>
        <v>Low Stock</v>
      </c>
    </row>
    <row r="144" spans="1:12" x14ac:dyDescent="0.45">
      <c r="A144" s="20" t="s">
        <v>319</v>
      </c>
      <c r="B144" s="6">
        <v>0</v>
      </c>
      <c r="C144" s="6">
        <v>0</v>
      </c>
      <c r="D144" s="6">
        <v>24</v>
      </c>
      <c r="E144" s="6">
        <v>1</v>
      </c>
      <c r="F144" s="6">
        <v>1</v>
      </c>
      <c r="G144" s="15">
        <v>46087</v>
      </c>
      <c r="H144" s="15" t="str">
        <f t="shared" si="8"/>
        <v>Friday</v>
      </c>
      <c r="I144" s="11">
        <v>161</v>
      </c>
      <c r="J144" s="24">
        <f t="shared" si="9"/>
        <v>3864</v>
      </c>
      <c r="K144">
        <f t="shared" si="10"/>
        <v>0</v>
      </c>
      <c r="L144" t="str">
        <f t="shared" si="11"/>
        <v>Low Stock</v>
      </c>
    </row>
    <row r="145" spans="1:12" x14ac:dyDescent="0.45">
      <c r="A145" s="21" t="s">
        <v>846</v>
      </c>
      <c r="B145" s="7">
        <v>1</v>
      </c>
      <c r="C145" s="7">
        <v>30</v>
      </c>
      <c r="D145" s="7">
        <v>1</v>
      </c>
      <c r="E145" s="7">
        <v>1</v>
      </c>
      <c r="F145" s="7">
        <v>1</v>
      </c>
      <c r="G145" s="16">
        <v>46085</v>
      </c>
      <c r="H145" s="16" t="str">
        <f t="shared" si="8"/>
        <v>Wednesday</v>
      </c>
      <c r="I145" s="12">
        <v>172</v>
      </c>
      <c r="J145" s="9">
        <f t="shared" si="9"/>
        <v>172</v>
      </c>
      <c r="K145">
        <f t="shared" si="10"/>
        <v>1</v>
      </c>
      <c r="L145" t="str">
        <f t="shared" si="11"/>
        <v>Low Stock</v>
      </c>
    </row>
    <row r="146" spans="1:12" x14ac:dyDescent="0.45">
      <c r="A146" s="20" t="s">
        <v>910</v>
      </c>
      <c r="B146" s="6">
        <v>60</v>
      </c>
      <c r="C146" s="6">
        <v>30</v>
      </c>
      <c r="D146" s="6">
        <v>60</v>
      </c>
      <c r="E146" s="6">
        <v>2</v>
      </c>
      <c r="F146" s="6">
        <v>2</v>
      </c>
      <c r="G146" s="15">
        <v>46088</v>
      </c>
      <c r="H146" s="15" t="str">
        <f t="shared" si="8"/>
        <v>Saturday</v>
      </c>
      <c r="I146" s="11">
        <v>132</v>
      </c>
      <c r="J146" s="24">
        <f t="shared" si="9"/>
        <v>7920</v>
      </c>
      <c r="K146">
        <f t="shared" si="10"/>
        <v>60</v>
      </c>
      <c r="L146" t="str">
        <f t="shared" si="11"/>
        <v>OK</v>
      </c>
    </row>
    <row r="147" spans="1:12" x14ac:dyDescent="0.45">
      <c r="A147" s="21" t="s">
        <v>40</v>
      </c>
      <c r="B147" s="7">
        <v>0</v>
      </c>
      <c r="C147" s="7">
        <v>0</v>
      </c>
      <c r="D147" s="7">
        <v>2</v>
      </c>
      <c r="E147" s="7">
        <v>2</v>
      </c>
      <c r="F147" s="7">
        <v>2</v>
      </c>
      <c r="G147" s="16">
        <v>46082</v>
      </c>
      <c r="H147" s="16" t="str">
        <f t="shared" si="8"/>
        <v>Sunday</v>
      </c>
      <c r="I147" s="12">
        <v>193</v>
      </c>
      <c r="J147" s="9">
        <f t="shared" si="9"/>
        <v>386</v>
      </c>
      <c r="K147">
        <f t="shared" si="10"/>
        <v>0</v>
      </c>
      <c r="L147" t="str">
        <f t="shared" si="11"/>
        <v>Low Stock</v>
      </c>
    </row>
    <row r="148" spans="1:12" x14ac:dyDescent="0.45">
      <c r="A148" s="20" t="s">
        <v>222</v>
      </c>
      <c r="B148" s="6">
        <v>-4</v>
      </c>
      <c r="C148" s="6">
        <v>0</v>
      </c>
      <c r="D148" s="6">
        <v>2</v>
      </c>
      <c r="E148" s="6">
        <v>2</v>
      </c>
      <c r="F148" s="6">
        <v>2</v>
      </c>
      <c r="G148" s="15">
        <v>46085</v>
      </c>
      <c r="H148" s="15" t="str">
        <f t="shared" si="8"/>
        <v>Wednesday</v>
      </c>
      <c r="I148" s="11">
        <v>170</v>
      </c>
      <c r="J148" s="24">
        <f t="shared" si="9"/>
        <v>340</v>
      </c>
      <c r="K148">
        <f t="shared" si="10"/>
        <v>0</v>
      </c>
      <c r="L148" t="str">
        <f t="shared" si="11"/>
        <v>Low Stock</v>
      </c>
    </row>
    <row r="149" spans="1:12" x14ac:dyDescent="0.45">
      <c r="A149" s="21" t="s">
        <v>261</v>
      </c>
      <c r="B149" s="7">
        <v>-7</v>
      </c>
      <c r="C149" s="7">
        <v>0</v>
      </c>
      <c r="D149" s="7">
        <v>1</v>
      </c>
      <c r="E149" s="7">
        <v>1</v>
      </c>
      <c r="F149" s="7">
        <v>1</v>
      </c>
      <c r="G149" s="16">
        <v>46084</v>
      </c>
      <c r="H149" s="16" t="str">
        <f t="shared" si="8"/>
        <v>Tuesday</v>
      </c>
      <c r="I149" s="12">
        <v>91</v>
      </c>
      <c r="J149" s="9">
        <f t="shared" si="9"/>
        <v>91</v>
      </c>
      <c r="K149">
        <f t="shared" si="10"/>
        <v>0</v>
      </c>
      <c r="L149" t="str">
        <f t="shared" si="11"/>
        <v>Low Stock</v>
      </c>
    </row>
    <row r="150" spans="1:12" x14ac:dyDescent="0.45">
      <c r="A150" s="20" t="s">
        <v>389</v>
      </c>
      <c r="B150" s="6">
        <v>0</v>
      </c>
      <c r="C150" s="6">
        <v>0</v>
      </c>
      <c r="D150" s="6">
        <v>1</v>
      </c>
      <c r="E150" s="6">
        <v>1</v>
      </c>
      <c r="F150" s="6">
        <v>1</v>
      </c>
      <c r="G150" s="15">
        <v>46082</v>
      </c>
      <c r="H150" s="15" t="str">
        <f t="shared" si="8"/>
        <v>Sunday</v>
      </c>
      <c r="I150" s="11">
        <v>161</v>
      </c>
      <c r="J150" s="24">
        <f t="shared" si="9"/>
        <v>161</v>
      </c>
      <c r="K150">
        <f t="shared" si="10"/>
        <v>0</v>
      </c>
      <c r="L150" t="str">
        <f t="shared" si="11"/>
        <v>Low Stock</v>
      </c>
    </row>
    <row r="151" spans="1:12" x14ac:dyDescent="0.45">
      <c r="A151" s="21" t="s">
        <v>459</v>
      </c>
      <c r="B151" s="7">
        <v>0</v>
      </c>
      <c r="C151" s="7">
        <v>0</v>
      </c>
      <c r="D151" s="7">
        <v>2</v>
      </c>
      <c r="E151" s="7">
        <v>2</v>
      </c>
      <c r="F151" s="7">
        <v>2</v>
      </c>
      <c r="G151" s="16">
        <v>46082</v>
      </c>
      <c r="H151" s="16" t="str">
        <f t="shared" si="8"/>
        <v>Sunday</v>
      </c>
      <c r="I151" s="12">
        <v>177</v>
      </c>
      <c r="J151" s="9">
        <f t="shared" si="9"/>
        <v>354</v>
      </c>
      <c r="K151">
        <f t="shared" si="10"/>
        <v>0</v>
      </c>
      <c r="L151" t="str">
        <f t="shared" si="11"/>
        <v>Low Stock</v>
      </c>
    </row>
    <row r="152" spans="1:12" x14ac:dyDescent="0.45">
      <c r="A152" s="20" t="s">
        <v>605</v>
      </c>
      <c r="B152" s="6">
        <v>2</v>
      </c>
      <c r="C152" s="6">
        <v>12</v>
      </c>
      <c r="D152" s="6">
        <v>5</v>
      </c>
      <c r="E152" s="6">
        <v>5</v>
      </c>
      <c r="F152" s="6">
        <v>4</v>
      </c>
      <c r="G152" s="15">
        <v>46088</v>
      </c>
      <c r="H152" s="15" t="str">
        <f t="shared" si="8"/>
        <v>Saturday</v>
      </c>
      <c r="I152" s="11">
        <v>250</v>
      </c>
      <c r="J152" s="24">
        <f t="shared" si="9"/>
        <v>1250</v>
      </c>
      <c r="K152">
        <f t="shared" si="10"/>
        <v>2</v>
      </c>
      <c r="L152" t="str">
        <f t="shared" si="11"/>
        <v>Low Stock</v>
      </c>
    </row>
    <row r="153" spans="1:12" x14ac:dyDescent="0.45">
      <c r="A153" s="21" t="s">
        <v>62</v>
      </c>
      <c r="B153" s="7">
        <v>-5</v>
      </c>
      <c r="C153" s="7">
        <v>0</v>
      </c>
      <c r="D153" s="7">
        <v>1</v>
      </c>
      <c r="E153" s="7">
        <v>1</v>
      </c>
      <c r="F153" s="7">
        <v>1</v>
      </c>
      <c r="G153" s="16">
        <v>46083</v>
      </c>
      <c r="H153" s="16" t="str">
        <f t="shared" si="8"/>
        <v>Monday</v>
      </c>
      <c r="I153" s="12">
        <v>179</v>
      </c>
      <c r="J153" s="9">
        <f t="shared" si="9"/>
        <v>179</v>
      </c>
      <c r="K153">
        <f t="shared" si="10"/>
        <v>0</v>
      </c>
      <c r="L153" t="str">
        <f t="shared" si="11"/>
        <v>Low Stock</v>
      </c>
    </row>
    <row r="154" spans="1:12" x14ac:dyDescent="0.45">
      <c r="A154" s="20" t="s">
        <v>135</v>
      </c>
      <c r="B154" s="6">
        <v>0</v>
      </c>
      <c r="C154" s="6">
        <v>0</v>
      </c>
      <c r="D154" s="6">
        <v>7</v>
      </c>
      <c r="E154" s="6">
        <v>7</v>
      </c>
      <c r="F154" s="6">
        <v>6</v>
      </c>
      <c r="G154" s="15">
        <v>46087</v>
      </c>
      <c r="H154" s="15" t="str">
        <f t="shared" si="8"/>
        <v>Friday</v>
      </c>
      <c r="I154" s="11">
        <v>114</v>
      </c>
      <c r="J154" s="24">
        <f t="shared" si="9"/>
        <v>798</v>
      </c>
      <c r="K154">
        <f t="shared" si="10"/>
        <v>0</v>
      </c>
      <c r="L154" t="str">
        <f t="shared" si="11"/>
        <v>Low Stock</v>
      </c>
    </row>
    <row r="155" spans="1:12" x14ac:dyDescent="0.45">
      <c r="A155" s="21" t="s">
        <v>781</v>
      </c>
      <c r="B155" s="7">
        <v>199</v>
      </c>
      <c r="C155" s="7">
        <v>17</v>
      </c>
      <c r="D155" s="7">
        <v>341</v>
      </c>
      <c r="E155" s="7">
        <v>22</v>
      </c>
      <c r="F155" s="7">
        <v>14</v>
      </c>
      <c r="G155" s="16">
        <v>46083</v>
      </c>
      <c r="H155" s="16" t="str">
        <f t="shared" si="8"/>
        <v>Monday</v>
      </c>
      <c r="I155" s="12">
        <v>116</v>
      </c>
      <c r="J155" s="9">
        <f t="shared" si="9"/>
        <v>39556</v>
      </c>
      <c r="K155">
        <f t="shared" si="10"/>
        <v>199</v>
      </c>
      <c r="L155" t="str">
        <f t="shared" si="11"/>
        <v>OK</v>
      </c>
    </row>
    <row r="156" spans="1:12" x14ac:dyDescent="0.45">
      <c r="A156" s="20" t="s">
        <v>912</v>
      </c>
      <c r="B156" s="6">
        <v>2</v>
      </c>
      <c r="C156" s="6">
        <v>30</v>
      </c>
      <c r="D156" s="6">
        <v>2</v>
      </c>
      <c r="E156" s="6">
        <v>2</v>
      </c>
      <c r="F156" s="6">
        <v>2</v>
      </c>
      <c r="G156" s="15">
        <v>46088</v>
      </c>
      <c r="H156" s="15" t="str">
        <f t="shared" si="8"/>
        <v>Saturday</v>
      </c>
      <c r="I156" s="11">
        <v>117</v>
      </c>
      <c r="J156" s="24">
        <f t="shared" si="9"/>
        <v>234</v>
      </c>
      <c r="K156">
        <f t="shared" si="10"/>
        <v>2</v>
      </c>
      <c r="L156" t="str">
        <f t="shared" si="11"/>
        <v>Low Stock</v>
      </c>
    </row>
    <row r="157" spans="1:12" x14ac:dyDescent="0.45">
      <c r="A157" s="21" t="s">
        <v>63</v>
      </c>
      <c r="B157" s="7">
        <v>1</v>
      </c>
      <c r="C157" s="7">
        <v>5</v>
      </c>
      <c r="D157" s="7">
        <v>6</v>
      </c>
      <c r="E157" s="7">
        <v>6</v>
      </c>
      <c r="F157" s="7">
        <v>5</v>
      </c>
      <c r="G157" s="16">
        <v>46086</v>
      </c>
      <c r="H157" s="16" t="str">
        <f t="shared" si="8"/>
        <v>Thursday</v>
      </c>
      <c r="I157" s="12">
        <v>191</v>
      </c>
      <c r="J157" s="9">
        <f t="shared" si="9"/>
        <v>1146</v>
      </c>
      <c r="K157">
        <f t="shared" si="10"/>
        <v>1</v>
      </c>
      <c r="L157" t="str">
        <f t="shared" si="11"/>
        <v>Low Stock</v>
      </c>
    </row>
    <row r="158" spans="1:12" x14ac:dyDescent="0.45">
      <c r="A158" s="20" t="s">
        <v>962</v>
      </c>
      <c r="B158" s="6">
        <v>2</v>
      </c>
      <c r="C158" s="6">
        <v>20</v>
      </c>
      <c r="D158" s="6">
        <v>3</v>
      </c>
      <c r="E158" s="6">
        <v>2</v>
      </c>
      <c r="F158" s="6">
        <v>2</v>
      </c>
      <c r="G158" s="15">
        <v>46087</v>
      </c>
      <c r="H158" s="15" t="str">
        <f t="shared" si="8"/>
        <v>Friday</v>
      </c>
      <c r="I158" s="11">
        <v>138</v>
      </c>
      <c r="J158" s="24">
        <f t="shared" si="9"/>
        <v>414</v>
      </c>
      <c r="K158">
        <f t="shared" si="10"/>
        <v>2</v>
      </c>
      <c r="L158" t="str">
        <f t="shared" si="11"/>
        <v>Low Stock</v>
      </c>
    </row>
    <row r="159" spans="1:12" x14ac:dyDescent="0.45">
      <c r="A159" s="21" t="s">
        <v>121</v>
      </c>
      <c r="B159" s="7">
        <v>1</v>
      </c>
      <c r="C159" s="7">
        <v>7</v>
      </c>
      <c r="D159" s="7">
        <v>4</v>
      </c>
      <c r="E159" s="7">
        <v>4</v>
      </c>
      <c r="F159" s="7">
        <v>3</v>
      </c>
      <c r="G159" s="16">
        <v>46083</v>
      </c>
      <c r="H159" s="16" t="str">
        <f t="shared" si="8"/>
        <v>Monday</v>
      </c>
      <c r="I159" s="12">
        <v>139</v>
      </c>
      <c r="J159" s="9">
        <f t="shared" si="9"/>
        <v>556</v>
      </c>
      <c r="K159">
        <f t="shared" si="10"/>
        <v>1</v>
      </c>
      <c r="L159" t="str">
        <f t="shared" si="11"/>
        <v>Low Stock</v>
      </c>
    </row>
    <row r="160" spans="1:12" x14ac:dyDescent="0.45">
      <c r="A160" s="20" t="s">
        <v>247</v>
      </c>
      <c r="B160" s="6">
        <v>0</v>
      </c>
      <c r="C160" s="6">
        <v>0</v>
      </c>
      <c r="D160" s="6">
        <v>2</v>
      </c>
      <c r="E160" s="6">
        <v>2</v>
      </c>
      <c r="F160" s="6">
        <v>2</v>
      </c>
      <c r="G160" s="15">
        <v>46084</v>
      </c>
      <c r="H160" s="15" t="str">
        <f t="shared" si="8"/>
        <v>Tuesday</v>
      </c>
      <c r="I160" s="11">
        <v>165</v>
      </c>
      <c r="J160" s="24">
        <f t="shared" si="9"/>
        <v>330</v>
      </c>
      <c r="K160">
        <f t="shared" si="10"/>
        <v>0</v>
      </c>
      <c r="L160" t="str">
        <f t="shared" si="11"/>
        <v>Low Stock</v>
      </c>
    </row>
    <row r="161" spans="1:12" x14ac:dyDescent="0.45">
      <c r="A161" s="21" t="s">
        <v>856</v>
      </c>
      <c r="B161" s="7">
        <v>6</v>
      </c>
      <c r="C161" s="7">
        <v>22</v>
      </c>
      <c r="D161" s="7">
        <v>8</v>
      </c>
      <c r="E161" s="7">
        <v>9</v>
      </c>
      <c r="F161" s="7">
        <v>7</v>
      </c>
      <c r="G161" s="16">
        <v>46086</v>
      </c>
      <c r="H161" s="16" t="str">
        <f t="shared" si="8"/>
        <v>Thursday</v>
      </c>
      <c r="I161" s="12">
        <v>172</v>
      </c>
      <c r="J161" s="9">
        <f t="shared" si="9"/>
        <v>1376</v>
      </c>
      <c r="K161">
        <f t="shared" si="10"/>
        <v>6</v>
      </c>
      <c r="L161" t="str">
        <f t="shared" si="11"/>
        <v>OK</v>
      </c>
    </row>
    <row r="162" spans="1:12" x14ac:dyDescent="0.45">
      <c r="A162" s="20" t="s">
        <v>1147</v>
      </c>
      <c r="B162" s="6">
        <v>1</v>
      </c>
      <c r="C162" s="6">
        <v>30</v>
      </c>
      <c r="D162" s="6">
        <v>1</v>
      </c>
      <c r="E162" s="6">
        <v>1</v>
      </c>
      <c r="F162" s="6">
        <v>1</v>
      </c>
      <c r="G162" s="15">
        <v>46088</v>
      </c>
      <c r="H162" s="15" t="str">
        <f t="shared" si="8"/>
        <v>Saturday</v>
      </c>
      <c r="I162" s="11">
        <v>138</v>
      </c>
      <c r="J162" s="24">
        <f t="shared" si="9"/>
        <v>138</v>
      </c>
      <c r="K162">
        <f t="shared" si="10"/>
        <v>1</v>
      </c>
      <c r="L162" t="str">
        <f t="shared" si="11"/>
        <v>Low Stock</v>
      </c>
    </row>
    <row r="163" spans="1:12" x14ac:dyDescent="0.45">
      <c r="A163" s="21" t="s">
        <v>1249</v>
      </c>
      <c r="B163" s="7">
        <v>1</v>
      </c>
      <c r="C163" s="7">
        <v>30</v>
      </c>
      <c r="D163" s="7">
        <v>1</v>
      </c>
      <c r="E163" s="7">
        <v>1</v>
      </c>
      <c r="F163" s="7">
        <v>1</v>
      </c>
      <c r="G163" s="16">
        <v>46085</v>
      </c>
      <c r="H163" s="16" t="str">
        <f t="shared" si="8"/>
        <v>Wednesday</v>
      </c>
      <c r="I163" s="12">
        <v>185</v>
      </c>
      <c r="J163" s="9">
        <f t="shared" si="9"/>
        <v>185</v>
      </c>
      <c r="K163">
        <f t="shared" si="10"/>
        <v>1</v>
      </c>
      <c r="L163" t="str">
        <f t="shared" si="11"/>
        <v>Low Stock</v>
      </c>
    </row>
    <row r="164" spans="1:12" x14ac:dyDescent="0.45">
      <c r="A164" s="20" t="s">
        <v>1240</v>
      </c>
      <c r="B164" s="6">
        <v>1</v>
      </c>
      <c r="C164" s="6">
        <v>30</v>
      </c>
      <c r="D164" s="6">
        <v>1</v>
      </c>
      <c r="E164" s="6">
        <v>1</v>
      </c>
      <c r="F164" s="6">
        <v>1</v>
      </c>
      <c r="G164" s="15">
        <v>46082</v>
      </c>
      <c r="H164" s="15" t="str">
        <f t="shared" si="8"/>
        <v>Sunday</v>
      </c>
      <c r="I164" s="11">
        <v>168</v>
      </c>
      <c r="J164" s="24">
        <f t="shared" si="9"/>
        <v>168</v>
      </c>
      <c r="K164">
        <f t="shared" si="10"/>
        <v>1</v>
      </c>
      <c r="L164" t="str">
        <f t="shared" si="11"/>
        <v>Low Stock</v>
      </c>
    </row>
    <row r="165" spans="1:12" x14ac:dyDescent="0.45">
      <c r="A165" s="21" t="s">
        <v>125</v>
      </c>
      <c r="B165" s="7">
        <v>-1</v>
      </c>
      <c r="C165" s="7">
        <v>0</v>
      </c>
      <c r="D165" s="7">
        <v>1</v>
      </c>
      <c r="E165" s="7">
        <v>1</v>
      </c>
      <c r="F165" s="7">
        <v>1</v>
      </c>
      <c r="G165" s="16">
        <v>46084</v>
      </c>
      <c r="H165" s="16" t="str">
        <f t="shared" si="8"/>
        <v>Tuesday</v>
      </c>
      <c r="I165" s="12">
        <v>114</v>
      </c>
      <c r="J165" s="9">
        <f t="shared" si="9"/>
        <v>114</v>
      </c>
      <c r="K165">
        <f t="shared" si="10"/>
        <v>0</v>
      </c>
      <c r="L165" t="str">
        <f t="shared" si="11"/>
        <v>Low Stock</v>
      </c>
    </row>
    <row r="166" spans="1:12" x14ac:dyDescent="0.45">
      <c r="A166" s="20" t="s">
        <v>290</v>
      </c>
      <c r="B166" s="6">
        <v>-14</v>
      </c>
      <c r="C166" s="6">
        <v>0</v>
      </c>
      <c r="D166" s="6">
        <v>1</v>
      </c>
      <c r="E166" s="6">
        <v>1</v>
      </c>
      <c r="F166" s="6">
        <v>1</v>
      </c>
      <c r="G166" s="15">
        <v>46087</v>
      </c>
      <c r="H166" s="15" t="str">
        <f t="shared" si="8"/>
        <v>Friday</v>
      </c>
      <c r="I166" s="11">
        <v>168</v>
      </c>
      <c r="J166" s="24">
        <f t="shared" si="9"/>
        <v>168</v>
      </c>
      <c r="K166">
        <f t="shared" si="10"/>
        <v>0</v>
      </c>
      <c r="L166" t="str">
        <f t="shared" si="11"/>
        <v>Low Stock</v>
      </c>
    </row>
    <row r="167" spans="1:12" x14ac:dyDescent="0.45">
      <c r="A167" s="21" t="s">
        <v>348</v>
      </c>
      <c r="B167" s="7">
        <v>-9</v>
      </c>
      <c r="C167" s="7">
        <v>0</v>
      </c>
      <c r="D167" s="7">
        <v>2</v>
      </c>
      <c r="E167" s="7">
        <v>2</v>
      </c>
      <c r="F167" s="7">
        <v>2</v>
      </c>
      <c r="G167" s="16">
        <v>46087</v>
      </c>
      <c r="H167" s="16" t="str">
        <f t="shared" si="8"/>
        <v>Friday</v>
      </c>
      <c r="I167" s="12">
        <v>175</v>
      </c>
      <c r="J167" s="9">
        <f t="shared" si="9"/>
        <v>350</v>
      </c>
      <c r="K167">
        <f t="shared" si="10"/>
        <v>0</v>
      </c>
      <c r="L167" t="str">
        <f t="shared" si="11"/>
        <v>Low Stock</v>
      </c>
    </row>
    <row r="168" spans="1:12" x14ac:dyDescent="0.45">
      <c r="A168" s="20" t="s">
        <v>385</v>
      </c>
      <c r="B168" s="6">
        <v>0</v>
      </c>
      <c r="C168" s="6">
        <v>0</v>
      </c>
      <c r="D168" s="6">
        <v>1</v>
      </c>
      <c r="E168" s="6">
        <v>1</v>
      </c>
      <c r="F168" s="6">
        <v>1</v>
      </c>
      <c r="G168" s="15">
        <v>46084</v>
      </c>
      <c r="H168" s="15" t="str">
        <f t="shared" si="8"/>
        <v>Tuesday</v>
      </c>
      <c r="I168" s="11">
        <v>188</v>
      </c>
      <c r="J168" s="24">
        <f t="shared" si="9"/>
        <v>188</v>
      </c>
      <c r="K168">
        <f t="shared" si="10"/>
        <v>0</v>
      </c>
      <c r="L168" t="str">
        <f t="shared" si="11"/>
        <v>Low Stock</v>
      </c>
    </row>
    <row r="169" spans="1:12" x14ac:dyDescent="0.45">
      <c r="A169" s="21" t="s">
        <v>397</v>
      </c>
      <c r="B169" s="7">
        <v>-5</v>
      </c>
      <c r="C169" s="7">
        <v>0</v>
      </c>
      <c r="D169" s="7">
        <v>1</v>
      </c>
      <c r="E169" s="7">
        <v>1</v>
      </c>
      <c r="F169" s="7">
        <v>1</v>
      </c>
      <c r="G169" s="16">
        <v>46082</v>
      </c>
      <c r="H169" s="16" t="str">
        <f t="shared" si="8"/>
        <v>Sunday</v>
      </c>
      <c r="I169" s="12">
        <v>80</v>
      </c>
      <c r="J169" s="9">
        <f t="shared" si="9"/>
        <v>80</v>
      </c>
      <c r="K169">
        <f t="shared" si="10"/>
        <v>0</v>
      </c>
      <c r="L169" t="str">
        <f t="shared" si="11"/>
        <v>Low Stock</v>
      </c>
    </row>
    <row r="170" spans="1:12" x14ac:dyDescent="0.45">
      <c r="A170" s="20" t="s">
        <v>403</v>
      </c>
      <c r="B170" s="6">
        <v>-2</v>
      </c>
      <c r="C170" s="6">
        <v>0</v>
      </c>
      <c r="D170" s="6">
        <v>1</v>
      </c>
      <c r="E170" s="6">
        <v>1</v>
      </c>
      <c r="F170" s="6">
        <v>1</v>
      </c>
      <c r="G170" s="15">
        <v>46085</v>
      </c>
      <c r="H170" s="15" t="str">
        <f t="shared" si="8"/>
        <v>Wednesday</v>
      </c>
      <c r="I170" s="11">
        <v>156</v>
      </c>
      <c r="J170" s="24">
        <f t="shared" si="9"/>
        <v>156</v>
      </c>
      <c r="K170">
        <f t="shared" si="10"/>
        <v>0</v>
      </c>
      <c r="L170" t="str">
        <f t="shared" si="11"/>
        <v>Low Stock</v>
      </c>
    </row>
    <row r="171" spans="1:12" x14ac:dyDescent="0.45">
      <c r="A171" s="21" t="s">
        <v>872</v>
      </c>
      <c r="B171" s="7">
        <v>2</v>
      </c>
      <c r="C171" s="7">
        <v>30</v>
      </c>
      <c r="D171" s="7">
        <v>2</v>
      </c>
      <c r="E171" s="7">
        <v>2</v>
      </c>
      <c r="F171" s="7">
        <v>2</v>
      </c>
      <c r="G171" s="16">
        <v>46084</v>
      </c>
      <c r="H171" s="16" t="str">
        <f t="shared" si="8"/>
        <v>Tuesday</v>
      </c>
      <c r="I171" s="12">
        <v>191</v>
      </c>
      <c r="J171" s="9">
        <f t="shared" si="9"/>
        <v>382</v>
      </c>
      <c r="K171">
        <f t="shared" si="10"/>
        <v>2</v>
      </c>
      <c r="L171" t="str">
        <f t="shared" si="11"/>
        <v>Low Stock</v>
      </c>
    </row>
    <row r="172" spans="1:12" x14ac:dyDescent="0.45">
      <c r="A172" s="20" t="s">
        <v>1161</v>
      </c>
      <c r="B172" s="6">
        <v>20</v>
      </c>
      <c r="C172" s="6">
        <v>30</v>
      </c>
      <c r="D172" s="6">
        <v>20</v>
      </c>
      <c r="E172" s="6">
        <v>2</v>
      </c>
      <c r="F172" s="6">
        <v>2</v>
      </c>
      <c r="G172" s="15">
        <v>46085</v>
      </c>
      <c r="H172" s="15" t="str">
        <f t="shared" si="8"/>
        <v>Wednesday</v>
      </c>
      <c r="I172" s="11">
        <v>117</v>
      </c>
      <c r="J172" s="24">
        <f t="shared" si="9"/>
        <v>2340</v>
      </c>
      <c r="K172">
        <f t="shared" si="10"/>
        <v>20</v>
      </c>
      <c r="L172" t="str">
        <f t="shared" si="11"/>
        <v>OK</v>
      </c>
    </row>
    <row r="173" spans="1:12" x14ac:dyDescent="0.45">
      <c r="A173" s="21" t="s">
        <v>383</v>
      </c>
      <c r="B173" s="7">
        <v>0</v>
      </c>
      <c r="C173" s="7">
        <v>0</v>
      </c>
      <c r="D173" s="7">
        <v>1</v>
      </c>
      <c r="E173" s="7">
        <v>1</v>
      </c>
      <c r="F173" s="7">
        <v>1</v>
      </c>
      <c r="G173" s="16">
        <v>46083</v>
      </c>
      <c r="H173" s="16" t="str">
        <f t="shared" si="8"/>
        <v>Monday</v>
      </c>
      <c r="I173" s="12">
        <v>133</v>
      </c>
      <c r="J173" s="9">
        <f t="shared" si="9"/>
        <v>133</v>
      </c>
      <c r="K173">
        <f t="shared" si="10"/>
        <v>0</v>
      </c>
      <c r="L173" t="str">
        <f t="shared" si="11"/>
        <v>Low Stock</v>
      </c>
    </row>
    <row r="174" spans="1:12" x14ac:dyDescent="0.45">
      <c r="A174" s="20" t="s">
        <v>404</v>
      </c>
      <c r="B174" s="6">
        <v>0</v>
      </c>
      <c r="C174" s="6">
        <v>0</v>
      </c>
      <c r="D174" s="6">
        <v>3</v>
      </c>
      <c r="E174" s="6">
        <v>3</v>
      </c>
      <c r="F174" s="6">
        <v>2</v>
      </c>
      <c r="G174" s="15">
        <v>46088</v>
      </c>
      <c r="H174" s="15" t="str">
        <f t="shared" si="8"/>
        <v>Saturday</v>
      </c>
      <c r="I174" s="11">
        <v>137</v>
      </c>
      <c r="J174" s="24">
        <f t="shared" si="9"/>
        <v>411</v>
      </c>
      <c r="K174">
        <f t="shared" si="10"/>
        <v>0</v>
      </c>
      <c r="L174" t="str">
        <f t="shared" si="11"/>
        <v>Low Stock</v>
      </c>
    </row>
    <row r="175" spans="1:12" x14ac:dyDescent="0.45">
      <c r="A175" s="21" t="s">
        <v>449</v>
      </c>
      <c r="B175" s="7">
        <v>0</v>
      </c>
      <c r="C175" s="7">
        <v>0</v>
      </c>
      <c r="D175" s="7">
        <v>3</v>
      </c>
      <c r="E175" s="7">
        <v>2</v>
      </c>
      <c r="F175" s="7">
        <v>2</v>
      </c>
      <c r="G175" s="16">
        <v>46085</v>
      </c>
      <c r="H175" s="16" t="str">
        <f t="shared" si="8"/>
        <v>Wednesday</v>
      </c>
      <c r="I175" s="12">
        <v>72</v>
      </c>
      <c r="J175" s="9">
        <f t="shared" si="9"/>
        <v>216</v>
      </c>
      <c r="K175">
        <f t="shared" si="10"/>
        <v>0</v>
      </c>
      <c r="L175" t="str">
        <f t="shared" si="11"/>
        <v>Low Stock</v>
      </c>
    </row>
    <row r="176" spans="1:12" x14ac:dyDescent="0.45">
      <c r="A176" s="20" t="s">
        <v>591</v>
      </c>
      <c r="B176" s="6">
        <v>2</v>
      </c>
      <c r="C176" s="6">
        <v>10</v>
      </c>
      <c r="D176" s="6">
        <v>6</v>
      </c>
      <c r="E176" s="6">
        <v>6</v>
      </c>
      <c r="F176" s="6">
        <v>5</v>
      </c>
      <c r="G176" s="15">
        <v>46088</v>
      </c>
      <c r="H176" s="15" t="str">
        <f t="shared" si="8"/>
        <v>Saturday</v>
      </c>
      <c r="I176" s="11">
        <v>80</v>
      </c>
      <c r="J176" s="24">
        <f t="shared" si="9"/>
        <v>480</v>
      </c>
      <c r="K176">
        <f t="shared" si="10"/>
        <v>2</v>
      </c>
      <c r="L176" t="str">
        <f t="shared" si="11"/>
        <v>Low Stock</v>
      </c>
    </row>
    <row r="177" spans="1:12" x14ac:dyDescent="0.45">
      <c r="A177" s="21" t="s">
        <v>993</v>
      </c>
      <c r="B177" s="7">
        <v>20</v>
      </c>
      <c r="C177" s="7">
        <v>30</v>
      </c>
      <c r="D177" s="7">
        <v>20</v>
      </c>
      <c r="E177" s="7">
        <v>2</v>
      </c>
      <c r="F177" s="7">
        <v>2</v>
      </c>
      <c r="G177" s="16">
        <v>46082</v>
      </c>
      <c r="H177" s="16" t="str">
        <f t="shared" si="8"/>
        <v>Sunday</v>
      </c>
      <c r="I177" s="12">
        <v>170</v>
      </c>
      <c r="J177" s="9">
        <f t="shared" si="9"/>
        <v>3400</v>
      </c>
      <c r="K177">
        <f t="shared" si="10"/>
        <v>20</v>
      </c>
      <c r="L177" t="str">
        <f t="shared" si="11"/>
        <v>OK</v>
      </c>
    </row>
    <row r="178" spans="1:12" x14ac:dyDescent="0.45">
      <c r="A178" s="20" t="s">
        <v>1064</v>
      </c>
      <c r="B178" s="6">
        <v>1</v>
      </c>
      <c r="C178" s="6">
        <v>30</v>
      </c>
      <c r="D178" s="6">
        <v>1</v>
      </c>
      <c r="E178" s="6">
        <v>1</v>
      </c>
      <c r="F178" s="6">
        <v>1</v>
      </c>
      <c r="G178" s="15">
        <v>46086</v>
      </c>
      <c r="H178" s="15" t="str">
        <f t="shared" si="8"/>
        <v>Thursday</v>
      </c>
      <c r="I178" s="11">
        <v>120</v>
      </c>
      <c r="J178" s="24">
        <f t="shared" si="9"/>
        <v>120</v>
      </c>
      <c r="K178">
        <f t="shared" si="10"/>
        <v>1</v>
      </c>
      <c r="L178" t="str">
        <f t="shared" si="11"/>
        <v>Low Stock</v>
      </c>
    </row>
    <row r="179" spans="1:12" x14ac:dyDescent="0.45">
      <c r="A179" s="21" t="s">
        <v>1131</v>
      </c>
      <c r="B179" s="7">
        <v>1</v>
      </c>
      <c r="C179" s="7">
        <v>30</v>
      </c>
      <c r="D179" s="7">
        <v>1</v>
      </c>
      <c r="E179" s="7">
        <v>1</v>
      </c>
      <c r="F179" s="7">
        <v>1</v>
      </c>
      <c r="G179" s="16">
        <v>46082</v>
      </c>
      <c r="H179" s="16" t="str">
        <f t="shared" si="8"/>
        <v>Sunday</v>
      </c>
      <c r="I179" s="12">
        <v>75</v>
      </c>
      <c r="J179" s="9">
        <f t="shared" si="9"/>
        <v>75</v>
      </c>
      <c r="K179">
        <f t="shared" si="10"/>
        <v>1</v>
      </c>
      <c r="L179" t="str">
        <f t="shared" si="11"/>
        <v>Low Stock</v>
      </c>
    </row>
    <row r="180" spans="1:12" x14ac:dyDescent="0.45">
      <c r="A180" s="20" t="s">
        <v>1172</v>
      </c>
      <c r="B180" s="6">
        <v>1</v>
      </c>
      <c r="C180" s="6">
        <v>30</v>
      </c>
      <c r="D180" s="6">
        <v>1</v>
      </c>
      <c r="E180" s="6">
        <v>1</v>
      </c>
      <c r="F180" s="6">
        <v>1</v>
      </c>
      <c r="G180" s="15">
        <v>46087</v>
      </c>
      <c r="H180" s="15" t="str">
        <f t="shared" si="8"/>
        <v>Friday</v>
      </c>
      <c r="I180" s="11">
        <v>160</v>
      </c>
      <c r="J180" s="24">
        <f t="shared" si="9"/>
        <v>160</v>
      </c>
      <c r="K180">
        <f t="shared" si="10"/>
        <v>1</v>
      </c>
      <c r="L180" t="str">
        <f t="shared" si="11"/>
        <v>Low Stock</v>
      </c>
    </row>
    <row r="181" spans="1:12" x14ac:dyDescent="0.45">
      <c r="A181" s="21" t="s">
        <v>190</v>
      </c>
      <c r="B181" s="7">
        <v>-5</v>
      </c>
      <c r="C181" s="7">
        <v>0</v>
      </c>
      <c r="D181" s="7">
        <v>4</v>
      </c>
      <c r="E181" s="7">
        <v>3</v>
      </c>
      <c r="F181" s="7">
        <v>3</v>
      </c>
      <c r="G181" s="16">
        <v>46082</v>
      </c>
      <c r="H181" s="16" t="str">
        <f t="shared" si="8"/>
        <v>Sunday</v>
      </c>
      <c r="I181" s="12">
        <v>134</v>
      </c>
      <c r="J181" s="9">
        <f t="shared" si="9"/>
        <v>536</v>
      </c>
      <c r="K181">
        <f t="shared" si="10"/>
        <v>0</v>
      </c>
      <c r="L181" t="str">
        <f t="shared" si="11"/>
        <v>Low Stock</v>
      </c>
    </row>
    <row r="182" spans="1:12" x14ac:dyDescent="0.45">
      <c r="A182" s="20" t="s">
        <v>596</v>
      </c>
      <c r="B182" s="6">
        <v>1</v>
      </c>
      <c r="C182" s="6">
        <v>15</v>
      </c>
      <c r="D182" s="6">
        <v>2</v>
      </c>
      <c r="E182" s="6">
        <v>2</v>
      </c>
      <c r="F182" s="6">
        <v>2</v>
      </c>
      <c r="G182" s="15">
        <v>46084</v>
      </c>
      <c r="H182" s="15" t="str">
        <f t="shared" si="8"/>
        <v>Tuesday</v>
      </c>
      <c r="I182" s="11">
        <v>189</v>
      </c>
      <c r="J182" s="24">
        <f t="shared" si="9"/>
        <v>378</v>
      </c>
      <c r="K182">
        <f t="shared" si="10"/>
        <v>1</v>
      </c>
      <c r="L182" t="str">
        <f t="shared" si="11"/>
        <v>Low Stock</v>
      </c>
    </row>
    <row r="183" spans="1:12" x14ac:dyDescent="0.45">
      <c r="A183" s="21" t="s">
        <v>1022</v>
      </c>
      <c r="B183" s="7">
        <v>60</v>
      </c>
      <c r="C183" s="7">
        <v>25</v>
      </c>
      <c r="D183" s="7">
        <v>70</v>
      </c>
      <c r="E183" s="7">
        <v>4</v>
      </c>
      <c r="F183" s="7">
        <v>3</v>
      </c>
      <c r="G183" s="16">
        <v>46083</v>
      </c>
      <c r="H183" s="16" t="str">
        <f t="shared" si="8"/>
        <v>Monday</v>
      </c>
      <c r="I183" s="12">
        <v>177</v>
      </c>
      <c r="J183" s="9">
        <f t="shared" si="9"/>
        <v>12390</v>
      </c>
      <c r="K183">
        <f t="shared" si="10"/>
        <v>60</v>
      </c>
      <c r="L183" t="str">
        <f t="shared" si="11"/>
        <v>OK</v>
      </c>
    </row>
    <row r="184" spans="1:12" x14ac:dyDescent="0.45">
      <c r="A184" s="20" t="s">
        <v>347</v>
      </c>
      <c r="B184" s="6">
        <v>-1</v>
      </c>
      <c r="C184" s="6">
        <v>0</v>
      </c>
      <c r="D184" s="6">
        <v>1</v>
      </c>
      <c r="E184" s="6">
        <v>1</v>
      </c>
      <c r="F184" s="6">
        <v>1</v>
      </c>
      <c r="G184" s="15">
        <v>46088</v>
      </c>
      <c r="H184" s="15" t="str">
        <f t="shared" si="8"/>
        <v>Saturday</v>
      </c>
      <c r="I184" s="11">
        <v>105</v>
      </c>
      <c r="J184" s="24">
        <f t="shared" si="9"/>
        <v>105</v>
      </c>
      <c r="K184">
        <f t="shared" si="10"/>
        <v>0</v>
      </c>
      <c r="L184" t="str">
        <f t="shared" si="11"/>
        <v>Low Stock</v>
      </c>
    </row>
    <row r="185" spans="1:12" x14ac:dyDescent="0.45">
      <c r="A185" s="21" t="s">
        <v>650</v>
      </c>
      <c r="B185" s="7">
        <v>1</v>
      </c>
      <c r="C185" s="7">
        <v>15</v>
      </c>
      <c r="D185" s="7">
        <v>2</v>
      </c>
      <c r="E185" s="7">
        <v>2</v>
      </c>
      <c r="F185" s="7">
        <v>2</v>
      </c>
      <c r="G185" s="16">
        <v>46087</v>
      </c>
      <c r="H185" s="16" t="str">
        <f t="shared" si="8"/>
        <v>Friday</v>
      </c>
      <c r="I185" s="12">
        <v>174</v>
      </c>
      <c r="J185" s="9">
        <f t="shared" si="9"/>
        <v>348</v>
      </c>
      <c r="K185">
        <f t="shared" si="10"/>
        <v>1</v>
      </c>
      <c r="L185" t="str">
        <f t="shared" si="11"/>
        <v>Low Stock</v>
      </c>
    </row>
    <row r="186" spans="1:12" x14ac:dyDescent="0.45">
      <c r="A186" s="20" t="s">
        <v>1034</v>
      </c>
      <c r="B186" s="6">
        <v>5</v>
      </c>
      <c r="C186" s="6">
        <v>18</v>
      </c>
      <c r="D186" s="6">
        <v>8</v>
      </c>
      <c r="E186" s="6">
        <v>8</v>
      </c>
      <c r="F186" s="6">
        <v>7</v>
      </c>
      <c r="G186" s="15">
        <v>46083</v>
      </c>
      <c r="H186" s="15" t="str">
        <f t="shared" si="8"/>
        <v>Monday</v>
      </c>
      <c r="I186" s="11">
        <v>173</v>
      </c>
      <c r="J186" s="24">
        <f t="shared" si="9"/>
        <v>1384</v>
      </c>
      <c r="K186">
        <f t="shared" si="10"/>
        <v>5</v>
      </c>
      <c r="L186" t="str">
        <f t="shared" si="11"/>
        <v>OK</v>
      </c>
    </row>
    <row r="187" spans="1:12" x14ac:dyDescent="0.45">
      <c r="A187" s="21" t="s">
        <v>1230</v>
      </c>
      <c r="B187" s="7">
        <v>1</v>
      </c>
      <c r="C187" s="7">
        <v>30</v>
      </c>
      <c r="D187" s="7">
        <v>1</v>
      </c>
      <c r="E187" s="7">
        <v>1</v>
      </c>
      <c r="F187" s="7">
        <v>1</v>
      </c>
      <c r="G187" s="16">
        <v>46088</v>
      </c>
      <c r="H187" s="16" t="str">
        <f t="shared" si="8"/>
        <v>Saturday</v>
      </c>
      <c r="I187" s="12">
        <v>199</v>
      </c>
      <c r="J187" s="9">
        <f t="shared" si="9"/>
        <v>199</v>
      </c>
      <c r="K187">
        <f t="shared" si="10"/>
        <v>1</v>
      </c>
      <c r="L187" t="str">
        <f t="shared" si="11"/>
        <v>Low Stock</v>
      </c>
    </row>
    <row r="188" spans="1:12" x14ac:dyDescent="0.45">
      <c r="A188" s="20" t="s">
        <v>789</v>
      </c>
      <c r="B188" s="6">
        <v>20</v>
      </c>
      <c r="C188" s="6">
        <v>30</v>
      </c>
      <c r="D188" s="6">
        <v>20</v>
      </c>
      <c r="E188" s="6">
        <v>2</v>
      </c>
      <c r="F188" s="6">
        <v>2</v>
      </c>
      <c r="G188" s="15">
        <v>46085</v>
      </c>
      <c r="H188" s="15" t="str">
        <f t="shared" si="8"/>
        <v>Wednesday</v>
      </c>
      <c r="I188" s="11">
        <v>176</v>
      </c>
      <c r="J188" s="24">
        <f t="shared" si="9"/>
        <v>3520</v>
      </c>
      <c r="K188">
        <f t="shared" si="10"/>
        <v>20</v>
      </c>
      <c r="L188" t="str">
        <f t="shared" si="11"/>
        <v>OK</v>
      </c>
    </row>
    <row r="189" spans="1:12" x14ac:dyDescent="0.45">
      <c r="A189" s="21" t="s">
        <v>893</v>
      </c>
      <c r="B189" s="7">
        <v>6</v>
      </c>
      <c r="C189" s="7">
        <v>30</v>
      </c>
      <c r="D189" s="7">
        <v>6</v>
      </c>
      <c r="E189" s="7">
        <v>5</v>
      </c>
      <c r="F189" s="7">
        <v>4</v>
      </c>
      <c r="G189" s="16">
        <v>46082</v>
      </c>
      <c r="H189" s="16" t="str">
        <f t="shared" si="8"/>
        <v>Sunday</v>
      </c>
      <c r="I189" s="12">
        <v>111</v>
      </c>
      <c r="J189" s="9">
        <f t="shared" si="9"/>
        <v>666</v>
      </c>
      <c r="K189">
        <f t="shared" si="10"/>
        <v>6</v>
      </c>
      <c r="L189" t="str">
        <f t="shared" si="11"/>
        <v>OK</v>
      </c>
    </row>
    <row r="190" spans="1:12" x14ac:dyDescent="0.45">
      <c r="A190" s="20" t="s">
        <v>987</v>
      </c>
      <c r="B190" s="6">
        <v>2</v>
      </c>
      <c r="C190" s="6">
        <v>30</v>
      </c>
      <c r="D190" s="6">
        <v>2</v>
      </c>
      <c r="E190" s="6">
        <v>2</v>
      </c>
      <c r="F190" s="6">
        <v>1</v>
      </c>
      <c r="G190" s="15">
        <v>46086</v>
      </c>
      <c r="H190" s="15" t="str">
        <f t="shared" si="8"/>
        <v>Thursday</v>
      </c>
      <c r="I190" s="11">
        <v>182</v>
      </c>
      <c r="J190" s="24">
        <f t="shared" si="9"/>
        <v>364</v>
      </c>
      <c r="K190">
        <f t="shared" si="10"/>
        <v>2</v>
      </c>
      <c r="L190" t="str">
        <f t="shared" si="11"/>
        <v>Low Stock</v>
      </c>
    </row>
    <row r="191" spans="1:12" x14ac:dyDescent="0.45">
      <c r="A191" s="21" t="s">
        <v>1086</v>
      </c>
      <c r="B191" s="7">
        <v>1</v>
      </c>
      <c r="C191" s="7">
        <v>30</v>
      </c>
      <c r="D191" s="7">
        <v>1</v>
      </c>
      <c r="E191" s="7">
        <v>1</v>
      </c>
      <c r="F191" s="7">
        <v>1</v>
      </c>
      <c r="G191" s="16">
        <v>46084</v>
      </c>
      <c r="H191" s="16" t="str">
        <f t="shared" si="8"/>
        <v>Tuesday</v>
      </c>
      <c r="I191" s="12">
        <v>90</v>
      </c>
      <c r="J191" s="9">
        <f t="shared" si="9"/>
        <v>90</v>
      </c>
      <c r="K191">
        <f t="shared" si="10"/>
        <v>1</v>
      </c>
      <c r="L191" t="str">
        <f t="shared" si="11"/>
        <v>Low Stock</v>
      </c>
    </row>
    <row r="192" spans="1:12" x14ac:dyDescent="0.45">
      <c r="A192" s="20" t="s">
        <v>1204</v>
      </c>
      <c r="B192" s="6">
        <v>10</v>
      </c>
      <c r="C192" s="6">
        <v>30</v>
      </c>
      <c r="D192" s="6">
        <v>10</v>
      </c>
      <c r="E192" s="6">
        <v>1</v>
      </c>
      <c r="F192" s="6">
        <v>1</v>
      </c>
      <c r="G192" s="15">
        <v>46084</v>
      </c>
      <c r="H192" s="15" t="str">
        <f t="shared" si="8"/>
        <v>Tuesday</v>
      </c>
      <c r="I192" s="11">
        <v>131</v>
      </c>
      <c r="J192" s="24">
        <f t="shared" si="9"/>
        <v>1310</v>
      </c>
      <c r="K192">
        <f t="shared" si="10"/>
        <v>10</v>
      </c>
      <c r="L192" t="str">
        <f t="shared" si="11"/>
        <v>OK</v>
      </c>
    </row>
    <row r="193" spans="1:12" x14ac:dyDescent="0.45">
      <c r="A193" s="21" t="s">
        <v>292</v>
      </c>
      <c r="B193" s="7">
        <v>0</v>
      </c>
      <c r="C193" s="7">
        <v>0</v>
      </c>
      <c r="D193" s="7">
        <v>10</v>
      </c>
      <c r="E193" s="7">
        <v>1</v>
      </c>
      <c r="F193" s="7">
        <v>1</v>
      </c>
      <c r="G193" s="16">
        <v>46083</v>
      </c>
      <c r="H193" s="16" t="str">
        <f t="shared" si="8"/>
        <v>Monday</v>
      </c>
      <c r="I193" s="12">
        <v>177</v>
      </c>
      <c r="J193" s="9">
        <f t="shared" si="9"/>
        <v>1770</v>
      </c>
      <c r="K193">
        <f t="shared" si="10"/>
        <v>0</v>
      </c>
      <c r="L193" t="str">
        <f t="shared" si="11"/>
        <v>Low Stock</v>
      </c>
    </row>
    <row r="194" spans="1:12" x14ac:dyDescent="0.45">
      <c r="A194" s="20" t="s">
        <v>208</v>
      </c>
      <c r="B194" s="6">
        <v>-14</v>
      </c>
      <c r="C194" s="6">
        <v>0</v>
      </c>
      <c r="D194" s="6">
        <v>1</v>
      </c>
      <c r="E194" s="6">
        <v>1</v>
      </c>
      <c r="F194" s="6">
        <v>1</v>
      </c>
      <c r="G194" s="15">
        <v>46088</v>
      </c>
      <c r="H194" s="15" t="str">
        <f t="shared" ref="H194:H257" si="12">TEXT(G194,"dddd")</f>
        <v>Saturday</v>
      </c>
      <c r="I194" s="11">
        <v>145</v>
      </c>
      <c r="J194" s="24">
        <f t="shared" ref="J194:J257" si="13">D194*I194</f>
        <v>145</v>
      </c>
      <c r="K194">
        <f t="shared" ref="K194:K257" si="14">IF(B194&lt;0,0,B194)</f>
        <v>0</v>
      </c>
      <c r="L194" t="str">
        <f t="shared" ref="L194:L257" si="15">IF(K194&lt;5,"Low Stock","OK")</f>
        <v>Low Stock</v>
      </c>
    </row>
    <row r="195" spans="1:12" x14ac:dyDescent="0.45">
      <c r="A195" s="21" t="s">
        <v>435</v>
      </c>
      <c r="B195" s="7">
        <v>-1</v>
      </c>
      <c r="C195" s="7">
        <v>0</v>
      </c>
      <c r="D195" s="7">
        <v>1</v>
      </c>
      <c r="E195" s="7">
        <v>1</v>
      </c>
      <c r="F195" s="7">
        <v>1</v>
      </c>
      <c r="G195" s="16">
        <v>46082</v>
      </c>
      <c r="H195" s="16" t="str">
        <f t="shared" si="12"/>
        <v>Sunday</v>
      </c>
      <c r="I195" s="12">
        <v>121</v>
      </c>
      <c r="J195" s="9">
        <f t="shared" si="13"/>
        <v>121</v>
      </c>
      <c r="K195">
        <f t="shared" si="14"/>
        <v>0</v>
      </c>
      <c r="L195" t="str">
        <f t="shared" si="15"/>
        <v>Low Stock</v>
      </c>
    </row>
    <row r="196" spans="1:12" x14ac:dyDescent="0.45">
      <c r="A196" s="20" t="s">
        <v>1091</v>
      </c>
      <c r="B196" s="6">
        <v>2</v>
      </c>
      <c r="C196" s="6">
        <v>30</v>
      </c>
      <c r="D196" s="6">
        <v>2</v>
      </c>
      <c r="E196" s="6">
        <v>2</v>
      </c>
      <c r="F196" s="6">
        <v>2</v>
      </c>
      <c r="G196" s="15">
        <v>46086</v>
      </c>
      <c r="H196" s="15" t="str">
        <f t="shared" si="12"/>
        <v>Thursday</v>
      </c>
      <c r="I196" s="11">
        <v>84</v>
      </c>
      <c r="J196" s="24">
        <f t="shared" si="13"/>
        <v>168</v>
      </c>
      <c r="K196">
        <f t="shared" si="14"/>
        <v>2</v>
      </c>
      <c r="L196" t="str">
        <f t="shared" si="15"/>
        <v>Low Stock</v>
      </c>
    </row>
    <row r="197" spans="1:12" x14ac:dyDescent="0.45">
      <c r="A197" s="21" t="s">
        <v>1178</v>
      </c>
      <c r="B197" s="7">
        <v>3</v>
      </c>
      <c r="C197" s="7">
        <v>22</v>
      </c>
      <c r="D197" s="7">
        <v>4</v>
      </c>
      <c r="E197" s="7">
        <v>4</v>
      </c>
      <c r="F197" s="7">
        <v>4</v>
      </c>
      <c r="G197" s="16">
        <v>46087</v>
      </c>
      <c r="H197" s="16" t="str">
        <f t="shared" si="12"/>
        <v>Friday</v>
      </c>
      <c r="I197" s="12">
        <v>138</v>
      </c>
      <c r="J197" s="9">
        <f t="shared" si="13"/>
        <v>552</v>
      </c>
      <c r="K197">
        <f t="shared" si="14"/>
        <v>3</v>
      </c>
      <c r="L197" t="str">
        <f t="shared" si="15"/>
        <v>Low Stock</v>
      </c>
    </row>
    <row r="198" spans="1:12" x14ac:dyDescent="0.45">
      <c r="A198" s="20" t="s">
        <v>1242</v>
      </c>
      <c r="B198" s="6">
        <v>15</v>
      </c>
      <c r="C198" s="6">
        <v>30</v>
      </c>
      <c r="D198" s="6">
        <v>15</v>
      </c>
      <c r="E198" s="6">
        <v>1</v>
      </c>
      <c r="F198" s="6">
        <v>1</v>
      </c>
      <c r="G198" s="15">
        <v>46084</v>
      </c>
      <c r="H198" s="15" t="str">
        <f t="shared" si="12"/>
        <v>Tuesday</v>
      </c>
      <c r="I198" s="11">
        <v>191</v>
      </c>
      <c r="J198" s="24">
        <f t="shared" si="13"/>
        <v>2865</v>
      </c>
      <c r="K198">
        <f t="shared" si="14"/>
        <v>15</v>
      </c>
      <c r="L198" t="str">
        <f t="shared" si="15"/>
        <v>OK</v>
      </c>
    </row>
    <row r="199" spans="1:12" x14ac:dyDescent="0.45">
      <c r="A199" s="21" t="s">
        <v>41</v>
      </c>
      <c r="B199" s="7">
        <v>0</v>
      </c>
      <c r="C199" s="7">
        <v>0</v>
      </c>
      <c r="D199" s="7">
        <v>4</v>
      </c>
      <c r="E199" s="7">
        <v>4</v>
      </c>
      <c r="F199" s="7">
        <v>4</v>
      </c>
      <c r="G199" s="16">
        <v>46085</v>
      </c>
      <c r="H199" s="16" t="str">
        <f t="shared" si="12"/>
        <v>Wednesday</v>
      </c>
      <c r="I199" s="12">
        <v>151</v>
      </c>
      <c r="J199" s="9">
        <f t="shared" si="13"/>
        <v>604</v>
      </c>
      <c r="K199">
        <f t="shared" si="14"/>
        <v>0</v>
      </c>
      <c r="L199" t="str">
        <f t="shared" si="15"/>
        <v>Low Stock</v>
      </c>
    </row>
    <row r="200" spans="1:12" x14ac:dyDescent="0.45">
      <c r="A200" s="20" t="s">
        <v>242</v>
      </c>
      <c r="B200" s="6">
        <v>-1</v>
      </c>
      <c r="C200" s="6">
        <v>0</v>
      </c>
      <c r="D200" s="6">
        <v>1</v>
      </c>
      <c r="E200" s="6">
        <v>1</v>
      </c>
      <c r="F200" s="6">
        <v>1</v>
      </c>
      <c r="G200" s="15">
        <v>46087</v>
      </c>
      <c r="H200" s="15" t="str">
        <f t="shared" si="12"/>
        <v>Friday</v>
      </c>
      <c r="I200" s="11">
        <v>168</v>
      </c>
      <c r="J200" s="24">
        <f t="shared" si="13"/>
        <v>168</v>
      </c>
      <c r="K200">
        <f t="shared" si="14"/>
        <v>0</v>
      </c>
      <c r="L200" t="str">
        <f t="shared" si="15"/>
        <v>Low Stock</v>
      </c>
    </row>
    <row r="201" spans="1:12" x14ac:dyDescent="0.45">
      <c r="A201" s="21" t="s">
        <v>405</v>
      </c>
      <c r="B201" s="7">
        <v>-3</v>
      </c>
      <c r="C201" s="7">
        <v>0</v>
      </c>
      <c r="D201" s="7">
        <v>2</v>
      </c>
      <c r="E201" s="7">
        <v>1</v>
      </c>
      <c r="F201" s="7">
        <v>1</v>
      </c>
      <c r="G201" s="16">
        <v>46085</v>
      </c>
      <c r="H201" s="16" t="str">
        <f t="shared" si="12"/>
        <v>Wednesday</v>
      </c>
      <c r="I201" s="12">
        <v>105</v>
      </c>
      <c r="J201" s="9">
        <f t="shared" si="13"/>
        <v>210</v>
      </c>
      <c r="K201">
        <f t="shared" si="14"/>
        <v>0</v>
      </c>
      <c r="L201" t="str">
        <f t="shared" si="15"/>
        <v>Low Stock</v>
      </c>
    </row>
    <row r="202" spans="1:12" x14ac:dyDescent="0.45">
      <c r="A202" s="20" t="s">
        <v>437</v>
      </c>
      <c r="B202" s="6">
        <v>-67</v>
      </c>
      <c r="C202" s="6">
        <v>0</v>
      </c>
      <c r="D202" s="6">
        <v>5</v>
      </c>
      <c r="E202" s="6">
        <v>5</v>
      </c>
      <c r="F202" s="6">
        <v>5</v>
      </c>
      <c r="G202" s="15">
        <v>46088</v>
      </c>
      <c r="H202" s="15" t="str">
        <f t="shared" si="12"/>
        <v>Saturday</v>
      </c>
      <c r="I202" s="11">
        <v>90</v>
      </c>
      <c r="J202" s="24">
        <f t="shared" si="13"/>
        <v>450</v>
      </c>
      <c r="K202">
        <f t="shared" si="14"/>
        <v>0</v>
      </c>
      <c r="L202" t="str">
        <f t="shared" si="15"/>
        <v>Low Stock</v>
      </c>
    </row>
    <row r="203" spans="1:12" x14ac:dyDescent="0.45">
      <c r="A203" s="21" t="s">
        <v>547</v>
      </c>
      <c r="B203" s="7">
        <v>1</v>
      </c>
      <c r="C203" s="7">
        <v>10</v>
      </c>
      <c r="D203" s="7">
        <v>3</v>
      </c>
      <c r="E203" s="7">
        <v>2</v>
      </c>
      <c r="F203" s="7">
        <v>2</v>
      </c>
      <c r="G203" s="16">
        <v>46083</v>
      </c>
      <c r="H203" s="16" t="str">
        <f t="shared" si="12"/>
        <v>Monday</v>
      </c>
      <c r="I203" s="12">
        <v>231</v>
      </c>
      <c r="J203" s="9">
        <f t="shared" si="13"/>
        <v>693</v>
      </c>
      <c r="K203">
        <f t="shared" si="14"/>
        <v>1</v>
      </c>
      <c r="L203" t="str">
        <f t="shared" si="15"/>
        <v>Low Stock</v>
      </c>
    </row>
    <row r="204" spans="1:12" x14ac:dyDescent="0.45">
      <c r="A204" s="20" t="s">
        <v>611</v>
      </c>
      <c r="B204" s="6">
        <v>1</v>
      </c>
      <c r="C204" s="6">
        <v>15</v>
      </c>
      <c r="D204" s="6">
        <v>2</v>
      </c>
      <c r="E204" s="6">
        <v>2</v>
      </c>
      <c r="F204" s="6">
        <v>2</v>
      </c>
      <c r="G204" s="15">
        <v>46085</v>
      </c>
      <c r="H204" s="15" t="str">
        <f t="shared" si="12"/>
        <v>Wednesday</v>
      </c>
      <c r="I204" s="11">
        <v>262</v>
      </c>
      <c r="J204" s="24">
        <f t="shared" si="13"/>
        <v>524</v>
      </c>
      <c r="K204">
        <f t="shared" si="14"/>
        <v>1</v>
      </c>
      <c r="L204" t="str">
        <f t="shared" si="15"/>
        <v>Low Stock</v>
      </c>
    </row>
    <row r="205" spans="1:12" x14ac:dyDescent="0.45">
      <c r="A205" s="21" t="s">
        <v>657</v>
      </c>
      <c r="B205" s="7">
        <v>3</v>
      </c>
      <c r="C205" s="7">
        <v>11</v>
      </c>
      <c r="D205" s="7">
        <v>8</v>
      </c>
      <c r="E205" s="7">
        <v>1</v>
      </c>
      <c r="F205" s="7">
        <v>1</v>
      </c>
      <c r="G205" s="16">
        <v>46088</v>
      </c>
      <c r="H205" s="16" t="str">
        <f t="shared" si="12"/>
        <v>Saturday</v>
      </c>
      <c r="I205" s="12">
        <v>148</v>
      </c>
      <c r="J205" s="9">
        <f t="shared" si="13"/>
        <v>1184</v>
      </c>
      <c r="K205">
        <f t="shared" si="14"/>
        <v>3</v>
      </c>
      <c r="L205" t="str">
        <f t="shared" si="15"/>
        <v>Low Stock</v>
      </c>
    </row>
    <row r="206" spans="1:12" x14ac:dyDescent="0.45">
      <c r="A206" s="20" t="s">
        <v>697</v>
      </c>
      <c r="B206" s="6">
        <v>3</v>
      </c>
      <c r="C206" s="6">
        <v>12</v>
      </c>
      <c r="D206" s="6">
        <v>7</v>
      </c>
      <c r="E206" s="6">
        <v>7</v>
      </c>
      <c r="F206" s="6">
        <v>6</v>
      </c>
      <c r="G206" s="15">
        <v>46087</v>
      </c>
      <c r="H206" s="15" t="str">
        <f t="shared" si="12"/>
        <v>Friday</v>
      </c>
      <c r="I206" s="11">
        <v>111</v>
      </c>
      <c r="J206" s="24">
        <f t="shared" si="13"/>
        <v>777</v>
      </c>
      <c r="K206">
        <f t="shared" si="14"/>
        <v>3</v>
      </c>
      <c r="L206" t="str">
        <f t="shared" si="15"/>
        <v>Low Stock</v>
      </c>
    </row>
    <row r="207" spans="1:12" x14ac:dyDescent="0.45">
      <c r="A207" s="21" t="s">
        <v>36</v>
      </c>
      <c r="B207" s="7">
        <v>0</v>
      </c>
      <c r="C207" s="7">
        <v>0</v>
      </c>
      <c r="D207" s="7">
        <v>9</v>
      </c>
      <c r="E207" s="7">
        <v>9</v>
      </c>
      <c r="F207" s="7">
        <v>9</v>
      </c>
      <c r="G207" s="16">
        <v>46086</v>
      </c>
      <c r="H207" s="16" t="str">
        <f t="shared" si="12"/>
        <v>Thursday</v>
      </c>
      <c r="I207" s="12">
        <v>83</v>
      </c>
      <c r="J207" s="9">
        <f t="shared" si="13"/>
        <v>747</v>
      </c>
      <c r="K207">
        <f t="shared" si="14"/>
        <v>0</v>
      </c>
      <c r="L207" t="str">
        <f t="shared" si="15"/>
        <v>Low Stock</v>
      </c>
    </row>
    <row r="208" spans="1:12" x14ac:dyDescent="0.45">
      <c r="A208" s="20" t="s">
        <v>75</v>
      </c>
      <c r="B208" s="6">
        <v>0</v>
      </c>
      <c r="C208" s="6">
        <v>0</v>
      </c>
      <c r="D208" s="6">
        <v>5</v>
      </c>
      <c r="E208" s="6">
        <v>5</v>
      </c>
      <c r="F208" s="6">
        <v>3</v>
      </c>
      <c r="G208" s="15">
        <v>46085</v>
      </c>
      <c r="H208" s="15" t="str">
        <f t="shared" si="12"/>
        <v>Wednesday</v>
      </c>
      <c r="I208" s="11">
        <v>104</v>
      </c>
      <c r="J208" s="24">
        <f t="shared" si="13"/>
        <v>520</v>
      </c>
      <c r="K208">
        <f t="shared" si="14"/>
        <v>0</v>
      </c>
      <c r="L208" t="str">
        <f t="shared" si="15"/>
        <v>Low Stock</v>
      </c>
    </row>
    <row r="209" spans="1:12" x14ac:dyDescent="0.45">
      <c r="A209" s="21" t="s">
        <v>184</v>
      </c>
      <c r="B209" s="7">
        <v>-1</v>
      </c>
      <c r="C209" s="7">
        <v>0</v>
      </c>
      <c r="D209" s="7">
        <v>1</v>
      </c>
      <c r="E209" s="7">
        <v>1</v>
      </c>
      <c r="F209" s="7">
        <v>1</v>
      </c>
      <c r="G209" s="16">
        <v>46083</v>
      </c>
      <c r="H209" s="16" t="str">
        <f t="shared" si="12"/>
        <v>Monday</v>
      </c>
      <c r="I209" s="12">
        <v>164</v>
      </c>
      <c r="J209" s="9">
        <f t="shared" si="13"/>
        <v>164</v>
      </c>
      <c r="K209">
        <f t="shared" si="14"/>
        <v>0</v>
      </c>
      <c r="L209" t="str">
        <f t="shared" si="15"/>
        <v>Low Stock</v>
      </c>
    </row>
    <row r="210" spans="1:12" x14ac:dyDescent="0.45">
      <c r="A210" s="20" t="s">
        <v>313</v>
      </c>
      <c r="B210" s="6">
        <v>1</v>
      </c>
      <c r="C210" s="6">
        <v>3</v>
      </c>
      <c r="D210" s="6">
        <v>10</v>
      </c>
      <c r="E210" s="6">
        <v>5</v>
      </c>
      <c r="F210" s="6">
        <v>5</v>
      </c>
      <c r="G210" s="15">
        <v>46082</v>
      </c>
      <c r="H210" s="15" t="str">
        <f t="shared" si="12"/>
        <v>Sunday</v>
      </c>
      <c r="I210" s="11">
        <v>128</v>
      </c>
      <c r="J210" s="24">
        <f t="shared" si="13"/>
        <v>1280</v>
      </c>
      <c r="K210">
        <f t="shared" si="14"/>
        <v>1</v>
      </c>
      <c r="L210" t="str">
        <f t="shared" si="15"/>
        <v>Low Stock</v>
      </c>
    </row>
    <row r="211" spans="1:12" x14ac:dyDescent="0.45">
      <c r="A211" s="21" t="s">
        <v>368</v>
      </c>
      <c r="B211" s="7">
        <v>0</v>
      </c>
      <c r="C211" s="7">
        <v>0</v>
      </c>
      <c r="D211" s="7">
        <v>1</v>
      </c>
      <c r="E211" s="7">
        <v>1</v>
      </c>
      <c r="F211" s="7">
        <v>1</v>
      </c>
      <c r="G211" s="16">
        <v>46084</v>
      </c>
      <c r="H211" s="16" t="str">
        <f t="shared" si="12"/>
        <v>Tuesday</v>
      </c>
      <c r="I211" s="12">
        <v>184</v>
      </c>
      <c r="J211" s="9">
        <f t="shared" si="13"/>
        <v>184</v>
      </c>
      <c r="K211">
        <f t="shared" si="14"/>
        <v>0</v>
      </c>
      <c r="L211" t="str">
        <f t="shared" si="15"/>
        <v>Low Stock</v>
      </c>
    </row>
    <row r="212" spans="1:12" x14ac:dyDescent="0.45">
      <c r="A212" s="20" t="s">
        <v>453</v>
      </c>
      <c r="B212" s="6">
        <v>0</v>
      </c>
      <c r="C212" s="6">
        <v>0</v>
      </c>
      <c r="D212" s="6">
        <v>1</v>
      </c>
      <c r="E212" s="6">
        <v>1</v>
      </c>
      <c r="F212" s="6">
        <v>1</v>
      </c>
      <c r="G212" s="15">
        <v>46082</v>
      </c>
      <c r="H212" s="15" t="str">
        <f t="shared" si="12"/>
        <v>Sunday</v>
      </c>
      <c r="I212" s="11">
        <v>176</v>
      </c>
      <c r="J212" s="24">
        <f t="shared" si="13"/>
        <v>176</v>
      </c>
      <c r="K212">
        <f t="shared" si="14"/>
        <v>0</v>
      </c>
      <c r="L212" t="str">
        <f t="shared" si="15"/>
        <v>Low Stock</v>
      </c>
    </row>
    <row r="213" spans="1:12" x14ac:dyDescent="0.45">
      <c r="A213" s="21" t="s">
        <v>1145</v>
      </c>
      <c r="B213" s="7">
        <v>5</v>
      </c>
      <c r="C213" s="7">
        <v>18</v>
      </c>
      <c r="D213" s="7">
        <v>8</v>
      </c>
      <c r="E213" s="7">
        <v>7</v>
      </c>
      <c r="F213" s="7">
        <v>7</v>
      </c>
      <c r="G213" s="16">
        <v>46088</v>
      </c>
      <c r="H213" s="16" t="str">
        <f t="shared" si="12"/>
        <v>Saturday</v>
      </c>
      <c r="I213" s="12">
        <v>193</v>
      </c>
      <c r="J213" s="9">
        <f t="shared" si="13"/>
        <v>1544</v>
      </c>
      <c r="K213">
        <f t="shared" si="14"/>
        <v>5</v>
      </c>
      <c r="L213" t="str">
        <f t="shared" si="15"/>
        <v>OK</v>
      </c>
    </row>
    <row r="214" spans="1:12" x14ac:dyDescent="0.45">
      <c r="A214" s="20" t="s">
        <v>142</v>
      </c>
      <c r="B214" s="6">
        <v>0</v>
      </c>
      <c r="C214" s="6">
        <v>0</v>
      </c>
      <c r="D214" s="6">
        <v>1</v>
      </c>
      <c r="E214" s="6">
        <v>1</v>
      </c>
      <c r="F214" s="6">
        <v>1</v>
      </c>
      <c r="G214" s="15">
        <v>46082</v>
      </c>
      <c r="H214" s="15" t="str">
        <f t="shared" si="12"/>
        <v>Sunday</v>
      </c>
      <c r="I214" s="11">
        <v>93</v>
      </c>
      <c r="J214" s="24">
        <f t="shared" si="13"/>
        <v>93</v>
      </c>
      <c r="K214">
        <f t="shared" si="14"/>
        <v>0</v>
      </c>
      <c r="L214" t="str">
        <f t="shared" si="15"/>
        <v>Low Stock</v>
      </c>
    </row>
    <row r="215" spans="1:12" x14ac:dyDescent="0.45">
      <c r="A215" s="21" t="s">
        <v>189</v>
      </c>
      <c r="B215" s="7">
        <v>-6</v>
      </c>
      <c r="C215" s="7">
        <v>0</v>
      </c>
      <c r="D215" s="7">
        <v>2</v>
      </c>
      <c r="E215" s="7">
        <v>2</v>
      </c>
      <c r="F215" s="7">
        <v>2</v>
      </c>
      <c r="G215" s="16">
        <v>46082</v>
      </c>
      <c r="H215" s="16" t="str">
        <f t="shared" si="12"/>
        <v>Sunday</v>
      </c>
      <c r="I215" s="12">
        <v>171</v>
      </c>
      <c r="J215" s="9">
        <f t="shared" si="13"/>
        <v>342</v>
      </c>
      <c r="K215">
        <f t="shared" si="14"/>
        <v>0</v>
      </c>
      <c r="L215" t="str">
        <f t="shared" si="15"/>
        <v>Low Stock</v>
      </c>
    </row>
    <row r="216" spans="1:12" x14ac:dyDescent="0.45">
      <c r="A216" s="20" t="s">
        <v>281</v>
      </c>
      <c r="B216" s="6">
        <v>-10</v>
      </c>
      <c r="C216" s="6">
        <v>0</v>
      </c>
      <c r="D216" s="6">
        <v>4</v>
      </c>
      <c r="E216" s="6">
        <v>1</v>
      </c>
      <c r="F216" s="6">
        <v>1</v>
      </c>
      <c r="G216" s="15">
        <v>46085</v>
      </c>
      <c r="H216" s="15" t="str">
        <f t="shared" si="12"/>
        <v>Wednesday</v>
      </c>
      <c r="I216" s="11">
        <v>183</v>
      </c>
      <c r="J216" s="24">
        <f t="shared" si="13"/>
        <v>732</v>
      </c>
      <c r="K216">
        <f t="shared" si="14"/>
        <v>0</v>
      </c>
      <c r="L216" t="str">
        <f t="shared" si="15"/>
        <v>Low Stock</v>
      </c>
    </row>
    <row r="217" spans="1:12" x14ac:dyDescent="0.45">
      <c r="A217" s="21" t="s">
        <v>369</v>
      </c>
      <c r="B217" s="7">
        <v>-22</v>
      </c>
      <c r="C217" s="7">
        <v>0</v>
      </c>
      <c r="D217" s="7">
        <v>1</v>
      </c>
      <c r="E217" s="7">
        <v>1</v>
      </c>
      <c r="F217" s="7">
        <v>1</v>
      </c>
      <c r="G217" s="16">
        <v>46083</v>
      </c>
      <c r="H217" s="16" t="str">
        <f t="shared" si="12"/>
        <v>Monday</v>
      </c>
      <c r="I217" s="12">
        <v>175</v>
      </c>
      <c r="J217" s="9">
        <f t="shared" si="13"/>
        <v>175</v>
      </c>
      <c r="K217">
        <f t="shared" si="14"/>
        <v>0</v>
      </c>
      <c r="L217" t="str">
        <f t="shared" si="15"/>
        <v>Low Stock</v>
      </c>
    </row>
    <row r="218" spans="1:12" x14ac:dyDescent="0.45">
      <c r="A218" s="20" t="s">
        <v>554</v>
      </c>
      <c r="B218" s="6">
        <v>20</v>
      </c>
      <c r="C218" s="6">
        <v>12</v>
      </c>
      <c r="D218" s="6">
        <v>50</v>
      </c>
      <c r="E218" s="6">
        <v>4</v>
      </c>
      <c r="F218" s="6">
        <v>4</v>
      </c>
      <c r="G218" s="15">
        <v>46088</v>
      </c>
      <c r="H218" s="15" t="str">
        <f t="shared" si="12"/>
        <v>Saturday</v>
      </c>
      <c r="I218" s="11">
        <v>153</v>
      </c>
      <c r="J218" s="24">
        <f t="shared" si="13"/>
        <v>7650</v>
      </c>
      <c r="K218">
        <f t="shared" si="14"/>
        <v>20</v>
      </c>
      <c r="L218" t="str">
        <f t="shared" si="15"/>
        <v>OK</v>
      </c>
    </row>
    <row r="219" spans="1:12" x14ac:dyDescent="0.45">
      <c r="A219" s="21" t="s">
        <v>644</v>
      </c>
      <c r="B219" s="7">
        <v>1</v>
      </c>
      <c r="C219" s="7">
        <v>15</v>
      </c>
      <c r="D219" s="7">
        <v>2</v>
      </c>
      <c r="E219" s="7">
        <v>2</v>
      </c>
      <c r="F219" s="7">
        <v>2</v>
      </c>
      <c r="G219" s="16">
        <v>46082</v>
      </c>
      <c r="H219" s="16" t="str">
        <f t="shared" si="12"/>
        <v>Sunday</v>
      </c>
      <c r="I219" s="12">
        <v>185</v>
      </c>
      <c r="J219" s="9">
        <f t="shared" si="13"/>
        <v>370</v>
      </c>
      <c r="K219">
        <f t="shared" si="14"/>
        <v>1</v>
      </c>
      <c r="L219" t="str">
        <f t="shared" si="15"/>
        <v>Low Stock</v>
      </c>
    </row>
    <row r="220" spans="1:12" x14ac:dyDescent="0.45">
      <c r="A220" s="20" t="s">
        <v>388</v>
      </c>
      <c r="B220" s="6">
        <v>-14</v>
      </c>
      <c r="C220" s="6">
        <v>0</v>
      </c>
      <c r="D220" s="6">
        <v>1</v>
      </c>
      <c r="E220" s="6">
        <v>1</v>
      </c>
      <c r="F220" s="6">
        <v>1</v>
      </c>
      <c r="G220" s="15">
        <v>46087</v>
      </c>
      <c r="H220" s="15" t="str">
        <f t="shared" si="12"/>
        <v>Friday</v>
      </c>
      <c r="I220" s="11">
        <v>115</v>
      </c>
      <c r="J220" s="24">
        <f t="shared" si="13"/>
        <v>115</v>
      </c>
      <c r="K220">
        <f t="shared" si="14"/>
        <v>0</v>
      </c>
      <c r="L220" t="str">
        <f t="shared" si="15"/>
        <v>Low Stock</v>
      </c>
    </row>
    <row r="221" spans="1:12" x14ac:dyDescent="0.45">
      <c r="A221" s="21" t="s">
        <v>1105</v>
      </c>
      <c r="B221" s="7">
        <v>10</v>
      </c>
      <c r="C221" s="7">
        <v>30</v>
      </c>
      <c r="D221" s="7">
        <v>10</v>
      </c>
      <c r="E221" s="7">
        <v>1</v>
      </c>
      <c r="F221" s="7">
        <v>1</v>
      </c>
      <c r="G221" s="16">
        <v>46087</v>
      </c>
      <c r="H221" s="16" t="str">
        <f t="shared" si="12"/>
        <v>Friday</v>
      </c>
      <c r="I221" s="12">
        <v>135</v>
      </c>
      <c r="J221" s="9">
        <f t="shared" si="13"/>
        <v>1350</v>
      </c>
      <c r="K221">
        <f t="shared" si="14"/>
        <v>10</v>
      </c>
      <c r="L221" t="str">
        <f t="shared" si="15"/>
        <v>OK</v>
      </c>
    </row>
    <row r="222" spans="1:12" x14ac:dyDescent="0.45">
      <c r="A222" s="20" t="s">
        <v>85</v>
      </c>
      <c r="B222" s="6">
        <v>0</v>
      </c>
      <c r="C222" s="6">
        <v>0</v>
      </c>
      <c r="D222" s="6">
        <v>10</v>
      </c>
      <c r="E222" s="6">
        <v>1</v>
      </c>
      <c r="F222" s="6">
        <v>1</v>
      </c>
      <c r="G222" s="15">
        <v>46087</v>
      </c>
      <c r="H222" s="15" t="str">
        <f t="shared" si="12"/>
        <v>Friday</v>
      </c>
      <c r="I222" s="11">
        <v>190</v>
      </c>
      <c r="J222" s="24">
        <f t="shared" si="13"/>
        <v>1900</v>
      </c>
      <c r="K222">
        <f t="shared" si="14"/>
        <v>0</v>
      </c>
      <c r="L222" t="str">
        <f t="shared" si="15"/>
        <v>Low Stock</v>
      </c>
    </row>
    <row r="223" spans="1:12" x14ac:dyDescent="0.45">
      <c r="A223" s="21" t="s">
        <v>363</v>
      </c>
      <c r="B223" s="7">
        <v>-1</v>
      </c>
      <c r="C223" s="7">
        <v>0</v>
      </c>
      <c r="D223" s="7">
        <v>3</v>
      </c>
      <c r="E223" s="7">
        <v>3</v>
      </c>
      <c r="F223" s="7">
        <v>3</v>
      </c>
      <c r="G223" s="16">
        <v>46085</v>
      </c>
      <c r="H223" s="16" t="str">
        <f t="shared" si="12"/>
        <v>Wednesday</v>
      </c>
      <c r="I223" s="12">
        <v>188</v>
      </c>
      <c r="J223" s="9">
        <f t="shared" si="13"/>
        <v>564</v>
      </c>
      <c r="K223">
        <f t="shared" si="14"/>
        <v>0</v>
      </c>
      <c r="L223" t="str">
        <f t="shared" si="15"/>
        <v>Low Stock</v>
      </c>
    </row>
    <row r="224" spans="1:12" x14ac:dyDescent="0.45">
      <c r="A224" s="20" t="s">
        <v>421</v>
      </c>
      <c r="B224" s="6">
        <v>0</v>
      </c>
      <c r="C224" s="6">
        <v>0</v>
      </c>
      <c r="D224" s="6">
        <v>1</v>
      </c>
      <c r="E224" s="6">
        <v>1</v>
      </c>
      <c r="F224" s="6">
        <v>1</v>
      </c>
      <c r="G224" s="15">
        <v>46082</v>
      </c>
      <c r="H224" s="15" t="str">
        <f t="shared" si="12"/>
        <v>Sunday</v>
      </c>
      <c r="I224" s="11">
        <v>164</v>
      </c>
      <c r="J224" s="24">
        <f t="shared" si="13"/>
        <v>164</v>
      </c>
      <c r="K224">
        <f t="shared" si="14"/>
        <v>0</v>
      </c>
      <c r="L224" t="str">
        <f t="shared" si="15"/>
        <v>Low Stock</v>
      </c>
    </row>
    <row r="225" spans="1:12" x14ac:dyDescent="0.45">
      <c r="A225" s="21" t="s">
        <v>470</v>
      </c>
      <c r="B225" s="7">
        <v>-1</v>
      </c>
      <c r="C225" s="7">
        <v>0</v>
      </c>
      <c r="D225" s="7">
        <v>1</v>
      </c>
      <c r="E225" s="7">
        <v>1</v>
      </c>
      <c r="F225" s="7">
        <v>1</v>
      </c>
      <c r="G225" s="16">
        <v>46088</v>
      </c>
      <c r="H225" s="16" t="str">
        <f t="shared" si="12"/>
        <v>Saturday</v>
      </c>
      <c r="I225" s="12">
        <v>155</v>
      </c>
      <c r="J225" s="9">
        <f t="shared" si="13"/>
        <v>155</v>
      </c>
      <c r="K225">
        <f t="shared" si="14"/>
        <v>0</v>
      </c>
      <c r="L225" t="str">
        <f t="shared" si="15"/>
        <v>Low Stock</v>
      </c>
    </row>
    <row r="226" spans="1:12" x14ac:dyDescent="0.45">
      <c r="A226" s="20" t="s">
        <v>548</v>
      </c>
      <c r="B226" s="6">
        <v>30</v>
      </c>
      <c r="C226" s="6">
        <v>8</v>
      </c>
      <c r="D226" s="6">
        <v>105</v>
      </c>
      <c r="E226" s="6">
        <v>5</v>
      </c>
      <c r="F226" s="6">
        <v>5</v>
      </c>
      <c r="G226" s="15">
        <v>46083</v>
      </c>
      <c r="H226" s="15" t="str">
        <f t="shared" si="12"/>
        <v>Monday</v>
      </c>
      <c r="I226" s="11">
        <v>159</v>
      </c>
      <c r="J226" s="24">
        <f t="shared" si="13"/>
        <v>16695</v>
      </c>
      <c r="K226">
        <f t="shared" si="14"/>
        <v>30</v>
      </c>
      <c r="L226" t="str">
        <f t="shared" si="15"/>
        <v>OK</v>
      </c>
    </row>
    <row r="227" spans="1:12" x14ac:dyDescent="0.45">
      <c r="A227" s="21" t="s">
        <v>574</v>
      </c>
      <c r="B227" s="7">
        <v>1</v>
      </c>
      <c r="C227" s="7">
        <v>10</v>
      </c>
      <c r="D227" s="7">
        <v>3</v>
      </c>
      <c r="E227" s="7">
        <v>3</v>
      </c>
      <c r="F227" s="7">
        <v>3</v>
      </c>
      <c r="G227" s="16">
        <v>46082</v>
      </c>
      <c r="H227" s="16" t="str">
        <f t="shared" si="12"/>
        <v>Sunday</v>
      </c>
      <c r="I227" s="12">
        <v>117</v>
      </c>
      <c r="J227" s="9">
        <f t="shared" si="13"/>
        <v>351</v>
      </c>
      <c r="K227">
        <f t="shared" si="14"/>
        <v>1</v>
      </c>
      <c r="L227" t="str">
        <f t="shared" si="15"/>
        <v>Low Stock</v>
      </c>
    </row>
    <row r="228" spans="1:12" x14ac:dyDescent="0.45">
      <c r="A228" s="20" t="s">
        <v>1185</v>
      </c>
      <c r="B228" s="6">
        <v>45</v>
      </c>
      <c r="C228" s="6">
        <v>30</v>
      </c>
      <c r="D228" s="6">
        <v>45</v>
      </c>
      <c r="E228" s="6">
        <v>2</v>
      </c>
      <c r="F228" s="6">
        <v>2</v>
      </c>
      <c r="G228" s="15">
        <v>46085</v>
      </c>
      <c r="H228" s="15" t="str">
        <f t="shared" si="12"/>
        <v>Wednesday</v>
      </c>
      <c r="I228" s="11">
        <v>199</v>
      </c>
      <c r="J228" s="24">
        <f t="shared" si="13"/>
        <v>8955</v>
      </c>
      <c r="K228">
        <f t="shared" si="14"/>
        <v>45</v>
      </c>
      <c r="L228" t="str">
        <f t="shared" si="15"/>
        <v>OK</v>
      </c>
    </row>
    <row r="229" spans="1:12" x14ac:dyDescent="0.45">
      <c r="A229" s="21" t="s">
        <v>1187</v>
      </c>
      <c r="B229" s="7">
        <v>1</v>
      </c>
      <c r="C229" s="7">
        <v>30</v>
      </c>
      <c r="D229" s="7">
        <v>1</v>
      </c>
      <c r="E229" s="7">
        <v>1</v>
      </c>
      <c r="F229" s="7">
        <v>1</v>
      </c>
      <c r="G229" s="16">
        <v>46085</v>
      </c>
      <c r="H229" s="16" t="str">
        <f t="shared" si="12"/>
        <v>Wednesday</v>
      </c>
      <c r="I229" s="12">
        <v>186</v>
      </c>
      <c r="J229" s="9">
        <f t="shared" si="13"/>
        <v>186</v>
      </c>
      <c r="K229">
        <f t="shared" si="14"/>
        <v>1</v>
      </c>
      <c r="L229" t="str">
        <f t="shared" si="15"/>
        <v>Low Stock</v>
      </c>
    </row>
    <row r="230" spans="1:12" x14ac:dyDescent="0.45">
      <c r="A230" s="20" t="s">
        <v>241</v>
      </c>
      <c r="B230" s="6">
        <v>-10</v>
      </c>
      <c r="C230" s="6">
        <v>0</v>
      </c>
      <c r="D230" s="6">
        <v>10</v>
      </c>
      <c r="E230" s="6">
        <v>1</v>
      </c>
      <c r="F230" s="6">
        <v>1</v>
      </c>
      <c r="G230" s="15">
        <v>46085</v>
      </c>
      <c r="H230" s="15" t="str">
        <f t="shared" si="12"/>
        <v>Wednesday</v>
      </c>
      <c r="I230" s="11">
        <v>172</v>
      </c>
      <c r="J230" s="24">
        <f t="shared" si="13"/>
        <v>1720</v>
      </c>
      <c r="K230">
        <f t="shared" si="14"/>
        <v>0</v>
      </c>
      <c r="L230" t="str">
        <f t="shared" si="15"/>
        <v>Low Stock</v>
      </c>
    </row>
    <row r="231" spans="1:12" x14ac:dyDescent="0.45">
      <c r="A231" s="21" t="s">
        <v>371</v>
      </c>
      <c r="B231" s="7">
        <v>-138</v>
      </c>
      <c r="C231" s="7">
        <v>0</v>
      </c>
      <c r="D231" s="7">
        <v>3</v>
      </c>
      <c r="E231" s="7">
        <v>1</v>
      </c>
      <c r="F231" s="7">
        <v>1</v>
      </c>
      <c r="G231" s="16">
        <v>46087</v>
      </c>
      <c r="H231" s="16" t="str">
        <f t="shared" si="12"/>
        <v>Friday</v>
      </c>
      <c r="I231" s="12">
        <v>187</v>
      </c>
      <c r="J231" s="9">
        <f t="shared" si="13"/>
        <v>561</v>
      </c>
      <c r="K231">
        <f t="shared" si="14"/>
        <v>0</v>
      </c>
      <c r="L231" t="str">
        <f t="shared" si="15"/>
        <v>Low Stock</v>
      </c>
    </row>
    <row r="232" spans="1:12" x14ac:dyDescent="0.45">
      <c r="A232" s="20" t="s">
        <v>730</v>
      </c>
      <c r="B232" s="6">
        <v>8</v>
      </c>
      <c r="C232" s="6">
        <v>24</v>
      </c>
      <c r="D232" s="6">
        <v>10</v>
      </c>
      <c r="E232" s="6">
        <v>10</v>
      </c>
      <c r="F232" s="6">
        <v>8</v>
      </c>
      <c r="G232" s="15">
        <v>46083</v>
      </c>
      <c r="H232" s="15" t="str">
        <f t="shared" si="12"/>
        <v>Monday</v>
      </c>
      <c r="I232" s="11">
        <v>138</v>
      </c>
      <c r="J232" s="24">
        <f t="shared" si="13"/>
        <v>1380</v>
      </c>
      <c r="K232">
        <f t="shared" si="14"/>
        <v>8</v>
      </c>
      <c r="L232" t="str">
        <f t="shared" si="15"/>
        <v>OK</v>
      </c>
    </row>
    <row r="233" spans="1:12" x14ac:dyDescent="0.45">
      <c r="A233" s="21" t="s">
        <v>742</v>
      </c>
      <c r="B233" s="7">
        <v>461</v>
      </c>
      <c r="C233" s="7">
        <v>23</v>
      </c>
      <c r="D233" s="7">
        <v>580</v>
      </c>
      <c r="E233" s="7">
        <v>22</v>
      </c>
      <c r="F233" s="7">
        <v>17</v>
      </c>
      <c r="G233" s="16">
        <v>46083</v>
      </c>
      <c r="H233" s="16" t="str">
        <f t="shared" si="12"/>
        <v>Monday</v>
      </c>
      <c r="I233" s="12">
        <v>117</v>
      </c>
      <c r="J233" s="9">
        <f t="shared" si="13"/>
        <v>67860</v>
      </c>
      <c r="K233">
        <f t="shared" si="14"/>
        <v>461</v>
      </c>
      <c r="L233" t="str">
        <f t="shared" si="15"/>
        <v>OK</v>
      </c>
    </row>
    <row r="234" spans="1:12" x14ac:dyDescent="0.45">
      <c r="A234" s="20" t="s">
        <v>1212</v>
      </c>
      <c r="B234" s="6">
        <v>2</v>
      </c>
      <c r="C234" s="6">
        <v>30</v>
      </c>
      <c r="D234" s="6">
        <v>2</v>
      </c>
      <c r="E234" s="6">
        <v>2</v>
      </c>
      <c r="F234" s="6">
        <v>2</v>
      </c>
      <c r="G234" s="15">
        <v>46085</v>
      </c>
      <c r="H234" s="15" t="str">
        <f t="shared" si="12"/>
        <v>Wednesday</v>
      </c>
      <c r="I234" s="11">
        <v>149</v>
      </c>
      <c r="J234" s="24">
        <f t="shared" si="13"/>
        <v>298</v>
      </c>
      <c r="K234">
        <f t="shared" si="14"/>
        <v>2</v>
      </c>
      <c r="L234" t="str">
        <f t="shared" si="15"/>
        <v>Low Stock</v>
      </c>
    </row>
    <row r="235" spans="1:12" x14ac:dyDescent="0.45">
      <c r="A235" s="21" t="s">
        <v>1222</v>
      </c>
      <c r="B235" s="7">
        <v>3</v>
      </c>
      <c r="C235" s="7">
        <v>22</v>
      </c>
      <c r="D235" s="7">
        <v>4</v>
      </c>
      <c r="E235" s="7">
        <v>4</v>
      </c>
      <c r="F235" s="7">
        <v>3</v>
      </c>
      <c r="G235" s="16">
        <v>46086</v>
      </c>
      <c r="H235" s="16" t="str">
        <f t="shared" si="12"/>
        <v>Thursday</v>
      </c>
      <c r="I235" s="12">
        <v>83</v>
      </c>
      <c r="J235" s="9">
        <f t="shared" si="13"/>
        <v>332</v>
      </c>
      <c r="K235">
        <f t="shared" si="14"/>
        <v>3</v>
      </c>
      <c r="L235" t="str">
        <f t="shared" si="15"/>
        <v>Low Stock</v>
      </c>
    </row>
    <row r="236" spans="1:12" x14ac:dyDescent="0.45">
      <c r="A236" s="20" t="s">
        <v>238</v>
      </c>
      <c r="B236" s="6">
        <v>0</v>
      </c>
      <c r="C236" s="6">
        <v>0</v>
      </c>
      <c r="D236" s="6">
        <v>1</v>
      </c>
      <c r="E236" s="6">
        <v>1</v>
      </c>
      <c r="F236" s="6">
        <v>1</v>
      </c>
      <c r="G236" s="15">
        <v>46085</v>
      </c>
      <c r="H236" s="15" t="str">
        <f t="shared" si="12"/>
        <v>Wednesday</v>
      </c>
      <c r="I236" s="11">
        <v>191</v>
      </c>
      <c r="J236" s="24">
        <f t="shared" si="13"/>
        <v>191</v>
      </c>
      <c r="K236">
        <f t="shared" si="14"/>
        <v>0</v>
      </c>
      <c r="L236" t="str">
        <f t="shared" si="15"/>
        <v>Low Stock</v>
      </c>
    </row>
    <row r="237" spans="1:12" x14ac:dyDescent="0.45">
      <c r="A237" s="21" t="s">
        <v>271</v>
      </c>
      <c r="B237" s="7">
        <v>-13</v>
      </c>
      <c r="C237" s="7">
        <v>0</v>
      </c>
      <c r="D237" s="7">
        <v>2</v>
      </c>
      <c r="E237" s="7">
        <v>2</v>
      </c>
      <c r="F237" s="7">
        <v>2</v>
      </c>
      <c r="G237" s="16">
        <v>46088</v>
      </c>
      <c r="H237" s="16" t="str">
        <f t="shared" si="12"/>
        <v>Saturday</v>
      </c>
      <c r="I237" s="12">
        <v>200</v>
      </c>
      <c r="J237" s="9">
        <f t="shared" si="13"/>
        <v>400</v>
      </c>
      <c r="K237">
        <f t="shared" si="14"/>
        <v>0</v>
      </c>
      <c r="L237" t="str">
        <f t="shared" si="15"/>
        <v>Low Stock</v>
      </c>
    </row>
    <row r="238" spans="1:12" x14ac:dyDescent="0.45">
      <c r="A238" s="20" t="s">
        <v>367</v>
      </c>
      <c r="B238" s="6">
        <v>-2</v>
      </c>
      <c r="C238" s="6">
        <v>0</v>
      </c>
      <c r="D238" s="6">
        <v>2</v>
      </c>
      <c r="E238" s="6">
        <v>1</v>
      </c>
      <c r="F238" s="6">
        <v>1</v>
      </c>
      <c r="G238" s="15">
        <v>46088</v>
      </c>
      <c r="H238" s="15" t="str">
        <f t="shared" si="12"/>
        <v>Saturday</v>
      </c>
      <c r="I238" s="11">
        <v>91</v>
      </c>
      <c r="J238" s="24">
        <f t="shared" si="13"/>
        <v>182</v>
      </c>
      <c r="K238">
        <f t="shared" si="14"/>
        <v>0</v>
      </c>
      <c r="L238" t="str">
        <f t="shared" si="15"/>
        <v>Low Stock</v>
      </c>
    </row>
    <row r="239" spans="1:12" x14ac:dyDescent="0.45">
      <c r="A239" s="21" t="s">
        <v>395</v>
      </c>
      <c r="B239" s="7">
        <v>-13</v>
      </c>
      <c r="C239" s="7">
        <v>0</v>
      </c>
      <c r="D239" s="7">
        <v>2</v>
      </c>
      <c r="E239" s="7">
        <v>2</v>
      </c>
      <c r="F239" s="7">
        <v>2</v>
      </c>
      <c r="G239" s="16">
        <v>46085</v>
      </c>
      <c r="H239" s="16" t="str">
        <f t="shared" si="12"/>
        <v>Wednesday</v>
      </c>
      <c r="I239" s="12">
        <v>176</v>
      </c>
      <c r="J239" s="9">
        <f t="shared" si="13"/>
        <v>352</v>
      </c>
      <c r="K239">
        <f t="shared" si="14"/>
        <v>0</v>
      </c>
      <c r="L239" t="str">
        <f t="shared" si="15"/>
        <v>Low Stock</v>
      </c>
    </row>
    <row r="240" spans="1:12" x14ac:dyDescent="0.45">
      <c r="A240" s="20" t="s">
        <v>960</v>
      </c>
      <c r="B240" s="6">
        <v>1</v>
      </c>
      <c r="C240" s="6">
        <v>30</v>
      </c>
      <c r="D240" s="6">
        <v>1</v>
      </c>
      <c r="E240" s="6">
        <v>1</v>
      </c>
      <c r="F240" s="6">
        <v>1</v>
      </c>
      <c r="G240" s="15">
        <v>46083</v>
      </c>
      <c r="H240" s="15" t="str">
        <f t="shared" si="12"/>
        <v>Monday</v>
      </c>
      <c r="I240" s="11">
        <v>112</v>
      </c>
      <c r="J240" s="24">
        <f t="shared" si="13"/>
        <v>112</v>
      </c>
      <c r="K240">
        <f t="shared" si="14"/>
        <v>1</v>
      </c>
      <c r="L240" t="str">
        <f t="shared" si="15"/>
        <v>Low Stock</v>
      </c>
    </row>
    <row r="241" spans="1:12" x14ac:dyDescent="0.45">
      <c r="A241" s="21" t="s">
        <v>1002</v>
      </c>
      <c r="B241" s="7">
        <v>50</v>
      </c>
      <c r="C241" s="7">
        <v>25</v>
      </c>
      <c r="D241" s="7">
        <v>60</v>
      </c>
      <c r="E241" s="7">
        <v>5</v>
      </c>
      <c r="F241" s="7">
        <v>4</v>
      </c>
      <c r="G241" s="16">
        <v>46088</v>
      </c>
      <c r="H241" s="16" t="str">
        <f t="shared" si="12"/>
        <v>Saturday</v>
      </c>
      <c r="I241" s="12">
        <v>161</v>
      </c>
      <c r="J241" s="9">
        <f t="shared" si="13"/>
        <v>9660</v>
      </c>
      <c r="K241">
        <f t="shared" si="14"/>
        <v>50</v>
      </c>
      <c r="L241" t="str">
        <f t="shared" si="15"/>
        <v>OK</v>
      </c>
    </row>
    <row r="242" spans="1:12" x14ac:dyDescent="0.45">
      <c r="A242" s="20" t="s">
        <v>67</v>
      </c>
      <c r="B242" s="6">
        <v>10</v>
      </c>
      <c r="C242" s="6">
        <v>3</v>
      </c>
      <c r="D242" s="6">
        <v>80</v>
      </c>
      <c r="E242" s="6">
        <v>5</v>
      </c>
      <c r="F242" s="6">
        <v>3</v>
      </c>
      <c r="G242" s="15">
        <v>46085</v>
      </c>
      <c r="H242" s="15" t="str">
        <f t="shared" si="12"/>
        <v>Wednesday</v>
      </c>
      <c r="I242" s="11">
        <v>131</v>
      </c>
      <c r="J242" s="24">
        <f t="shared" si="13"/>
        <v>10480</v>
      </c>
      <c r="K242">
        <f t="shared" si="14"/>
        <v>10</v>
      </c>
      <c r="L242" t="str">
        <f t="shared" si="15"/>
        <v>OK</v>
      </c>
    </row>
    <row r="243" spans="1:12" x14ac:dyDescent="0.45">
      <c r="A243" s="21" t="s">
        <v>113</v>
      </c>
      <c r="B243" s="7">
        <v>-15</v>
      </c>
      <c r="C243" s="7">
        <v>0</v>
      </c>
      <c r="D243" s="7">
        <v>60</v>
      </c>
      <c r="E243" s="7">
        <v>4</v>
      </c>
      <c r="F243" s="7">
        <v>4</v>
      </c>
      <c r="G243" s="16">
        <v>46083</v>
      </c>
      <c r="H243" s="16" t="str">
        <f t="shared" si="12"/>
        <v>Monday</v>
      </c>
      <c r="I243" s="12">
        <v>123</v>
      </c>
      <c r="J243" s="9">
        <f t="shared" si="13"/>
        <v>7380</v>
      </c>
      <c r="K243">
        <f t="shared" si="14"/>
        <v>0</v>
      </c>
      <c r="L243" t="str">
        <f t="shared" si="15"/>
        <v>Low Stock</v>
      </c>
    </row>
    <row r="244" spans="1:12" x14ac:dyDescent="0.45">
      <c r="A244" s="20" t="s">
        <v>194</v>
      </c>
      <c r="B244" s="6">
        <v>0</v>
      </c>
      <c r="C244" s="6">
        <v>0</v>
      </c>
      <c r="D244" s="6">
        <v>2</v>
      </c>
      <c r="E244" s="6">
        <v>2</v>
      </c>
      <c r="F244" s="6">
        <v>2</v>
      </c>
      <c r="G244" s="15">
        <v>46088</v>
      </c>
      <c r="H244" s="15" t="str">
        <f t="shared" si="12"/>
        <v>Saturday</v>
      </c>
      <c r="I244" s="11">
        <v>93</v>
      </c>
      <c r="J244" s="24">
        <f t="shared" si="13"/>
        <v>186</v>
      </c>
      <c r="K244">
        <f t="shared" si="14"/>
        <v>0</v>
      </c>
      <c r="L244" t="str">
        <f t="shared" si="15"/>
        <v>Low Stock</v>
      </c>
    </row>
    <row r="245" spans="1:12" x14ac:dyDescent="0.45">
      <c r="A245" s="21" t="s">
        <v>294</v>
      </c>
      <c r="B245" s="7">
        <v>1</v>
      </c>
      <c r="C245" s="7">
        <v>2</v>
      </c>
      <c r="D245" s="7">
        <v>11</v>
      </c>
      <c r="E245" s="7">
        <v>3</v>
      </c>
      <c r="F245" s="7">
        <v>3</v>
      </c>
      <c r="G245" s="16">
        <v>46085</v>
      </c>
      <c r="H245" s="16" t="str">
        <f t="shared" si="12"/>
        <v>Wednesday</v>
      </c>
      <c r="I245" s="12">
        <v>85</v>
      </c>
      <c r="J245" s="9">
        <f t="shared" si="13"/>
        <v>935</v>
      </c>
      <c r="K245">
        <f t="shared" si="14"/>
        <v>1</v>
      </c>
      <c r="L245" t="str">
        <f t="shared" si="15"/>
        <v>Low Stock</v>
      </c>
    </row>
    <row r="246" spans="1:12" x14ac:dyDescent="0.45">
      <c r="A246" s="20" t="s">
        <v>479</v>
      </c>
      <c r="B246" s="6">
        <v>0</v>
      </c>
      <c r="C246" s="6">
        <v>0</v>
      </c>
      <c r="D246" s="6">
        <v>2</v>
      </c>
      <c r="E246" s="6">
        <v>2</v>
      </c>
      <c r="F246" s="6">
        <v>2</v>
      </c>
      <c r="G246" s="15">
        <v>46082</v>
      </c>
      <c r="H246" s="15" t="str">
        <f t="shared" si="12"/>
        <v>Sunday</v>
      </c>
      <c r="I246" s="11">
        <v>187</v>
      </c>
      <c r="J246" s="24">
        <f t="shared" si="13"/>
        <v>374</v>
      </c>
      <c r="K246">
        <f t="shared" si="14"/>
        <v>0</v>
      </c>
      <c r="L246" t="str">
        <f t="shared" si="15"/>
        <v>Low Stock</v>
      </c>
    </row>
    <row r="247" spans="1:12" x14ac:dyDescent="0.45">
      <c r="A247" s="21" t="s">
        <v>911</v>
      </c>
      <c r="B247" s="7">
        <v>4</v>
      </c>
      <c r="C247" s="7">
        <v>24</v>
      </c>
      <c r="D247" s="7">
        <v>5</v>
      </c>
      <c r="E247" s="7">
        <v>5</v>
      </c>
      <c r="F247" s="7">
        <v>4</v>
      </c>
      <c r="G247" s="16">
        <v>46088</v>
      </c>
      <c r="H247" s="16" t="str">
        <f t="shared" si="12"/>
        <v>Saturday</v>
      </c>
      <c r="I247" s="12">
        <v>173</v>
      </c>
      <c r="J247" s="9">
        <f t="shared" si="13"/>
        <v>865</v>
      </c>
      <c r="K247">
        <f t="shared" si="14"/>
        <v>4</v>
      </c>
      <c r="L247" t="str">
        <f t="shared" si="15"/>
        <v>Low Stock</v>
      </c>
    </row>
    <row r="248" spans="1:12" x14ac:dyDescent="0.45">
      <c r="A248" s="20" t="s">
        <v>53</v>
      </c>
      <c r="B248" s="6">
        <v>1</v>
      </c>
      <c r="C248" s="6">
        <v>6</v>
      </c>
      <c r="D248" s="6">
        <v>5</v>
      </c>
      <c r="E248" s="6">
        <v>7</v>
      </c>
      <c r="F248" s="6">
        <v>6</v>
      </c>
      <c r="G248" s="15">
        <v>46085</v>
      </c>
      <c r="H248" s="15" t="str">
        <f t="shared" si="12"/>
        <v>Wednesday</v>
      </c>
      <c r="I248" s="11">
        <v>81</v>
      </c>
      <c r="J248" s="24">
        <f t="shared" si="13"/>
        <v>405</v>
      </c>
      <c r="K248">
        <f t="shared" si="14"/>
        <v>1</v>
      </c>
      <c r="L248" t="str">
        <f t="shared" si="15"/>
        <v>Low Stock</v>
      </c>
    </row>
    <row r="249" spans="1:12" x14ac:dyDescent="0.45">
      <c r="A249" s="21" t="s">
        <v>99</v>
      </c>
      <c r="B249" s="7">
        <v>0</v>
      </c>
      <c r="C249" s="7">
        <v>0</v>
      </c>
      <c r="D249" s="7">
        <v>3</v>
      </c>
      <c r="E249" s="7">
        <v>3</v>
      </c>
      <c r="F249" s="7">
        <v>3</v>
      </c>
      <c r="G249" s="16">
        <v>46086</v>
      </c>
      <c r="H249" s="16" t="str">
        <f t="shared" si="12"/>
        <v>Thursday</v>
      </c>
      <c r="I249" s="12">
        <v>125</v>
      </c>
      <c r="J249" s="9">
        <f t="shared" si="13"/>
        <v>375</v>
      </c>
      <c r="K249">
        <f t="shared" si="14"/>
        <v>0</v>
      </c>
      <c r="L249" t="str">
        <f t="shared" si="15"/>
        <v>Low Stock</v>
      </c>
    </row>
    <row r="250" spans="1:12" x14ac:dyDescent="0.45">
      <c r="A250" s="20" t="s">
        <v>263</v>
      </c>
      <c r="B250" s="6">
        <v>-3</v>
      </c>
      <c r="C250" s="6">
        <v>0</v>
      </c>
      <c r="D250" s="6">
        <v>1</v>
      </c>
      <c r="E250" s="6">
        <v>1</v>
      </c>
      <c r="F250" s="6">
        <v>1</v>
      </c>
      <c r="G250" s="15">
        <v>46085</v>
      </c>
      <c r="H250" s="15" t="str">
        <f t="shared" si="12"/>
        <v>Wednesday</v>
      </c>
      <c r="I250" s="11">
        <v>165</v>
      </c>
      <c r="J250" s="24">
        <f t="shared" si="13"/>
        <v>165</v>
      </c>
      <c r="K250">
        <f t="shared" si="14"/>
        <v>0</v>
      </c>
      <c r="L250" t="str">
        <f t="shared" si="15"/>
        <v>Low Stock</v>
      </c>
    </row>
    <row r="251" spans="1:12" x14ac:dyDescent="0.45">
      <c r="A251" s="21" t="s">
        <v>473</v>
      </c>
      <c r="B251" s="7">
        <v>0</v>
      </c>
      <c r="C251" s="7">
        <v>0</v>
      </c>
      <c r="D251" s="7">
        <v>2</v>
      </c>
      <c r="E251" s="7">
        <v>2</v>
      </c>
      <c r="F251" s="7">
        <v>1</v>
      </c>
      <c r="G251" s="16">
        <v>46088</v>
      </c>
      <c r="H251" s="16" t="str">
        <f t="shared" si="12"/>
        <v>Saturday</v>
      </c>
      <c r="I251" s="12">
        <v>88</v>
      </c>
      <c r="J251" s="9">
        <f t="shared" si="13"/>
        <v>176</v>
      </c>
      <c r="K251">
        <f t="shared" si="14"/>
        <v>0</v>
      </c>
      <c r="L251" t="str">
        <f t="shared" si="15"/>
        <v>Low Stock</v>
      </c>
    </row>
    <row r="252" spans="1:12" x14ac:dyDescent="0.45">
      <c r="A252" s="20" t="s">
        <v>671</v>
      </c>
      <c r="B252" s="6">
        <v>1</v>
      </c>
      <c r="C252" s="6">
        <v>15</v>
      </c>
      <c r="D252" s="6">
        <v>2</v>
      </c>
      <c r="E252" s="6">
        <v>2</v>
      </c>
      <c r="F252" s="6">
        <v>2</v>
      </c>
      <c r="G252" s="15">
        <v>46084</v>
      </c>
      <c r="H252" s="15" t="str">
        <f t="shared" si="12"/>
        <v>Tuesday</v>
      </c>
      <c r="I252" s="11">
        <v>119</v>
      </c>
      <c r="J252" s="24">
        <f t="shared" si="13"/>
        <v>238</v>
      </c>
      <c r="K252">
        <f t="shared" si="14"/>
        <v>1</v>
      </c>
      <c r="L252" t="str">
        <f t="shared" si="15"/>
        <v>Low Stock</v>
      </c>
    </row>
    <row r="253" spans="1:12" x14ac:dyDescent="0.45">
      <c r="A253" s="21" t="s">
        <v>1255</v>
      </c>
      <c r="B253" s="7">
        <v>2</v>
      </c>
      <c r="C253" s="7">
        <v>30</v>
      </c>
      <c r="D253" s="7">
        <v>2</v>
      </c>
      <c r="E253" s="7">
        <v>2</v>
      </c>
      <c r="F253" s="7">
        <v>2</v>
      </c>
      <c r="G253" s="16">
        <v>46085</v>
      </c>
      <c r="H253" s="16" t="str">
        <f t="shared" si="12"/>
        <v>Wednesday</v>
      </c>
      <c r="I253" s="12">
        <v>113</v>
      </c>
      <c r="J253" s="9">
        <f t="shared" si="13"/>
        <v>226</v>
      </c>
      <c r="K253">
        <f t="shared" si="14"/>
        <v>2</v>
      </c>
      <c r="L253" t="str">
        <f t="shared" si="15"/>
        <v>Low Stock</v>
      </c>
    </row>
    <row r="254" spans="1:12" x14ac:dyDescent="0.45">
      <c r="A254" s="20" t="s">
        <v>296</v>
      </c>
      <c r="B254" s="6">
        <v>0</v>
      </c>
      <c r="C254" s="6">
        <v>0</v>
      </c>
      <c r="D254" s="6">
        <v>1</v>
      </c>
      <c r="E254" s="6">
        <v>1</v>
      </c>
      <c r="F254" s="6">
        <v>1</v>
      </c>
      <c r="G254" s="15">
        <v>46085</v>
      </c>
      <c r="H254" s="15" t="str">
        <f t="shared" si="12"/>
        <v>Wednesday</v>
      </c>
      <c r="I254" s="11">
        <v>117</v>
      </c>
      <c r="J254" s="24">
        <f t="shared" si="13"/>
        <v>117</v>
      </c>
      <c r="K254">
        <f t="shared" si="14"/>
        <v>0</v>
      </c>
      <c r="L254" t="str">
        <f t="shared" si="15"/>
        <v>Low Stock</v>
      </c>
    </row>
    <row r="255" spans="1:12" x14ac:dyDescent="0.45">
      <c r="A255" s="21" t="s">
        <v>301</v>
      </c>
      <c r="B255" s="7">
        <v>0</v>
      </c>
      <c r="C255" s="7">
        <v>0</v>
      </c>
      <c r="D255" s="7">
        <v>1</v>
      </c>
      <c r="E255" s="7">
        <v>1</v>
      </c>
      <c r="F255" s="7">
        <v>1</v>
      </c>
      <c r="G255" s="16">
        <v>46086</v>
      </c>
      <c r="H255" s="16" t="str">
        <f t="shared" si="12"/>
        <v>Thursday</v>
      </c>
      <c r="I255" s="12">
        <v>182</v>
      </c>
      <c r="J255" s="9">
        <f t="shared" si="13"/>
        <v>182</v>
      </c>
      <c r="K255">
        <f t="shared" si="14"/>
        <v>0</v>
      </c>
      <c r="L255" t="str">
        <f t="shared" si="15"/>
        <v>Low Stock</v>
      </c>
    </row>
    <row r="256" spans="1:12" x14ac:dyDescent="0.45">
      <c r="A256" s="20" t="s">
        <v>381</v>
      </c>
      <c r="B256" s="6">
        <v>-45</v>
      </c>
      <c r="C256" s="6">
        <v>0</v>
      </c>
      <c r="D256" s="6">
        <v>15</v>
      </c>
      <c r="E256" s="6">
        <v>1</v>
      </c>
      <c r="F256" s="6">
        <v>1</v>
      </c>
      <c r="G256" s="15">
        <v>46087</v>
      </c>
      <c r="H256" s="15" t="str">
        <f t="shared" si="12"/>
        <v>Friday</v>
      </c>
      <c r="I256" s="11">
        <v>156</v>
      </c>
      <c r="J256" s="24">
        <f t="shared" si="13"/>
        <v>2340</v>
      </c>
      <c r="K256">
        <f t="shared" si="14"/>
        <v>0</v>
      </c>
      <c r="L256" t="str">
        <f t="shared" si="15"/>
        <v>Low Stock</v>
      </c>
    </row>
    <row r="257" spans="1:12" x14ac:dyDescent="0.45">
      <c r="A257" s="21" t="s">
        <v>426</v>
      </c>
      <c r="B257" s="7">
        <v>-7</v>
      </c>
      <c r="C257" s="7">
        <v>0</v>
      </c>
      <c r="D257" s="7">
        <v>2</v>
      </c>
      <c r="E257" s="7">
        <v>2</v>
      </c>
      <c r="F257" s="7">
        <v>2</v>
      </c>
      <c r="G257" s="16">
        <v>46083</v>
      </c>
      <c r="H257" s="16" t="str">
        <f t="shared" si="12"/>
        <v>Monday</v>
      </c>
      <c r="I257" s="12">
        <v>80</v>
      </c>
      <c r="J257" s="9">
        <f t="shared" si="13"/>
        <v>160</v>
      </c>
      <c r="K257">
        <f t="shared" si="14"/>
        <v>0</v>
      </c>
      <c r="L257" t="str">
        <f t="shared" si="15"/>
        <v>Low Stock</v>
      </c>
    </row>
    <row r="258" spans="1:12" x14ac:dyDescent="0.45">
      <c r="A258" s="20" t="s">
        <v>546</v>
      </c>
      <c r="B258" s="6">
        <v>1</v>
      </c>
      <c r="C258" s="6">
        <v>15</v>
      </c>
      <c r="D258" s="6">
        <v>2</v>
      </c>
      <c r="E258" s="6">
        <v>2</v>
      </c>
      <c r="F258" s="6">
        <v>2</v>
      </c>
      <c r="G258" s="15">
        <v>46082</v>
      </c>
      <c r="H258" s="15" t="str">
        <f t="shared" ref="H258:H321" si="16">TEXT(G258,"dddd")</f>
        <v>Sunday</v>
      </c>
      <c r="I258" s="11">
        <v>158</v>
      </c>
      <c r="J258" s="24">
        <f t="shared" ref="J258:J321" si="17">D258*I258</f>
        <v>316</v>
      </c>
      <c r="K258">
        <f t="shared" ref="K258:K321" si="18">IF(B258&lt;0,0,B258)</f>
        <v>1</v>
      </c>
      <c r="L258" t="str">
        <f t="shared" ref="L258:L321" si="19">IF(K258&lt;5,"Low Stock","OK")</f>
        <v>Low Stock</v>
      </c>
    </row>
    <row r="259" spans="1:12" x14ac:dyDescent="0.45">
      <c r="A259" s="21" t="s">
        <v>737</v>
      </c>
      <c r="B259" s="7">
        <v>101</v>
      </c>
      <c r="C259" s="7">
        <v>17</v>
      </c>
      <c r="D259" s="7">
        <v>169</v>
      </c>
      <c r="E259" s="7">
        <v>13</v>
      </c>
      <c r="F259" s="7">
        <v>9</v>
      </c>
      <c r="G259" s="16">
        <v>46085</v>
      </c>
      <c r="H259" s="16" t="str">
        <f t="shared" si="16"/>
        <v>Wednesday</v>
      </c>
      <c r="I259" s="12">
        <v>150</v>
      </c>
      <c r="J259" s="9">
        <f t="shared" si="17"/>
        <v>25350</v>
      </c>
      <c r="K259">
        <f t="shared" si="18"/>
        <v>101</v>
      </c>
      <c r="L259" t="str">
        <f t="shared" si="19"/>
        <v>OK</v>
      </c>
    </row>
    <row r="260" spans="1:12" x14ac:dyDescent="0.45">
      <c r="A260" s="20" t="s">
        <v>889</v>
      </c>
      <c r="B260" s="6">
        <v>4</v>
      </c>
      <c r="C260" s="6">
        <v>24</v>
      </c>
      <c r="D260" s="6">
        <v>5</v>
      </c>
      <c r="E260" s="6">
        <v>5</v>
      </c>
      <c r="F260" s="6">
        <v>4</v>
      </c>
      <c r="G260" s="15">
        <v>46086</v>
      </c>
      <c r="H260" s="15" t="str">
        <f t="shared" si="16"/>
        <v>Thursday</v>
      </c>
      <c r="I260" s="11">
        <v>131</v>
      </c>
      <c r="J260" s="24">
        <f t="shared" si="17"/>
        <v>655</v>
      </c>
      <c r="K260">
        <f t="shared" si="18"/>
        <v>4</v>
      </c>
      <c r="L260" t="str">
        <f t="shared" si="19"/>
        <v>Low Stock</v>
      </c>
    </row>
    <row r="261" spans="1:12" x14ac:dyDescent="0.45">
      <c r="A261" s="21" t="s">
        <v>989</v>
      </c>
      <c r="B261" s="7">
        <v>1</v>
      </c>
      <c r="C261" s="7">
        <v>30</v>
      </c>
      <c r="D261" s="7">
        <v>1</v>
      </c>
      <c r="E261" s="7">
        <v>1</v>
      </c>
      <c r="F261" s="7">
        <v>1</v>
      </c>
      <c r="G261" s="16">
        <v>46087</v>
      </c>
      <c r="H261" s="16" t="str">
        <f t="shared" si="16"/>
        <v>Friday</v>
      </c>
      <c r="I261" s="12">
        <v>102</v>
      </c>
      <c r="J261" s="9">
        <f t="shared" si="17"/>
        <v>102</v>
      </c>
      <c r="K261">
        <f t="shared" si="18"/>
        <v>1</v>
      </c>
      <c r="L261" t="str">
        <f t="shared" si="19"/>
        <v>Low Stock</v>
      </c>
    </row>
    <row r="262" spans="1:12" x14ac:dyDescent="0.45">
      <c r="A262" s="20" t="s">
        <v>1208</v>
      </c>
      <c r="B262" s="6">
        <v>1</v>
      </c>
      <c r="C262" s="6">
        <v>30</v>
      </c>
      <c r="D262" s="6">
        <v>1</v>
      </c>
      <c r="E262" s="6">
        <v>1</v>
      </c>
      <c r="F262" s="6">
        <v>1</v>
      </c>
      <c r="G262" s="15">
        <v>46086</v>
      </c>
      <c r="H262" s="15" t="str">
        <f t="shared" si="16"/>
        <v>Thursday</v>
      </c>
      <c r="I262" s="11">
        <v>100</v>
      </c>
      <c r="J262" s="24">
        <f t="shared" si="17"/>
        <v>100</v>
      </c>
      <c r="K262">
        <f t="shared" si="18"/>
        <v>1</v>
      </c>
      <c r="L262" t="str">
        <f t="shared" si="19"/>
        <v>Low Stock</v>
      </c>
    </row>
    <row r="263" spans="1:12" x14ac:dyDescent="0.45">
      <c r="A263" s="21" t="s">
        <v>1250</v>
      </c>
      <c r="B263" s="7">
        <v>1</v>
      </c>
      <c r="C263" s="7">
        <v>30</v>
      </c>
      <c r="D263" s="7">
        <v>1</v>
      </c>
      <c r="E263" s="7">
        <v>1</v>
      </c>
      <c r="F263" s="7">
        <v>1</v>
      </c>
      <c r="G263" s="16">
        <v>46084</v>
      </c>
      <c r="H263" s="16" t="str">
        <f t="shared" si="16"/>
        <v>Tuesday</v>
      </c>
      <c r="I263" s="12">
        <v>114</v>
      </c>
      <c r="J263" s="9">
        <f t="shared" si="17"/>
        <v>114</v>
      </c>
      <c r="K263">
        <f t="shared" si="18"/>
        <v>1</v>
      </c>
      <c r="L263" t="str">
        <f t="shared" si="19"/>
        <v>Low Stock</v>
      </c>
    </row>
    <row r="264" spans="1:12" x14ac:dyDescent="0.45">
      <c r="A264" s="20" t="s">
        <v>29</v>
      </c>
      <c r="B264" s="6">
        <v>-2</v>
      </c>
      <c r="C264" s="6">
        <v>0</v>
      </c>
      <c r="D264" s="6">
        <v>3</v>
      </c>
      <c r="E264" s="6">
        <v>3</v>
      </c>
      <c r="F264" s="6">
        <v>3</v>
      </c>
      <c r="G264" s="15">
        <v>46086</v>
      </c>
      <c r="H264" s="15" t="str">
        <f t="shared" si="16"/>
        <v>Thursday</v>
      </c>
      <c r="I264" s="11">
        <v>114</v>
      </c>
      <c r="J264" s="24">
        <f t="shared" si="17"/>
        <v>342</v>
      </c>
      <c r="K264">
        <f t="shared" si="18"/>
        <v>0</v>
      </c>
      <c r="L264" t="str">
        <f t="shared" si="19"/>
        <v>Low Stock</v>
      </c>
    </row>
    <row r="265" spans="1:12" x14ac:dyDescent="0.45">
      <c r="A265" s="21" t="s">
        <v>308</v>
      </c>
      <c r="B265" s="7">
        <v>-10</v>
      </c>
      <c r="C265" s="7">
        <v>0</v>
      </c>
      <c r="D265" s="7">
        <v>10</v>
      </c>
      <c r="E265" s="7">
        <v>1</v>
      </c>
      <c r="F265" s="7">
        <v>1</v>
      </c>
      <c r="G265" s="16">
        <v>46087</v>
      </c>
      <c r="H265" s="16" t="str">
        <f t="shared" si="16"/>
        <v>Friday</v>
      </c>
      <c r="I265" s="12">
        <v>169</v>
      </c>
      <c r="J265" s="9">
        <f t="shared" si="17"/>
        <v>1690</v>
      </c>
      <c r="K265">
        <f t="shared" si="18"/>
        <v>0</v>
      </c>
      <c r="L265" t="str">
        <f t="shared" si="19"/>
        <v>Low Stock</v>
      </c>
    </row>
    <row r="266" spans="1:12" x14ac:dyDescent="0.45">
      <c r="A266" s="20" t="s">
        <v>406</v>
      </c>
      <c r="B266" s="6">
        <v>-4</v>
      </c>
      <c r="C266" s="6">
        <v>0</v>
      </c>
      <c r="D266" s="6">
        <v>4</v>
      </c>
      <c r="E266" s="6">
        <v>4</v>
      </c>
      <c r="F266" s="6">
        <v>3</v>
      </c>
      <c r="G266" s="15">
        <v>46087</v>
      </c>
      <c r="H266" s="15" t="str">
        <f t="shared" si="16"/>
        <v>Friday</v>
      </c>
      <c r="I266" s="11">
        <v>103</v>
      </c>
      <c r="J266" s="24">
        <f t="shared" si="17"/>
        <v>412</v>
      </c>
      <c r="K266">
        <f t="shared" si="18"/>
        <v>0</v>
      </c>
      <c r="L266" t="str">
        <f t="shared" si="19"/>
        <v>Low Stock</v>
      </c>
    </row>
    <row r="267" spans="1:12" x14ac:dyDescent="0.45">
      <c r="A267" s="21" t="s">
        <v>868</v>
      </c>
      <c r="B267" s="7">
        <v>3</v>
      </c>
      <c r="C267" s="7">
        <v>22</v>
      </c>
      <c r="D267" s="7">
        <v>4</v>
      </c>
      <c r="E267" s="7">
        <v>3</v>
      </c>
      <c r="F267" s="7">
        <v>3</v>
      </c>
      <c r="G267" s="16">
        <v>46086</v>
      </c>
      <c r="H267" s="16" t="str">
        <f t="shared" si="16"/>
        <v>Thursday</v>
      </c>
      <c r="I267" s="12">
        <v>141</v>
      </c>
      <c r="J267" s="9">
        <f t="shared" si="17"/>
        <v>564</v>
      </c>
      <c r="K267">
        <f t="shared" si="18"/>
        <v>3</v>
      </c>
      <c r="L267" t="str">
        <f t="shared" si="19"/>
        <v>Low Stock</v>
      </c>
    </row>
    <row r="268" spans="1:12" x14ac:dyDescent="0.45">
      <c r="A268" s="20" t="s">
        <v>57</v>
      </c>
      <c r="B268" s="6">
        <v>0</v>
      </c>
      <c r="C268" s="6">
        <v>0</v>
      </c>
      <c r="D268" s="6">
        <v>4</v>
      </c>
      <c r="E268" s="6">
        <v>4</v>
      </c>
      <c r="F268" s="6">
        <v>3</v>
      </c>
      <c r="G268" s="15">
        <v>46087</v>
      </c>
      <c r="H268" s="15" t="str">
        <f t="shared" si="16"/>
        <v>Friday</v>
      </c>
      <c r="I268" s="11">
        <v>127</v>
      </c>
      <c r="J268" s="24">
        <f t="shared" si="17"/>
        <v>508</v>
      </c>
      <c r="K268">
        <f t="shared" si="18"/>
        <v>0</v>
      </c>
      <c r="L268" t="str">
        <f t="shared" si="19"/>
        <v>Low Stock</v>
      </c>
    </row>
    <row r="269" spans="1:12" x14ac:dyDescent="0.45">
      <c r="A269" s="21" t="s">
        <v>203</v>
      </c>
      <c r="B269" s="7">
        <v>-10</v>
      </c>
      <c r="C269" s="7">
        <v>0</v>
      </c>
      <c r="D269" s="7">
        <v>2</v>
      </c>
      <c r="E269" s="7">
        <v>2</v>
      </c>
      <c r="F269" s="7">
        <v>2</v>
      </c>
      <c r="G269" s="16">
        <v>46085</v>
      </c>
      <c r="H269" s="16" t="str">
        <f t="shared" si="16"/>
        <v>Wednesday</v>
      </c>
      <c r="I269" s="12">
        <v>118</v>
      </c>
      <c r="J269" s="9">
        <f t="shared" si="17"/>
        <v>236</v>
      </c>
      <c r="K269">
        <f t="shared" si="18"/>
        <v>0</v>
      </c>
      <c r="L269" t="str">
        <f t="shared" si="19"/>
        <v>Low Stock</v>
      </c>
    </row>
    <row r="270" spans="1:12" x14ac:dyDescent="0.45">
      <c r="A270" s="20" t="s">
        <v>469</v>
      </c>
      <c r="B270" s="6">
        <v>-11</v>
      </c>
      <c r="C270" s="6">
        <v>0</v>
      </c>
      <c r="D270" s="6">
        <v>3</v>
      </c>
      <c r="E270" s="6">
        <v>2</v>
      </c>
      <c r="F270" s="6">
        <v>2</v>
      </c>
      <c r="G270" s="15">
        <v>46087</v>
      </c>
      <c r="H270" s="15" t="str">
        <f t="shared" si="16"/>
        <v>Friday</v>
      </c>
      <c r="I270" s="11">
        <v>72</v>
      </c>
      <c r="J270" s="24">
        <f t="shared" si="17"/>
        <v>216</v>
      </c>
      <c r="K270">
        <f t="shared" si="18"/>
        <v>0</v>
      </c>
      <c r="L270" t="str">
        <f t="shared" si="19"/>
        <v>Low Stock</v>
      </c>
    </row>
    <row r="271" spans="1:12" x14ac:dyDescent="0.45">
      <c r="A271" s="21" t="s">
        <v>620</v>
      </c>
      <c r="B271" s="7">
        <v>2</v>
      </c>
      <c r="C271" s="7">
        <v>15</v>
      </c>
      <c r="D271" s="7">
        <v>4</v>
      </c>
      <c r="E271" s="7">
        <v>4</v>
      </c>
      <c r="F271" s="7">
        <v>4</v>
      </c>
      <c r="G271" s="16">
        <v>46087</v>
      </c>
      <c r="H271" s="16" t="str">
        <f t="shared" si="16"/>
        <v>Friday</v>
      </c>
      <c r="I271" s="12">
        <v>86</v>
      </c>
      <c r="J271" s="9">
        <f t="shared" si="17"/>
        <v>344</v>
      </c>
      <c r="K271">
        <f t="shared" si="18"/>
        <v>2</v>
      </c>
      <c r="L271" t="str">
        <f t="shared" si="19"/>
        <v>Low Stock</v>
      </c>
    </row>
    <row r="272" spans="1:12" x14ac:dyDescent="0.45">
      <c r="A272" s="20" t="s">
        <v>813</v>
      </c>
      <c r="B272" s="6">
        <v>5</v>
      </c>
      <c r="C272" s="6">
        <v>30</v>
      </c>
      <c r="D272" s="6">
        <v>5</v>
      </c>
      <c r="E272" s="6">
        <v>3</v>
      </c>
      <c r="F272" s="6">
        <v>3</v>
      </c>
      <c r="G272" s="15">
        <v>46087</v>
      </c>
      <c r="H272" s="15" t="str">
        <f t="shared" si="16"/>
        <v>Friday</v>
      </c>
      <c r="I272" s="11">
        <v>79</v>
      </c>
      <c r="J272" s="24">
        <f t="shared" si="17"/>
        <v>395</v>
      </c>
      <c r="K272">
        <f t="shared" si="18"/>
        <v>5</v>
      </c>
      <c r="L272" t="str">
        <f t="shared" si="19"/>
        <v>OK</v>
      </c>
    </row>
    <row r="273" spans="1:12" x14ac:dyDescent="0.45">
      <c r="A273" s="21" t="s">
        <v>1143</v>
      </c>
      <c r="B273" s="7">
        <v>1</v>
      </c>
      <c r="C273" s="7">
        <v>30</v>
      </c>
      <c r="D273" s="7">
        <v>1</v>
      </c>
      <c r="E273" s="7">
        <v>1</v>
      </c>
      <c r="F273" s="7">
        <v>1</v>
      </c>
      <c r="G273" s="16">
        <v>46086</v>
      </c>
      <c r="H273" s="16" t="str">
        <f t="shared" si="16"/>
        <v>Thursday</v>
      </c>
      <c r="I273" s="12">
        <v>122</v>
      </c>
      <c r="J273" s="9">
        <f t="shared" si="17"/>
        <v>122</v>
      </c>
      <c r="K273">
        <f t="shared" si="18"/>
        <v>1</v>
      </c>
      <c r="L273" t="str">
        <f t="shared" si="19"/>
        <v>Low Stock</v>
      </c>
    </row>
    <row r="274" spans="1:12" x14ac:dyDescent="0.45">
      <c r="A274" s="20" t="s">
        <v>39</v>
      </c>
      <c r="B274" s="6">
        <v>-12</v>
      </c>
      <c r="C274" s="6">
        <v>0</v>
      </c>
      <c r="D274" s="6">
        <v>4</v>
      </c>
      <c r="E274" s="6">
        <v>4</v>
      </c>
      <c r="F274" s="6">
        <v>4</v>
      </c>
      <c r="G274" s="15">
        <v>46088</v>
      </c>
      <c r="H274" s="15" t="str">
        <f t="shared" si="16"/>
        <v>Saturday</v>
      </c>
      <c r="I274" s="11">
        <v>156</v>
      </c>
      <c r="J274" s="24">
        <f t="shared" si="17"/>
        <v>624</v>
      </c>
      <c r="K274">
        <f t="shared" si="18"/>
        <v>0</v>
      </c>
      <c r="L274" t="str">
        <f t="shared" si="19"/>
        <v>Low Stock</v>
      </c>
    </row>
    <row r="275" spans="1:12" x14ac:dyDescent="0.45">
      <c r="A275" s="21" t="s">
        <v>149</v>
      </c>
      <c r="B275" s="7">
        <v>0</v>
      </c>
      <c r="C275" s="7">
        <v>0</v>
      </c>
      <c r="D275" s="7">
        <v>5</v>
      </c>
      <c r="E275" s="7">
        <v>5</v>
      </c>
      <c r="F275" s="7">
        <v>4</v>
      </c>
      <c r="G275" s="16">
        <v>46085</v>
      </c>
      <c r="H275" s="16" t="str">
        <f t="shared" si="16"/>
        <v>Wednesday</v>
      </c>
      <c r="I275" s="12">
        <v>129</v>
      </c>
      <c r="J275" s="9">
        <f t="shared" si="17"/>
        <v>645</v>
      </c>
      <c r="K275">
        <f t="shared" si="18"/>
        <v>0</v>
      </c>
      <c r="L275" t="str">
        <f t="shared" si="19"/>
        <v>Low Stock</v>
      </c>
    </row>
    <row r="276" spans="1:12" x14ac:dyDescent="0.45">
      <c r="A276" s="20" t="s">
        <v>206</v>
      </c>
      <c r="B276" s="6">
        <v>-2</v>
      </c>
      <c r="C276" s="6">
        <v>0</v>
      </c>
      <c r="D276" s="6">
        <v>2</v>
      </c>
      <c r="E276" s="6">
        <v>2</v>
      </c>
      <c r="F276" s="6">
        <v>2</v>
      </c>
      <c r="G276" s="15">
        <v>46087</v>
      </c>
      <c r="H276" s="15" t="str">
        <f t="shared" si="16"/>
        <v>Friday</v>
      </c>
      <c r="I276" s="11">
        <v>117</v>
      </c>
      <c r="J276" s="24">
        <f t="shared" si="17"/>
        <v>234</v>
      </c>
      <c r="K276">
        <f t="shared" si="18"/>
        <v>0</v>
      </c>
      <c r="L276" t="str">
        <f t="shared" si="19"/>
        <v>Low Stock</v>
      </c>
    </row>
    <row r="277" spans="1:12" x14ac:dyDescent="0.45">
      <c r="A277" s="21" t="s">
        <v>228</v>
      </c>
      <c r="B277" s="7">
        <v>0</v>
      </c>
      <c r="C277" s="7">
        <v>0</v>
      </c>
      <c r="D277" s="7">
        <v>2</v>
      </c>
      <c r="E277" s="7">
        <v>2</v>
      </c>
      <c r="F277" s="7">
        <v>2</v>
      </c>
      <c r="G277" s="16">
        <v>46086</v>
      </c>
      <c r="H277" s="16" t="str">
        <f t="shared" si="16"/>
        <v>Thursday</v>
      </c>
      <c r="I277" s="12">
        <v>200</v>
      </c>
      <c r="J277" s="9">
        <f t="shared" si="17"/>
        <v>400</v>
      </c>
      <c r="K277">
        <f t="shared" si="18"/>
        <v>0</v>
      </c>
      <c r="L277" t="str">
        <f t="shared" si="19"/>
        <v>Low Stock</v>
      </c>
    </row>
    <row r="278" spans="1:12" x14ac:dyDescent="0.45">
      <c r="A278" s="20" t="s">
        <v>428</v>
      </c>
      <c r="B278" s="6">
        <v>-6</v>
      </c>
      <c r="C278" s="6">
        <v>0</v>
      </c>
      <c r="D278" s="6">
        <v>1</v>
      </c>
      <c r="E278" s="6">
        <v>1</v>
      </c>
      <c r="F278" s="6">
        <v>1</v>
      </c>
      <c r="G278" s="15">
        <v>46085</v>
      </c>
      <c r="H278" s="15" t="str">
        <f t="shared" si="16"/>
        <v>Wednesday</v>
      </c>
      <c r="I278" s="11">
        <v>188</v>
      </c>
      <c r="J278" s="24">
        <f t="shared" si="17"/>
        <v>188</v>
      </c>
      <c r="K278">
        <f t="shared" si="18"/>
        <v>0</v>
      </c>
      <c r="L278" t="str">
        <f t="shared" si="19"/>
        <v>Low Stock</v>
      </c>
    </row>
    <row r="279" spans="1:12" x14ac:dyDescent="0.45">
      <c r="A279" s="21" t="s">
        <v>475</v>
      </c>
      <c r="B279" s="7">
        <v>-10</v>
      </c>
      <c r="C279" s="7">
        <v>0</v>
      </c>
      <c r="D279" s="7">
        <v>10</v>
      </c>
      <c r="E279" s="7">
        <v>1</v>
      </c>
      <c r="F279" s="7">
        <v>1</v>
      </c>
      <c r="G279" s="16">
        <v>46085</v>
      </c>
      <c r="H279" s="16" t="str">
        <f t="shared" si="16"/>
        <v>Wednesday</v>
      </c>
      <c r="I279" s="12">
        <v>104</v>
      </c>
      <c r="J279" s="9">
        <f t="shared" si="17"/>
        <v>1040</v>
      </c>
      <c r="K279">
        <f t="shared" si="18"/>
        <v>0</v>
      </c>
      <c r="L279" t="str">
        <f t="shared" si="19"/>
        <v>Low Stock</v>
      </c>
    </row>
    <row r="280" spans="1:12" x14ac:dyDescent="0.45">
      <c r="A280" s="20" t="s">
        <v>585</v>
      </c>
      <c r="B280" s="6">
        <v>2</v>
      </c>
      <c r="C280" s="6">
        <v>12</v>
      </c>
      <c r="D280" s="6">
        <v>5</v>
      </c>
      <c r="E280" s="6">
        <v>5</v>
      </c>
      <c r="F280" s="6">
        <v>4</v>
      </c>
      <c r="G280" s="15">
        <v>46086</v>
      </c>
      <c r="H280" s="15" t="str">
        <f t="shared" si="16"/>
        <v>Thursday</v>
      </c>
      <c r="I280" s="11">
        <v>113</v>
      </c>
      <c r="J280" s="24">
        <f t="shared" si="17"/>
        <v>565</v>
      </c>
      <c r="K280">
        <f t="shared" si="18"/>
        <v>2</v>
      </c>
      <c r="L280" t="str">
        <f t="shared" si="19"/>
        <v>Low Stock</v>
      </c>
    </row>
    <row r="281" spans="1:12" x14ac:dyDescent="0.45">
      <c r="A281" s="21" t="s">
        <v>718</v>
      </c>
      <c r="B281" s="7">
        <v>11</v>
      </c>
      <c r="C281" s="7">
        <v>19</v>
      </c>
      <c r="D281" s="7">
        <v>17</v>
      </c>
      <c r="E281" s="7">
        <v>17</v>
      </c>
      <c r="F281" s="7">
        <v>13</v>
      </c>
      <c r="G281" s="16">
        <v>46084</v>
      </c>
      <c r="H281" s="16" t="str">
        <f t="shared" si="16"/>
        <v>Tuesday</v>
      </c>
      <c r="I281" s="12">
        <v>71</v>
      </c>
      <c r="J281" s="9">
        <f t="shared" si="17"/>
        <v>1207</v>
      </c>
      <c r="K281">
        <f t="shared" si="18"/>
        <v>11</v>
      </c>
      <c r="L281" t="str">
        <f t="shared" si="19"/>
        <v>OK</v>
      </c>
    </row>
    <row r="282" spans="1:12" x14ac:dyDescent="0.45">
      <c r="A282" s="20" t="s">
        <v>967</v>
      </c>
      <c r="B282" s="6">
        <v>4</v>
      </c>
      <c r="C282" s="6">
        <v>30</v>
      </c>
      <c r="D282" s="6">
        <v>4</v>
      </c>
      <c r="E282" s="6">
        <v>1</v>
      </c>
      <c r="F282" s="6">
        <v>1</v>
      </c>
      <c r="G282" s="15">
        <v>46082</v>
      </c>
      <c r="H282" s="15" t="str">
        <f t="shared" si="16"/>
        <v>Sunday</v>
      </c>
      <c r="I282" s="11">
        <v>164</v>
      </c>
      <c r="J282" s="24">
        <f t="shared" si="17"/>
        <v>656</v>
      </c>
      <c r="K282">
        <f t="shared" si="18"/>
        <v>4</v>
      </c>
      <c r="L282" t="str">
        <f t="shared" si="19"/>
        <v>Low Stock</v>
      </c>
    </row>
    <row r="283" spans="1:12" x14ac:dyDescent="0.45">
      <c r="A283" s="21" t="s">
        <v>986</v>
      </c>
      <c r="B283" s="7">
        <v>1</v>
      </c>
      <c r="C283" s="7">
        <v>30</v>
      </c>
      <c r="D283" s="7">
        <v>1</v>
      </c>
      <c r="E283" s="7">
        <v>1</v>
      </c>
      <c r="F283" s="7">
        <v>1</v>
      </c>
      <c r="G283" s="16">
        <v>46086</v>
      </c>
      <c r="H283" s="16" t="str">
        <f t="shared" si="16"/>
        <v>Thursday</v>
      </c>
      <c r="I283" s="12">
        <v>192</v>
      </c>
      <c r="J283" s="9">
        <f t="shared" si="17"/>
        <v>192</v>
      </c>
      <c r="K283">
        <f t="shared" si="18"/>
        <v>1</v>
      </c>
      <c r="L283" t="str">
        <f t="shared" si="19"/>
        <v>Low Stock</v>
      </c>
    </row>
    <row r="284" spans="1:12" x14ac:dyDescent="0.45">
      <c r="A284" s="20" t="s">
        <v>427</v>
      </c>
      <c r="B284" s="6">
        <v>0</v>
      </c>
      <c r="C284" s="6">
        <v>0</v>
      </c>
      <c r="D284" s="6">
        <v>1</v>
      </c>
      <c r="E284" s="6">
        <v>1</v>
      </c>
      <c r="F284" s="6">
        <v>1</v>
      </c>
      <c r="G284" s="15">
        <v>46087</v>
      </c>
      <c r="H284" s="15" t="str">
        <f t="shared" si="16"/>
        <v>Friday</v>
      </c>
      <c r="I284" s="11">
        <v>83</v>
      </c>
      <c r="J284" s="24">
        <f t="shared" si="17"/>
        <v>83</v>
      </c>
      <c r="K284">
        <f t="shared" si="18"/>
        <v>0</v>
      </c>
      <c r="L284" t="str">
        <f t="shared" si="19"/>
        <v>Low Stock</v>
      </c>
    </row>
    <row r="285" spans="1:12" x14ac:dyDescent="0.45">
      <c r="A285" s="21" t="s">
        <v>768</v>
      </c>
      <c r="B285" s="7">
        <v>72</v>
      </c>
      <c r="C285" s="7">
        <v>16</v>
      </c>
      <c r="D285" s="7">
        <v>128</v>
      </c>
      <c r="E285" s="7">
        <v>6</v>
      </c>
      <c r="F285" s="7">
        <v>6</v>
      </c>
      <c r="G285" s="16">
        <v>46087</v>
      </c>
      <c r="H285" s="16" t="str">
        <f t="shared" si="16"/>
        <v>Friday</v>
      </c>
      <c r="I285" s="12">
        <v>184</v>
      </c>
      <c r="J285" s="9">
        <f t="shared" si="17"/>
        <v>23552</v>
      </c>
      <c r="K285">
        <f t="shared" si="18"/>
        <v>72</v>
      </c>
      <c r="L285" t="str">
        <f t="shared" si="19"/>
        <v>OK</v>
      </c>
    </row>
    <row r="286" spans="1:12" x14ac:dyDescent="0.45">
      <c r="A286" s="20" t="s">
        <v>549</v>
      </c>
      <c r="B286" s="6">
        <v>1</v>
      </c>
      <c r="C286" s="6">
        <v>10</v>
      </c>
      <c r="D286" s="6">
        <v>3</v>
      </c>
      <c r="E286" s="6">
        <v>3</v>
      </c>
      <c r="F286" s="6">
        <v>3</v>
      </c>
      <c r="G286" s="15">
        <v>46082</v>
      </c>
      <c r="H286" s="15" t="str">
        <f t="shared" si="16"/>
        <v>Sunday</v>
      </c>
      <c r="I286" s="11">
        <v>158</v>
      </c>
      <c r="J286" s="24">
        <f t="shared" si="17"/>
        <v>474</v>
      </c>
      <c r="K286">
        <f t="shared" si="18"/>
        <v>1</v>
      </c>
      <c r="L286" t="str">
        <f t="shared" si="19"/>
        <v>Low Stock</v>
      </c>
    </row>
    <row r="287" spans="1:12" x14ac:dyDescent="0.45">
      <c r="A287" s="21" t="s">
        <v>835</v>
      </c>
      <c r="B287" s="7">
        <v>45</v>
      </c>
      <c r="C287" s="7">
        <v>30</v>
      </c>
      <c r="D287" s="7">
        <v>45</v>
      </c>
      <c r="E287" s="7">
        <v>3</v>
      </c>
      <c r="F287" s="7">
        <v>3</v>
      </c>
      <c r="G287" s="16">
        <v>46088</v>
      </c>
      <c r="H287" s="16" t="str">
        <f t="shared" si="16"/>
        <v>Saturday</v>
      </c>
      <c r="I287" s="12">
        <v>102</v>
      </c>
      <c r="J287" s="9">
        <f t="shared" si="17"/>
        <v>4590</v>
      </c>
      <c r="K287">
        <f t="shared" si="18"/>
        <v>45</v>
      </c>
      <c r="L287" t="str">
        <f t="shared" si="19"/>
        <v>OK</v>
      </c>
    </row>
    <row r="288" spans="1:12" x14ac:dyDescent="0.45">
      <c r="A288" s="20" t="s">
        <v>895</v>
      </c>
      <c r="B288" s="6">
        <v>5</v>
      </c>
      <c r="C288" s="6">
        <v>30</v>
      </c>
      <c r="D288" s="6">
        <v>5</v>
      </c>
      <c r="E288" s="6">
        <v>5</v>
      </c>
      <c r="F288" s="6">
        <v>4</v>
      </c>
      <c r="G288" s="15">
        <v>46087</v>
      </c>
      <c r="H288" s="15" t="str">
        <f t="shared" si="16"/>
        <v>Friday</v>
      </c>
      <c r="I288" s="11">
        <v>290</v>
      </c>
      <c r="J288" s="24">
        <f t="shared" si="17"/>
        <v>1450</v>
      </c>
      <c r="K288">
        <f t="shared" si="18"/>
        <v>5</v>
      </c>
      <c r="L288" t="str">
        <f t="shared" si="19"/>
        <v>OK</v>
      </c>
    </row>
    <row r="289" spans="1:12" x14ac:dyDescent="0.45">
      <c r="A289" s="21" t="s">
        <v>1027</v>
      </c>
      <c r="B289" s="7">
        <v>1</v>
      </c>
      <c r="C289" s="7">
        <v>30</v>
      </c>
      <c r="D289" s="7">
        <v>1</v>
      </c>
      <c r="E289" s="7">
        <v>1</v>
      </c>
      <c r="F289" s="7">
        <v>1</v>
      </c>
      <c r="G289" s="16">
        <v>46082</v>
      </c>
      <c r="H289" s="16" t="str">
        <f t="shared" si="16"/>
        <v>Sunday</v>
      </c>
      <c r="I289" s="12">
        <v>168</v>
      </c>
      <c r="J289" s="9">
        <f t="shared" si="17"/>
        <v>168</v>
      </c>
      <c r="K289">
        <f t="shared" si="18"/>
        <v>1</v>
      </c>
      <c r="L289" t="str">
        <f t="shared" si="19"/>
        <v>Low Stock</v>
      </c>
    </row>
    <row r="290" spans="1:12" x14ac:dyDescent="0.45">
      <c r="A290" s="20" t="s">
        <v>1043</v>
      </c>
      <c r="B290" s="6">
        <v>1</v>
      </c>
      <c r="C290" s="6">
        <v>30</v>
      </c>
      <c r="D290" s="6">
        <v>1</v>
      </c>
      <c r="E290" s="6">
        <v>1</v>
      </c>
      <c r="F290" s="6">
        <v>1</v>
      </c>
      <c r="G290" s="15">
        <v>46082</v>
      </c>
      <c r="H290" s="15" t="str">
        <f t="shared" si="16"/>
        <v>Sunday</v>
      </c>
      <c r="I290" s="11">
        <v>170</v>
      </c>
      <c r="J290" s="24">
        <f t="shared" si="17"/>
        <v>170</v>
      </c>
      <c r="K290">
        <f t="shared" si="18"/>
        <v>1</v>
      </c>
      <c r="L290" t="str">
        <f t="shared" si="19"/>
        <v>Low Stock</v>
      </c>
    </row>
    <row r="291" spans="1:12" x14ac:dyDescent="0.45">
      <c r="A291" s="21" t="s">
        <v>1061</v>
      </c>
      <c r="B291" s="7">
        <v>3</v>
      </c>
      <c r="C291" s="7">
        <v>30</v>
      </c>
      <c r="D291" s="7">
        <v>3</v>
      </c>
      <c r="E291" s="7">
        <v>2</v>
      </c>
      <c r="F291" s="7">
        <v>2</v>
      </c>
      <c r="G291" s="16">
        <v>46085</v>
      </c>
      <c r="H291" s="16" t="str">
        <f t="shared" si="16"/>
        <v>Wednesday</v>
      </c>
      <c r="I291" s="12">
        <v>138</v>
      </c>
      <c r="J291" s="9">
        <f t="shared" si="17"/>
        <v>414</v>
      </c>
      <c r="K291">
        <f t="shared" si="18"/>
        <v>3</v>
      </c>
      <c r="L291" t="str">
        <f t="shared" si="19"/>
        <v>Low Stock</v>
      </c>
    </row>
    <row r="292" spans="1:12" x14ac:dyDescent="0.45">
      <c r="A292" s="20" t="s">
        <v>1154</v>
      </c>
      <c r="B292" s="6">
        <v>1</v>
      </c>
      <c r="C292" s="6">
        <v>30</v>
      </c>
      <c r="D292" s="6">
        <v>1</v>
      </c>
      <c r="E292" s="6">
        <v>1</v>
      </c>
      <c r="F292" s="6">
        <v>1</v>
      </c>
      <c r="G292" s="15">
        <v>46085</v>
      </c>
      <c r="H292" s="15" t="str">
        <f t="shared" si="16"/>
        <v>Wednesday</v>
      </c>
      <c r="I292" s="11">
        <v>133</v>
      </c>
      <c r="J292" s="24">
        <f t="shared" si="17"/>
        <v>133</v>
      </c>
      <c r="K292">
        <f t="shared" si="18"/>
        <v>1</v>
      </c>
      <c r="L292" t="str">
        <f t="shared" si="19"/>
        <v>Low Stock</v>
      </c>
    </row>
    <row r="293" spans="1:12" x14ac:dyDescent="0.45">
      <c r="A293" s="21" t="s">
        <v>160</v>
      </c>
      <c r="B293" s="7">
        <v>1</v>
      </c>
      <c r="C293" s="7">
        <v>6</v>
      </c>
      <c r="D293" s="7">
        <v>5</v>
      </c>
      <c r="E293" s="7">
        <v>1</v>
      </c>
      <c r="F293" s="7">
        <v>1</v>
      </c>
      <c r="G293" s="16">
        <v>46086</v>
      </c>
      <c r="H293" s="16" t="str">
        <f t="shared" si="16"/>
        <v>Thursday</v>
      </c>
      <c r="I293" s="12">
        <v>122</v>
      </c>
      <c r="J293" s="9">
        <f t="shared" si="17"/>
        <v>610</v>
      </c>
      <c r="K293">
        <f t="shared" si="18"/>
        <v>1</v>
      </c>
      <c r="L293" t="str">
        <f t="shared" si="19"/>
        <v>Low Stock</v>
      </c>
    </row>
    <row r="294" spans="1:12" x14ac:dyDescent="0.45">
      <c r="A294" s="20" t="s">
        <v>191</v>
      </c>
      <c r="B294" s="6">
        <v>-3</v>
      </c>
      <c r="C294" s="6">
        <v>0</v>
      </c>
      <c r="D294" s="6">
        <v>2</v>
      </c>
      <c r="E294" s="6">
        <v>2</v>
      </c>
      <c r="F294" s="6">
        <v>2</v>
      </c>
      <c r="G294" s="15">
        <v>46087</v>
      </c>
      <c r="H294" s="15" t="str">
        <f t="shared" si="16"/>
        <v>Friday</v>
      </c>
      <c r="I294" s="11">
        <v>120</v>
      </c>
      <c r="J294" s="24">
        <f t="shared" si="17"/>
        <v>240</v>
      </c>
      <c r="K294">
        <f t="shared" si="18"/>
        <v>0</v>
      </c>
      <c r="L294" t="str">
        <f t="shared" si="19"/>
        <v>Low Stock</v>
      </c>
    </row>
    <row r="295" spans="1:12" x14ac:dyDescent="0.45">
      <c r="A295" s="21" t="s">
        <v>445</v>
      </c>
      <c r="B295" s="7">
        <v>0</v>
      </c>
      <c r="C295" s="7">
        <v>0</v>
      </c>
      <c r="D295" s="7">
        <v>1</v>
      </c>
      <c r="E295" s="7">
        <v>1</v>
      </c>
      <c r="F295" s="7">
        <v>1</v>
      </c>
      <c r="G295" s="16">
        <v>46086</v>
      </c>
      <c r="H295" s="16" t="str">
        <f t="shared" si="16"/>
        <v>Thursday</v>
      </c>
      <c r="I295" s="12">
        <v>125</v>
      </c>
      <c r="J295" s="9">
        <f t="shared" si="17"/>
        <v>125</v>
      </c>
      <c r="K295">
        <f t="shared" si="18"/>
        <v>0</v>
      </c>
      <c r="L295" t="str">
        <f t="shared" si="19"/>
        <v>Low Stock</v>
      </c>
    </row>
    <row r="296" spans="1:12" x14ac:dyDescent="0.45">
      <c r="A296" s="20" t="s">
        <v>726</v>
      </c>
      <c r="B296" s="6">
        <v>3</v>
      </c>
      <c r="C296" s="6">
        <v>30</v>
      </c>
      <c r="D296" s="6">
        <v>3</v>
      </c>
      <c r="E296" s="6">
        <v>3</v>
      </c>
      <c r="F296" s="6">
        <v>3</v>
      </c>
      <c r="G296" s="15">
        <v>46087</v>
      </c>
      <c r="H296" s="15" t="str">
        <f t="shared" si="16"/>
        <v>Friday</v>
      </c>
      <c r="I296" s="11">
        <v>119</v>
      </c>
      <c r="J296" s="24">
        <f t="shared" si="17"/>
        <v>357</v>
      </c>
      <c r="K296">
        <f t="shared" si="18"/>
        <v>3</v>
      </c>
      <c r="L296" t="str">
        <f t="shared" si="19"/>
        <v>Low Stock</v>
      </c>
    </row>
    <row r="297" spans="1:12" x14ac:dyDescent="0.45">
      <c r="A297" s="21" t="s">
        <v>955</v>
      </c>
      <c r="B297" s="7">
        <v>5</v>
      </c>
      <c r="C297" s="7">
        <v>25</v>
      </c>
      <c r="D297" s="7">
        <v>6</v>
      </c>
      <c r="E297" s="7">
        <v>5</v>
      </c>
      <c r="F297" s="7">
        <v>4</v>
      </c>
      <c r="G297" s="16">
        <v>46085</v>
      </c>
      <c r="H297" s="16" t="str">
        <f t="shared" si="16"/>
        <v>Wednesday</v>
      </c>
      <c r="I297" s="12">
        <v>86</v>
      </c>
      <c r="J297" s="9">
        <f t="shared" si="17"/>
        <v>516</v>
      </c>
      <c r="K297">
        <f t="shared" si="18"/>
        <v>5</v>
      </c>
      <c r="L297" t="str">
        <f t="shared" si="19"/>
        <v>OK</v>
      </c>
    </row>
    <row r="298" spans="1:12" x14ac:dyDescent="0.45">
      <c r="A298" s="20" t="s">
        <v>1168</v>
      </c>
      <c r="B298" s="6">
        <v>2</v>
      </c>
      <c r="C298" s="6">
        <v>20</v>
      </c>
      <c r="D298" s="6">
        <v>3</v>
      </c>
      <c r="E298" s="6">
        <v>3</v>
      </c>
      <c r="F298" s="6">
        <v>3</v>
      </c>
      <c r="G298" s="15">
        <v>46085</v>
      </c>
      <c r="H298" s="15" t="str">
        <f t="shared" si="16"/>
        <v>Wednesday</v>
      </c>
      <c r="I298" s="11">
        <v>126</v>
      </c>
      <c r="J298" s="24">
        <f t="shared" si="17"/>
        <v>378</v>
      </c>
      <c r="K298">
        <f t="shared" si="18"/>
        <v>2</v>
      </c>
      <c r="L298" t="str">
        <f t="shared" si="19"/>
        <v>Low Stock</v>
      </c>
    </row>
    <row r="299" spans="1:12" x14ac:dyDescent="0.45">
      <c r="A299" s="21" t="s">
        <v>93</v>
      </c>
      <c r="B299" s="7">
        <v>10</v>
      </c>
      <c r="C299" s="7">
        <v>4</v>
      </c>
      <c r="D299" s="7">
        <v>70</v>
      </c>
      <c r="E299" s="7">
        <v>2</v>
      </c>
      <c r="F299" s="7">
        <v>2</v>
      </c>
      <c r="G299" s="16">
        <v>46087</v>
      </c>
      <c r="H299" s="16" t="str">
        <f t="shared" si="16"/>
        <v>Friday</v>
      </c>
      <c r="I299" s="12">
        <v>158</v>
      </c>
      <c r="J299" s="9">
        <f t="shared" si="17"/>
        <v>11060</v>
      </c>
      <c r="K299">
        <f t="shared" si="18"/>
        <v>10</v>
      </c>
      <c r="L299" t="str">
        <f t="shared" si="19"/>
        <v>OK</v>
      </c>
    </row>
    <row r="300" spans="1:12" x14ac:dyDescent="0.45">
      <c r="A300" s="20" t="s">
        <v>134</v>
      </c>
      <c r="B300" s="6">
        <v>-2</v>
      </c>
      <c r="C300" s="6">
        <v>0</v>
      </c>
      <c r="D300" s="6">
        <v>2</v>
      </c>
      <c r="E300" s="6">
        <v>2</v>
      </c>
      <c r="F300" s="6">
        <v>2</v>
      </c>
      <c r="G300" s="15">
        <v>46087</v>
      </c>
      <c r="H300" s="15" t="str">
        <f t="shared" si="16"/>
        <v>Friday</v>
      </c>
      <c r="I300" s="11">
        <v>129</v>
      </c>
      <c r="J300" s="24">
        <f t="shared" si="17"/>
        <v>258</v>
      </c>
      <c r="K300">
        <f t="shared" si="18"/>
        <v>0</v>
      </c>
      <c r="L300" t="str">
        <f t="shared" si="19"/>
        <v>Low Stock</v>
      </c>
    </row>
    <row r="301" spans="1:12" x14ac:dyDescent="0.45">
      <c r="A301" s="21" t="s">
        <v>186</v>
      </c>
      <c r="B301" s="7">
        <v>-5</v>
      </c>
      <c r="C301" s="7">
        <v>0</v>
      </c>
      <c r="D301" s="7">
        <v>1</v>
      </c>
      <c r="E301" s="7">
        <v>1</v>
      </c>
      <c r="F301" s="7">
        <v>1</v>
      </c>
      <c r="G301" s="16">
        <v>46088</v>
      </c>
      <c r="H301" s="16" t="str">
        <f t="shared" si="16"/>
        <v>Saturday</v>
      </c>
      <c r="I301" s="12">
        <v>153</v>
      </c>
      <c r="J301" s="9">
        <f t="shared" si="17"/>
        <v>153</v>
      </c>
      <c r="K301">
        <f t="shared" si="18"/>
        <v>0</v>
      </c>
      <c r="L301" t="str">
        <f t="shared" si="19"/>
        <v>Low Stock</v>
      </c>
    </row>
    <row r="302" spans="1:12" x14ac:dyDescent="0.45">
      <c r="A302" s="20" t="s">
        <v>285</v>
      </c>
      <c r="B302" s="6">
        <v>-1</v>
      </c>
      <c r="C302" s="6">
        <v>0</v>
      </c>
      <c r="D302" s="6">
        <v>1</v>
      </c>
      <c r="E302" s="6">
        <v>1</v>
      </c>
      <c r="F302" s="6">
        <v>1</v>
      </c>
      <c r="G302" s="15">
        <v>46084</v>
      </c>
      <c r="H302" s="15" t="str">
        <f t="shared" si="16"/>
        <v>Tuesday</v>
      </c>
      <c r="I302" s="11">
        <v>177</v>
      </c>
      <c r="J302" s="24">
        <f t="shared" si="17"/>
        <v>177</v>
      </c>
      <c r="K302">
        <f t="shared" si="18"/>
        <v>0</v>
      </c>
      <c r="L302" t="str">
        <f t="shared" si="19"/>
        <v>Low Stock</v>
      </c>
    </row>
    <row r="303" spans="1:12" x14ac:dyDescent="0.45">
      <c r="A303" s="21" t="s">
        <v>374</v>
      </c>
      <c r="B303" s="7">
        <v>0</v>
      </c>
      <c r="C303" s="7">
        <v>0</v>
      </c>
      <c r="D303" s="7">
        <v>2</v>
      </c>
      <c r="E303" s="7">
        <v>2</v>
      </c>
      <c r="F303" s="7">
        <v>2</v>
      </c>
      <c r="G303" s="16">
        <v>46087</v>
      </c>
      <c r="H303" s="16" t="str">
        <f t="shared" si="16"/>
        <v>Friday</v>
      </c>
      <c r="I303" s="12">
        <v>170</v>
      </c>
      <c r="J303" s="9">
        <f t="shared" si="17"/>
        <v>340</v>
      </c>
      <c r="K303">
        <f t="shared" si="18"/>
        <v>0</v>
      </c>
      <c r="L303" t="str">
        <f t="shared" si="19"/>
        <v>Low Stock</v>
      </c>
    </row>
    <row r="304" spans="1:12" x14ac:dyDescent="0.45">
      <c r="A304" s="20" t="s">
        <v>408</v>
      </c>
      <c r="B304" s="6">
        <v>0</v>
      </c>
      <c r="C304" s="6">
        <v>0</v>
      </c>
      <c r="D304" s="6">
        <v>1</v>
      </c>
      <c r="E304" s="6">
        <v>1</v>
      </c>
      <c r="F304" s="6">
        <v>1</v>
      </c>
      <c r="G304" s="15">
        <v>46083</v>
      </c>
      <c r="H304" s="15" t="str">
        <f t="shared" si="16"/>
        <v>Monday</v>
      </c>
      <c r="I304" s="11">
        <v>188</v>
      </c>
      <c r="J304" s="24">
        <f t="shared" si="17"/>
        <v>188</v>
      </c>
      <c r="K304">
        <f t="shared" si="18"/>
        <v>0</v>
      </c>
      <c r="L304" t="str">
        <f t="shared" si="19"/>
        <v>Low Stock</v>
      </c>
    </row>
    <row r="305" spans="1:12" x14ac:dyDescent="0.45">
      <c r="A305" s="21" t="s">
        <v>520</v>
      </c>
      <c r="B305" s="7">
        <v>3</v>
      </c>
      <c r="C305" s="7">
        <v>12</v>
      </c>
      <c r="D305" s="7">
        <v>7</v>
      </c>
      <c r="E305" s="7">
        <v>7</v>
      </c>
      <c r="F305" s="7">
        <v>6</v>
      </c>
      <c r="G305" s="16">
        <v>46088</v>
      </c>
      <c r="H305" s="16" t="str">
        <f t="shared" si="16"/>
        <v>Saturday</v>
      </c>
      <c r="I305" s="12">
        <v>90</v>
      </c>
      <c r="J305" s="9">
        <f t="shared" si="17"/>
        <v>630</v>
      </c>
      <c r="K305">
        <f t="shared" si="18"/>
        <v>3</v>
      </c>
      <c r="L305" t="str">
        <f t="shared" si="19"/>
        <v>Low Stock</v>
      </c>
    </row>
    <row r="306" spans="1:12" x14ac:dyDescent="0.45">
      <c r="A306" s="20" t="s">
        <v>828</v>
      </c>
      <c r="B306" s="6">
        <v>28</v>
      </c>
      <c r="C306" s="6">
        <v>30</v>
      </c>
      <c r="D306" s="6">
        <v>28</v>
      </c>
      <c r="E306" s="6">
        <v>3</v>
      </c>
      <c r="F306" s="6">
        <v>3</v>
      </c>
      <c r="G306" s="15">
        <v>46087</v>
      </c>
      <c r="H306" s="15" t="str">
        <f t="shared" si="16"/>
        <v>Friday</v>
      </c>
      <c r="I306" s="11">
        <v>132</v>
      </c>
      <c r="J306" s="24">
        <f t="shared" si="17"/>
        <v>3696</v>
      </c>
      <c r="K306">
        <f t="shared" si="18"/>
        <v>28</v>
      </c>
      <c r="L306" t="str">
        <f t="shared" si="19"/>
        <v>OK</v>
      </c>
    </row>
    <row r="307" spans="1:12" x14ac:dyDescent="0.45">
      <c r="A307" s="21" t="s">
        <v>1098</v>
      </c>
      <c r="B307" s="7">
        <v>15</v>
      </c>
      <c r="C307" s="7">
        <v>30</v>
      </c>
      <c r="D307" s="7">
        <v>15</v>
      </c>
      <c r="E307" s="7">
        <v>1</v>
      </c>
      <c r="F307" s="7">
        <v>1</v>
      </c>
      <c r="G307" s="16">
        <v>46088</v>
      </c>
      <c r="H307" s="16" t="str">
        <f t="shared" si="16"/>
        <v>Saturday</v>
      </c>
      <c r="I307" s="12">
        <v>148</v>
      </c>
      <c r="J307" s="9">
        <f t="shared" si="17"/>
        <v>2220</v>
      </c>
      <c r="K307">
        <f t="shared" si="18"/>
        <v>15</v>
      </c>
      <c r="L307" t="str">
        <f t="shared" si="19"/>
        <v>OK</v>
      </c>
    </row>
    <row r="308" spans="1:12" x14ac:dyDescent="0.45">
      <c r="A308" s="20" t="s">
        <v>953</v>
      </c>
      <c r="B308" s="6">
        <v>63</v>
      </c>
      <c r="C308" s="6">
        <v>18</v>
      </c>
      <c r="D308" s="6">
        <v>100</v>
      </c>
      <c r="E308" s="6">
        <v>15</v>
      </c>
      <c r="F308" s="6">
        <v>10</v>
      </c>
      <c r="G308" s="15">
        <v>46086</v>
      </c>
      <c r="H308" s="15" t="str">
        <f t="shared" si="16"/>
        <v>Thursday</v>
      </c>
      <c r="I308" s="11">
        <v>184</v>
      </c>
      <c r="J308" s="24">
        <f t="shared" si="17"/>
        <v>18400</v>
      </c>
      <c r="K308">
        <f t="shared" si="18"/>
        <v>63</v>
      </c>
      <c r="L308" t="str">
        <f t="shared" si="19"/>
        <v>OK</v>
      </c>
    </row>
    <row r="309" spans="1:12" x14ac:dyDescent="0.45">
      <c r="A309" s="21" t="s">
        <v>1045</v>
      </c>
      <c r="B309" s="7">
        <v>2</v>
      </c>
      <c r="C309" s="7">
        <v>20</v>
      </c>
      <c r="D309" s="7">
        <v>3</v>
      </c>
      <c r="E309" s="7">
        <v>3</v>
      </c>
      <c r="F309" s="7">
        <v>3</v>
      </c>
      <c r="G309" s="16">
        <v>46082</v>
      </c>
      <c r="H309" s="16" t="str">
        <f t="shared" si="16"/>
        <v>Sunday</v>
      </c>
      <c r="I309" s="12">
        <v>128</v>
      </c>
      <c r="J309" s="9">
        <f t="shared" si="17"/>
        <v>384</v>
      </c>
      <c r="K309">
        <f t="shared" si="18"/>
        <v>2</v>
      </c>
      <c r="L309" t="str">
        <f t="shared" si="19"/>
        <v>Low Stock</v>
      </c>
    </row>
    <row r="310" spans="1:12" x14ac:dyDescent="0.45">
      <c r="A310" s="20" t="s">
        <v>1126</v>
      </c>
      <c r="B310" s="6">
        <v>1</v>
      </c>
      <c r="C310" s="6">
        <v>30</v>
      </c>
      <c r="D310" s="6">
        <v>1</v>
      </c>
      <c r="E310" s="6">
        <v>1</v>
      </c>
      <c r="F310" s="6">
        <v>1</v>
      </c>
      <c r="G310" s="15">
        <v>46087</v>
      </c>
      <c r="H310" s="15" t="str">
        <f t="shared" si="16"/>
        <v>Friday</v>
      </c>
      <c r="I310" s="11">
        <v>185</v>
      </c>
      <c r="J310" s="24">
        <f t="shared" si="17"/>
        <v>185</v>
      </c>
      <c r="K310">
        <f t="shared" si="18"/>
        <v>1</v>
      </c>
      <c r="L310" t="str">
        <f t="shared" si="19"/>
        <v>Low Stock</v>
      </c>
    </row>
    <row r="311" spans="1:12" x14ac:dyDescent="0.45">
      <c r="A311" s="21" t="s">
        <v>164</v>
      </c>
      <c r="B311" s="7">
        <v>1</v>
      </c>
      <c r="C311" s="7">
        <v>6</v>
      </c>
      <c r="D311" s="7">
        <v>5</v>
      </c>
      <c r="E311" s="7">
        <v>5</v>
      </c>
      <c r="F311" s="7">
        <v>5</v>
      </c>
      <c r="G311" s="16">
        <v>46088</v>
      </c>
      <c r="H311" s="16" t="str">
        <f t="shared" si="16"/>
        <v>Saturday</v>
      </c>
      <c r="I311" s="12">
        <v>75</v>
      </c>
      <c r="J311" s="9">
        <f t="shared" si="17"/>
        <v>375</v>
      </c>
      <c r="K311">
        <f t="shared" si="18"/>
        <v>1</v>
      </c>
      <c r="L311" t="str">
        <f t="shared" si="19"/>
        <v>Low Stock</v>
      </c>
    </row>
    <row r="312" spans="1:12" x14ac:dyDescent="0.45">
      <c r="A312" s="20" t="s">
        <v>202</v>
      </c>
      <c r="B312" s="6">
        <v>0</v>
      </c>
      <c r="C312" s="6">
        <v>0</v>
      </c>
      <c r="D312" s="6">
        <v>15</v>
      </c>
      <c r="E312" s="6">
        <v>1</v>
      </c>
      <c r="F312" s="6">
        <v>1</v>
      </c>
      <c r="G312" s="15">
        <v>46088</v>
      </c>
      <c r="H312" s="15" t="str">
        <f t="shared" si="16"/>
        <v>Saturday</v>
      </c>
      <c r="I312" s="11">
        <v>130</v>
      </c>
      <c r="J312" s="24">
        <f t="shared" si="17"/>
        <v>1950</v>
      </c>
      <c r="K312">
        <f t="shared" si="18"/>
        <v>0</v>
      </c>
      <c r="L312" t="str">
        <f t="shared" si="19"/>
        <v>Low Stock</v>
      </c>
    </row>
    <row r="313" spans="1:12" x14ac:dyDescent="0.45">
      <c r="A313" s="21" t="s">
        <v>416</v>
      </c>
      <c r="B313" s="7">
        <v>0</v>
      </c>
      <c r="C313" s="7">
        <v>0</v>
      </c>
      <c r="D313" s="7">
        <v>2</v>
      </c>
      <c r="E313" s="7">
        <v>2</v>
      </c>
      <c r="F313" s="7">
        <v>2</v>
      </c>
      <c r="G313" s="16">
        <v>46088</v>
      </c>
      <c r="H313" s="16" t="str">
        <f t="shared" si="16"/>
        <v>Saturday</v>
      </c>
      <c r="I313" s="12">
        <v>197</v>
      </c>
      <c r="J313" s="9">
        <f t="shared" si="17"/>
        <v>394</v>
      </c>
      <c r="K313">
        <f t="shared" si="18"/>
        <v>0</v>
      </c>
      <c r="L313" t="str">
        <f t="shared" si="19"/>
        <v>Low Stock</v>
      </c>
    </row>
    <row r="314" spans="1:12" x14ac:dyDescent="0.45">
      <c r="A314" s="20" t="s">
        <v>431</v>
      </c>
      <c r="B314" s="6">
        <v>-2</v>
      </c>
      <c r="C314" s="6">
        <v>0</v>
      </c>
      <c r="D314" s="6">
        <v>2</v>
      </c>
      <c r="E314" s="6">
        <v>2</v>
      </c>
      <c r="F314" s="6">
        <v>2</v>
      </c>
      <c r="G314" s="15">
        <v>46084</v>
      </c>
      <c r="H314" s="15" t="str">
        <f t="shared" si="16"/>
        <v>Tuesday</v>
      </c>
      <c r="I314" s="11">
        <v>167</v>
      </c>
      <c r="J314" s="24">
        <f t="shared" si="17"/>
        <v>334</v>
      </c>
      <c r="K314">
        <f t="shared" si="18"/>
        <v>0</v>
      </c>
      <c r="L314" t="str">
        <f t="shared" si="19"/>
        <v>Low Stock</v>
      </c>
    </row>
    <row r="315" spans="1:12" x14ac:dyDescent="0.45">
      <c r="A315" s="21" t="s">
        <v>795</v>
      </c>
      <c r="B315" s="7">
        <v>20</v>
      </c>
      <c r="C315" s="7">
        <v>20</v>
      </c>
      <c r="D315" s="7">
        <v>30</v>
      </c>
      <c r="E315" s="7">
        <v>3</v>
      </c>
      <c r="F315" s="7">
        <v>3</v>
      </c>
      <c r="G315" s="16">
        <v>46082</v>
      </c>
      <c r="H315" s="16" t="str">
        <f t="shared" si="16"/>
        <v>Sunday</v>
      </c>
      <c r="I315" s="12">
        <v>182</v>
      </c>
      <c r="J315" s="9">
        <f t="shared" si="17"/>
        <v>5460</v>
      </c>
      <c r="K315">
        <f t="shared" si="18"/>
        <v>20</v>
      </c>
      <c r="L315" t="str">
        <f t="shared" si="19"/>
        <v>OK</v>
      </c>
    </row>
    <row r="316" spans="1:12" x14ac:dyDescent="0.45">
      <c r="A316" s="20" t="s">
        <v>417</v>
      </c>
      <c r="B316" s="6">
        <v>-7</v>
      </c>
      <c r="C316" s="6">
        <v>0</v>
      </c>
      <c r="D316" s="6">
        <v>1</v>
      </c>
      <c r="E316" s="6">
        <v>1</v>
      </c>
      <c r="F316" s="6">
        <v>1</v>
      </c>
      <c r="G316" s="15">
        <v>46088</v>
      </c>
      <c r="H316" s="15" t="str">
        <f t="shared" si="16"/>
        <v>Saturday</v>
      </c>
      <c r="I316" s="11">
        <v>158</v>
      </c>
      <c r="J316" s="24">
        <f t="shared" si="17"/>
        <v>158</v>
      </c>
      <c r="K316">
        <f t="shared" si="18"/>
        <v>0</v>
      </c>
      <c r="L316" t="str">
        <f t="shared" si="19"/>
        <v>Low Stock</v>
      </c>
    </row>
    <row r="317" spans="1:12" x14ac:dyDescent="0.45">
      <c r="A317" s="21" t="s">
        <v>1134</v>
      </c>
      <c r="B317" s="7">
        <v>3</v>
      </c>
      <c r="C317" s="7">
        <v>30</v>
      </c>
      <c r="D317" s="7">
        <v>3</v>
      </c>
      <c r="E317" s="7">
        <v>3</v>
      </c>
      <c r="F317" s="7">
        <v>3</v>
      </c>
      <c r="G317" s="16">
        <v>46087</v>
      </c>
      <c r="H317" s="16" t="str">
        <f t="shared" si="16"/>
        <v>Friday</v>
      </c>
      <c r="I317" s="12">
        <v>78</v>
      </c>
      <c r="J317" s="9">
        <f t="shared" si="17"/>
        <v>234</v>
      </c>
      <c r="K317">
        <f t="shared" si="18"/>
        <v>3</v>
      </c>
      <c r="L317" t="str">
        <f t="shared" si="19"/>
        <v>Low Stock</v>
      </c>
    </row>
    <row r="318" spans="1:12" x14ac:dyDescent="0.45">
      <c r="A318" s="20" t="s">
        <v>37</v>
      </c>
      <c r="B318" s="6">
        <v>0</v>
      </c>
      <c r="C318" s="6">
        <v>0</v>
      </c>
      <c r="D318" s="6">
        <v>2</v>
      </c>
      <c r="E318" s="6">
        <v>2</v>
      </c>
      <c r="F318" s="6">
        <v>2</v>
      </c>
      <c r="G318" s="15">
        <v>46086</v>
      </c>
      <c r="H318" s="15" t="str">
        <f t="shared" si="16"/>
        <v>Thursday</v>
      </c>
      <c r="I318" s="11">
        <v>162</v>
      </c>
      <c r="J318" s="24">
        <f t="shared" si="17"/>
        <v>324</v>
      </c>
      <c r="K318">
        <f t="shared" si="18"/>
        <v>0</v>
      </c>
      <c r="L318" t="str">
        <f t="shared" si="19"/>
        <v>Low Stock</v>
      </c>
    </row>
    <row r="319" spans="1:12" x14ac:dyDescent="0.45">
      <c r="A319" s="21" t="s">
        <v>352</v>
      </c>
      <c r="B319" s="7">
        <v>0</v>
      </c>
      <c r="C319" s="7">
        <v>0</v>
      </c>
      <c r="D319" s="7">
        <v>2</v>
      </c>
      <c r="E319" s="7">
        <v>2</v>
      </c>
      <c r="F319" s="7">
        <v>2</v>
      </c>
      <c r="G319" s="16">
        <v>46082</v>
      </c>
      <c r="H319" s="16" t="str">
        <f t="shared" si="16"/>
        <v>Sunday</v>
      </c>
      <c r="I319" s="12">
        <v>199</v>
      </c>
      <c r="J319" s="9">
        <f t="shared" si="17"/>
        <v>398</v>
      </c>
      <c r="K319">
        <f t="shared" si="18"/>
        <v>0</v>
      </c>
      <c r="L319" t="str">
        <f t="shared" si="19"/>
        <v>Low Stock</v>
      </c>
    </row>
    <row r="320" spans="1:12" x14ac:dyDescent="0.45">
      <c r="A320" s="20" t="s">
        <v>464</v>
      </c>
      <c r="B320" s="6">
        <v>0</v>
      </c>
      <c r="C320" s="6">
        <v>0</v>
      </c>
      <c r="D320" s="6">
        <v>1</v>
      </c>
      <c r="E320" s="6">
        <v>1</v>
      </c>
      <c r="F320" s="6">
        <v>1</v>
      </c>
      <c r="G320" s="15">
        <v>46087</v>
      </c>
      <c r="H320" s="15" t="str">
        <f t="shared" si="16"/>
        <v>Friday</v>
      </c>
      <c r="I320" s="11">
        <v>89</v>
      </c>
      <c r="J320" s="24">
        <f t="shared" si="17"/>
        <v>89</v>
      </c>
      <c r="K320">
        <f t="shared" si="18"/>
        <v>0</v>
      </c>
      <c r="L320" t="str">
        <f t="shared" si="19"/>
        <v>Low Stock</v>
      </c>
    </row>
    <row r="321" spans="1:12" x14ac:dyDescent="0.45">
      <c r="A321" s="21" t="s">
        <v>667</v>
      </c>
      <c r="B321" s="7">
        <v>1</v>
      </c>
      <c r="C321" s="7">
        <v>10</v>
      </c>
      <c r="D321" s="7">
        <v>3</v>
      </c>
      <c r="E321" s="7">
        <v>3</v>
      </c>
      <c r="F321" s="7">
        <v>2</v>
      </c>
      <c r="G321" s="16">
        <v>46088</v>
      </c>
      <c r="H321" s="16" t="str">
        <f t="shared" si="16"/>
        <v>Saturday</v>
      </c>
      <c r="I321" s="12">
        <v>184</v>
      </c>
      <c r="J321" s="9">
        <f t="shared" si="17"/>
        <v>552</v>
      </c>
      <c r="K321">
        <f t="shared" si="18"/>
        <v>1</v>
      </c>
      <c r="L321" t="str">
        <f t="shared" si="19"/>
        <v>Low Stock</v>
      </c>
    </row>
    <row r="322" spans="1:12" x14ac:dyDescent="0.45">
      <c r="A322" s="20" t="s">
        <v>765</v>
      </c>
      <c r="B322" s="6">
        <v>7</v>
      </c>
      <c r="C322" s="6">
        <v>21</v>
      </c>
      <c r="D322" s="6">
        <v>10</v>
      </c>
      <c r="E322" s="6">
        <v>9</v>
      </c>
      <c r="F322" s="6">
        <v>8</v>
      </c>
      <c r="G322" s="15">
        <v>46084</v>
      </c>
      <c r="H322" s="15" t="str">
        <f t="shared" ref="H322:H385" si="20">TEXT(G322,"dddd")</f>
        <v>Tuesday</v>
      </c>
      <c r="I322" s="11">
        <v>178</v>
      </c>
      <c r="J322" s="24">
        <f t="shared" ref="J322:J385" si="21">D322*I322</f>
        <v>1780</v>
      </c>
      <c r="K322">
        <f t="shared" ref="K322:K385" si="22">IF(B322&lt;0,0,B322)</f>
        <v>7</v>
      </c>
      <c r="L322" t="str">
        <f t="shared" ref="L322:L385" si="23">IF(K322&lt;5,"Low Stock","OK")</f>
        <v>OK</v>
      </c>
    </row>
    <row r="323" spans="1:12" x14ac:dyDescent="0.45">
      <c r="A323" s="21" t="s">
        <v>920</v>
      </c>
      <c r="B323" s="7">
        <v>6</v>
      </c>
      <c r="C323" s="7">
        <v>30</v>
      </c>
      <c r="D323" s="7">
        <v>6</v>
      </c>
      <c r="E323" s="7">
        <v>1</v>
      </c>
      <c r="F323" s="7">
        <v>1</v>
      </c>
      <c r="G323" s="16">
        <v>46085</v>
      </c>
      <c r="H323" s="16" t="str">
        <f t="shared" si="20"/>
        <v>Wednesday</v>
      </c>
      <c r="I323" s="12">
        <v>140</v>
      </c>
      <c r="J323" s="9">
        <f t="shared" si="21"/>
        <v>840</v>
      </c>
      <c r="K323">
        <f t="shared" si="22"/>
        <v>6</v>
      </c>
      <c r="L323" t="str">
        <f t="shared" si="23"/>
        <v>OK</v>
      </c>
    </row>
    <row r="324" spans="1:12" x14ac:dyDescent="0.45">
      <c r="A324" s="20" t="s">
        <v>147</v>
      </c>
      <c r="B324" s="6">
        <v>-3</v>
      </c>
      <c r="C324" s="6">
        <v>0</v>
      </c>
      <c r="D324" s="6">
        <v>3</v>
      </c>
      <c r="E324" s="6">
        <v>3</v>
      </c>
      <c r="F324" s="6">
        <v>3</v>
      </c>
      <c r="G324" s="15">
        <v>46086</v>
      </c>
      <c r="H324" s="15" t="str">
        <f t="shared" si="20"/>
        <v>Thursday</v>
      </c>
      <c r="I324" s="11">
        <v>185</v>
      </c>
      <c r="J324" s="24">
        <f t="shared" si="21"/>
        <v>555</v>
      </c>
      <c r="K324">
        <f t="shared" si="22"/>
        <v>0</v>
      </c>
      <c r="L324" t="str">
        <f t="shared" si="23"/>
        <v>Low Stock</v>
      </c>
    </row>
    <row r="325" spans="1:12" x14ac:dyDescent="0.45">
      <c r="A325" s="21" t="s">
        <v>235</v>
      </c>
      <c r="B325" s="7">
        <v>-17</v>
      </c>
      <c r="C325" s="7">
        <v>0</v>
      </c>
      <c r="D325" s="7">
        <v>3</v>
      </c>
      <c r="E325" s="7">
        <v>3</v>
      </c>
      <c r="F325" s="7">
        <v>3</v>
      </c>
      <c r="G325" s="16">
        <v>46088</v>
      </c>
      <c r="H325" s="16" t="str">
        <f t="shared" si="20"/>
        <v>Saturday</v>
      </c>
      <c r="I325" s="12">
        <v>111</v>
      </c>
      <c r="J325" s="9">
        <f t="shared" si="21"/>
        <v>333</v>
      </c>
      <c r="K325">
        <f t="shared" si="22"/>
        <v>0</v>
      </c>
      <c r="L325" t="str">
        <f t="shared" si="23"/>
        <v>Low Stock</v>
      </c>
    </row>
    <row r="326" spans="1:12" x14ac:dyDescent="0.45">
      <c r="A326" s="20" t="s">
        <v>424</v>
      </c>
      <c r="B326" s="6">
        <v>0</v>
      </c>
      <c r="C326" s="6">
        <v>0</v>
      </c>
      <c r="D326" s="6">
        <v>1</v>
      </c>
      <c r="E326" s="6">
        <v>1</v>
      </c>
      <c r="F326" s="6">
        <v>1</v>
      </c>
      <c r="G326" s="15">
        <v>46086</v>
      </c>
      <c r="H326" s="15" t="str">
        <f t="shared" si="20"/>
        <v>Thursday</v>
      </c>
      <c r="I326" s="11">
        <v>103</v>
      </c>
      <c r="J326" s="24">
        <f t="shared" si="21"/>
        <v>103</v>
      </c>
      <c r="K326">
        <f t="shared" si="22"/>
        <v>0</v>
      </c>
      <c r="L326" t="str">
        <f t="shared" si="23"/>
        <v>Low Stock</v>
      </c>
    </row>
    <row r="327" spans="1:12" x14ac:dyDescent="0.45">
      <c r="A327" s="21" t="s">
        <v>624</v>
      </c>
      <c r="B327" s="7">
        <v>1</v>
      </c>
      <c r="C327" s="7">
        <v>15</v>
      </c>
      <c r="D327" s="7">
        <v>2</v>
      </c>
      <c r="E327" s="7">
        <v>2</v>
      </c>
      <c r="F327" s="7">
        <v>2</v>
      </c>
      <c r="G327" s="16">
        <v>46082</v>
      </c>
      <c r="H327" s="16" t="str">
        <f t="shared" si="20"/>
        <v>Sunday</v>
      </c>
      <c r="I327" s="12">
        <v>144</v>
      </c>
      <c r="J327" s="9">
        <f t="shared" si="21"/>
        <v>288</v>
      </c>
      <c r="K327">
        <f t="shared" si="22"/>
        <v>1</v>
      </c>
      <c r="L327" t="str">
        <f t="shared" si="23"/>
        <v>Low Stock</v>
      </c>
    </row>
    <row r="328" spans="1:12" x14ac:dyDescent="0.45">
      <c r="A328" s="20" t="s">
        <v>820</v>
      </c>
      <c r="B328" s="6">
        <v>3</v>
      </c>
      <c r="C328" s="6">
        <v>30</v>
      </c>
      <c r="D328" s="6">
        <v>3</v>
      </c>
      <c r="E328" s="6">
        <v>3</v>
      </c>
      <c r="F328" s="6">
        <v>3</v>
      </c>
      <c r="G328" s="15">
        <v>46085</v>
      </c>
      <c r="H328" s="15" t="str">
        <f t="shared" si="20"/>
        <v>Wednesday</v>
      </c>
      <c r="I328" s="11">
        <v>123</v>
      </c>
      <c r="J328" s="24">
        <f t="shared" si="21"/>
        <v>369</v>
      </c>
      <c r="K328">
        <f t="shared" si="22"/>
        <v>3</v>
      </c>
      <c r="L328" t="str">
        <f t="shared" si="23"/>
        <v>Low Stock</v>
      </c>
    </row>
    <row r="329" spans="1:12" x14ac:dyDescent="0.45">
      <c r="A329" s="21" t="s">
        <v>270</v>
      </c>
      <c r="B329" s="7">
        <v>0</v>
      </c>
      <c r="C329" s="7">
        <v>0</v>
      </c>
      <c r="D329" s="7">
        <v>1</v>
      </c>
      <c r="E329" s="7">
        <v>1</v>
      </c>
      <c r="F329" s="7">
        <v>1</v>
      </c>
      <c r="G329" s="16">
        <v>46087</v>
      </c>
      <c r="H329" s="16" t="str">
        <f t="shared" si="20"/>
        <v>Friday</v>
      </c>
      <c r="I329" s="12">
        <v>185</v>
      </c>
      <c r="J329" s="9">
        <f t="shared" si="21"/>
        <v>185</v>
      </c>
      <c r="K329">
        <f t="shared" si="22"/>
        <v>0</v>
      </c>
      <c r="L329" t="str">
        <f t="shared" si="23"/>
        <v>Low Stock</v>
      </c>
    </row>
    <row r="330" spans="1:12" x14ac:dyDescent="0.45">
      <c r="A330" s="20" t="s">
        <v>291</v>
      </c>
      <c r="B330" s="6">
        <v>-2</v>
      </c>
      <c r="C330" s="6">
        <v>0</v>
      </c>
      <c r="D330" s="6">
        <v>1</v>
      </c>
      <c r="E330" s="6">
        <v>1</v>
      </c>
      <c r="F330" s="6">
        <v>1</v>
      </c>
      <c r="G330" s="15">
        <v>46086</v>
      </c>
      <c r="H330" s="15" t="str">
        <f t="shared" si="20"/>
        <v>Thursday</v>
      </c>
      <c r="I330" s="11">
        <v>199</v>
      </c>
      <c r="J330" s="24">
        <f t="shared" si="21"/>
        <v>199</v>
      </c>
      <c r="K330">
        <f t="shared" si="22"/>
        <v>0</v>
      </c>
      <c r="L330" t="str">
        <f t="shared" si="23"/>
        <v>Low Stock</v>
      </c>
    </row>
    <row r="331" spans="1:12" x14ac:dyDescent="0.45">
      <c r="A331" s="21" t="s">
        <v>623</v>
      </c>
      <c r="B331" s="7">
        <v>1</v>
      </c>
      <c r="C331" s="7">
        <v>15</v>
      </c>
      <c r="D331" s="7">
        <v>2</v>
      </c>
      <c r="E331" s="7">
        <v>2</v>
      </c>
      <c r="F331" s="7">
        <v>2</v>
      </c>
      <c r="G331" s="16">
        <v>46082</v>
      </c>
      <c r="H331" s="16" t="str">
        <f t="shared" si="20"/>
        <v>Sunday</v>
      </c>
      <c r="I331" s="12">
        <v>137</v>
      </c>
      <c r="J331" s="9">
        <f t="shared" si="21"/>
        <v>274</v>
      </c>
      <c r="K331">
        <f t="shared" si="22"/>
        <v>1</v>
      </c>
      <c r="L331" t="str">
        <f t="shared" si="23"/>
        <v>Low Stock</v>
      </c>
    </row>
    <row r="332" spans="1:12" x14ac:dyDescent="0.45">
      <c r="A332" s="20" t="s">
        <v>659</v>
      </c>
      <c r="B332" s="6">
        <v>30</v>
      </c>
      <c r="C332" s="6">
        <v>15</v>
      </c>
      <c r="D332" s="6">
        <v>60</v>
      </c>
      <c r="E332" s="6">
        <v>1</v>
      </c>
      <c r="F332" s="6">
        <v>1</v>
      </c>
      <c r="G332" s="15">
        <v>46087</v>
      </c>
      <c r="H332" s="15" t="str">
        <f t="shared" si="20"/>
        <v>Friday</v>
      </c>
      <c r="I332" s="11">
        <v>111</v>
      </c>
      <c r="J332" s="24">
        <f t="shared" si="21"/>
        <v>6660</v>
      </c>
      <c r="K332">
        <f t="shared" si="22"/>
        <v>30</v>
      </c>
      <c r="L332" t="str">
        <f t="shared" si="23"/>
        <v>OK</v>
      </c>
    </row>
    <row r="333" spans="1:12" x14ac:dyDescent="0.45">
      <c r="A333" s="21" t="s">
        <v>1048</v>
      </c>
      <c r="B333" s="7">
        <v>20</v>
      </c>
      <c r="C333" s="7">
        <v>30</v>
      </c>
      <c r="D333" s="7">
        <v>20</v>
      </c>
      <c r="E333" s="7">
        <v>2</v>
      </c>
      <c r="F333" s="7">
        <v>2</v>
      </c>
      <c r="G333" s="16">
        <v>46088</v>
      </c>
      <c r="H333" s="16" t="str">
        <f t="shared" si="20"/>
        <v>Saturday</v>
      </c>
      <c r="I333" s="12">
        <v>132</v>
      </c>
      <c r="J333" s="9">
        <f t="shared" si="21"/>
        <v>2640</v>
      </c>
      <c r="K333">
        <f t="shared" si="22"/>
        <v>20</v>
      </c>
      <c r="L333" t="str">
        <f t="shared" si="23"/>
        <v>OK</v>
      </c>
    </row>
    <row r="334" spans="1:12" x14ac:dyDescent="0.45">
      <c r="A334" s="20" t="s">
        <v>1065</v>
      </c>
      <c r="B334" s="6">
        <v>1</v>
      </c>
      <c r="C334" s="6">
        <v>30</v>
      </c>
      <c r="D334" s="6">
        <v>1</v>
      </c>
      <c r="E334" s="6">
        <v>1</v>
      </c>
      <c r="F334" s="6">
        <v>1</v>
      </c>
      <c r="G334" s="15">
        <v>46082</v>
      </c>
      <c r="H334" s="15" t="str">
        <f t="shared" si="20"/>
        <v>Sunday</v>
      </c>
      <c r="I334" s="11">
        <v>104</v>
      </c>
      <c r="J334" s="24">
        <f t="shared" si="21"/>
        <v>104</v>
      </c>
      <c r="K334">
        <f t="shared" si="22"/>
        <v>1</v>
      </c>
      <c r="L334" t="str">
        <f t="shared" si="23"/>
        <v>Low Stock</v>
      </c>
    </row>
    <row r="335" spans="1:12" x14ac:dyDescent="0.45">
      <c r="A335" s="21" t="s">
        <v>1090</v>
      </c>
      <c r="B335" s="7">
        <v>1</v>
      </c>
      <c r="C335" s="7">
        <v>30</v>
      </c>
      <c r="D335" s="7">
        <v>1</v>
      </c>
      <c r="E335" s="7">
        <v>1</v>
      </c>
      <c r="F335" s="7">
        <v>1</v>
      </c>
      <c r="G335" s="16">
        <v>46088</v>
      </c>
      <c r="H335" s="16" t="str">
        <f t="shared" si="20"/>
        <v>Saturday</v>
      </c>
      <c r="I335" s="12">
        <v>120</v>
      </c>
      <c r="J335" s="9">
        <f t="shared" si="21"/>
        <v>120</v>
      </c>
      <c r="K335">
        <f t="shared" si="22"/>
        <v>1</v>
      </c>
      <c r="L335" t="str">
        <f t="shared" si="23"/>
        <v>Low Stock</v>
      </c>
    </row>
    <row r="336" spans="1:12" x14ac:dyDescent="0.45">
      <c r="A336" s="20" t="s">
        <v>1209</v>
      </c>
      <c r="B336" s="6">
        <v>4</v>
      </c>
      <c r="C336" s="6">
        <v>30</v>
      </c>
      <c r="D336" s="6">
        <v>4</v>
      </c>
      <c r="E336" s="6">
        <v>1</v>
      </c>
      <c r="F336" s="6">
        <v>1</v>
      </c>
      <c r="G336" s="15">
        <v>46085</v>
      </c>
      <c r="H336" s="15" t="str">
        <f t="shared" si="20"/>
        <v>Wednesday</v>
      </c>
      <c r="I336" s="11">
        <v>78</v>
      </c>
      <c r="J336" s="24">
        <f t="shared" si="21"/>
        <v>312</v>
      </c>
      <c r="K336">
        <f t="shared" si="22"/>
        <v>4</v>
      </c>
      <c r="L336" t="str">
        <f t="shared" si="23"/>
        <v>Low Stock</v>
      </c>
    </row>
    <row r="337" spans="1:12" x14ac:dyDescent="0.45">
      <c r="A337" s="21" t="s">
        <v>258</v>
      </c>
      <c r="B337" s="7">
        <v>-1</v>
      </c>
      <c r="C337" s="7">
        <v>0</v>
      </c>
      <c r="D337" s="7">
        <v>1</v>
      </c>
      <c r="E337" s="7">
        <v>1</v>
      </c>
      <c r="F337" s="7">
        <v>1</v>
      </c>
      <c r="G337" s="16">
        <v>46084</v>
      </c>
      <c r="H337" s="16" t="str">
        <f t="shared" si="20"/>
        <v>Tuesday</v>
      </c>
      <c r="I337" s="12">
        <v>150</v>
      </c>
      <c r="J337" s="9">
        <f t="shared" si="21"/>
        <v>150</v>
      </c>
      <c r="K337">
        <f t="shared" si="22"/>
        <v>0</v>
      </c>
      <c r="L337" t="str">
        <f t="shared" si="23"/>
        <v>Low Stock</v>
      </c>
    </row>
    <row r="338" spans="1:12" x14ac:dyDescent="0.45">
      <c r="A338" s="20" t="s">
        <v>334</v>
      </c>
      <c r="B338" s="6">
        <v>0</v>
      </c>
      <c r="C338" s="6">
        <v>0</v>
      </c>
      <c r="D338" s="6">
        <v>10</v>
      </c>
      <c r="E338" s="6">
        <v>1</v>
      </c>
      <c r="F338" s="6">
        <v>1</v>
      </c>
      <c r="G338" s="15">
        <v>46085</v>
      </c>
      <c r="H338" s="15" t="str">
        <f t="shared" si="20"/>
        <v>Wednesday</v>
      </c>
      <c r="I338" s="11">
        <v>195</v>
      </c>
      <c r="J338" s="24">
        <f t="shared" si="21"/>
        <v>1950</v>
      </c>
      <c r="K338">
        <f t="shared" si="22"/>
        <v>0</v>
      </c>
      <c r="L338" t="str">
        <f t="shared" si="23"/>
        <v>Low Stock</v>
      </c>
    </row>
    <row r="339" spans="1:12" x14ac:dyDescent="0.45">
      <c r="A339" s="21" t="s">
        <v>339</v>
      </c>
      <c r="B339" s="7">
        <v>-84</v>
      </c>
      <c r="C339" s="7">
        <v>0</v>
      </c>
      <c r="D339" s="7">
        <v>20</v>
      </c>
      <c r="E339" s="7">
        <v>2</v>
      </c>
      <c r="F339" s="7">
        <v>2</v>
      </c>
      <c r="G339" s="16">
        <v>46084</v>
      </c>
      <c r="H339" s="16" t="str">
        <f t="shared" si="20"/>
        <v>Tuesday</v>
      </c>
      <c r="I339" s="12">
        <v>187</v>
      </c>
      <c r="J339" s="9">
        <f t="shared" si="21"/>
        <v>3740</v>
      </c>
      <c r="K339">
        <f t="shared" si="22"/>
        <v>0</v>
      </c>
      <c r="L339" t="str">
        <f t="shared" si="23"/>
        <v>Low Stock</v>
      </c>
    </row>
    <row r="340" spans="1:12" x14ac:dyDescent="0.45">
      <c r="A340" s="20" t="s">
        <v>423</v>
      </c>
      <c r="B340" s="6">
        <v>0</v>
      </c>
      <c r="C340" s="6">
        <v>0</v>
      </c>
      <c r="D340" s="6">
        <v>2</v>
      </c>
      <c r="E340" s="6">
        <v>2</v>
      </c>
      <c r="F340" s="6">
        <v>2</v>
      </c>
      <c r="G340" s="15">
        <v>46084</v>
      </c>
      <c r="H340" s="15" t="str">
        <f t="shared" si="20"/>
        <v>Tuesday</v>
      </c>
      <c r="I340" s="11">
        <v>110</v>
      </c>
      <c r="J340" s="24">
        <f t="shared" si="21"/>
        <v>220</v>
      </c>
      <c r="K340">
        <f t="shared" si="22"/>
        <v>0</v>
      </c>
      <c r="L340" t="str">
        <f t="shared" si="23"/>
        <v>Low Stock</v>
      </c>
    </row>
    <row r="341" spans="1:12" x14ac:dyDescent="0.45">
      <c r="A341" s="21"/>
      <c r="B341" s="7"/>
      <c r="C341" s="7"/>
      <c r="D341" s="7"/>
      <c r="E341" s="7"/>
      <c r="F341" s="7"/>
      <c r="G341" s="16">
        <v>46083</v>
      </c>
      <c r="H341" s="16" t="str">
        <f t="shared" si="20"/>
        <v>Monday</v>
      </c>
      <c r="I341" s="12">
        <v>122</v>
      </c>
      <c r="J341" s="9">
        <f t="shared" si="21"/>
        <v>0</v>
      </c>
      <c r="K341">
        <f t="shared" si="22"/>
        <v>0</v>
      </c>
      <c r="L341" t="str">
        <f t="shared" si="23"/>
        <v>Low Stock</v>
      </c>
    </row>
    <row r="342" spans="1:12" x14ac:dyDescent="0.45">
      <c r="A342" s="20" t="s">
        <v>115</v>
      </c>
      <c r="B342" s="6">
        <v>0</v>
      </c>
      <c r="C342" s="6">
        <v>0</v>
      </c>
      <c r="D342" s="6">
        <v>6</v>
      </c>
      <c r="E342" s="6">
        <v>6</v>
      </c>
      <c r="F342" s="6">
        <v>5</v>
      </c>
      <c r="G342" s="15">
        <v>46086</v>
      </c>
      <c r="H342" s="15" t="str">
        <f t="shared" si="20"/>
        <v>Thursday</v>
      </c>
      <c r="I342" s="11">
        <v>123</v>
      </c>
      <c r="J342" s="24">
        <f t="shared" si="21"/>
        <v>738</v>
      </c>
      <c r="K342">
        <f t="shared" si="22"/>
        <v>0</v>
      </c>
      <c r="L342" t="str">
        <f t="shared" si="23"/>
        <v>Low Stock</v>
      </c>
    </row>
    <row r="343" spans="1:12" x14ac:dyDescent="0.45">
      <c r="A343" s="21" t="s">
        <v>136</v>
      </c>
      <c r="B343" s="7">
        <v>-13</v>
      </c>
      <c r="C343" s="7">
        <v>0</v>
      </c>
      <c r="D343" s="7">
        <v>4</v>
      </c>
      <c r="E343" s="7">
        <v>4</v>
      </c>
      <c r="F343" s="7">
        <v>4</v>
      </c>
      <c r="G343" s="16">
        <v>46084</v>
      </c>
      <c r="H343" s="16" t="str">
        <f t="shared" si="20"/>
        <v>Tuesday</v>
      </c>
      <c r="I343" s="12">
        <v>184</v>
      </c>
      <c r="J343" s="9">
        <f t="shared" si="21"/>
        <v>736</v>
      </c>
      <c r="K343">
        <f t="shared" si="22"/>
        <v>0</v>
      </c>
      <c r="L343" t="str">
        <f t="shared" si="23"/>
        <v>Low Stock</v>
      </c>
    </row>
    <row r="344" spans="1:12" x14ac:dyDescent="0.45">
      <c r="A344" s="20" t="s">
        <v>162</v>
      </c>
      <c r="B344" s="6">
        <v>0</v>
      </c>
      <c r="C344" s="6">
        <v>0</v>
      </c>
      <c r="D344" s="6">
        <v>75</v>
      </c>
      <c r="E344" s="6">
        <v>4</v>
      </c>
      <c r="F344" s="6">
        <v>4</v>
      </c>
      <c r="G344" s="15">
        <v>46085</v>
      </c>
      <c r="H344" s="15" t="str">
        <f t="shared" si="20"/>
        <v>Wednesday</v>
      </c>
      <c r="I344" s="11">
        <v>74</v>
      </c>
      <c r="J344" s="24">
        <f t="shared" si="21"/>
        <v>5550</v>
      </c>
      <c r="K344">
        <f t="shared" si="22"/>
        <v>0</v>
      </c>
      <c r="L344" t="str">
        <f t="shared" si="23"/>
        <v>Low Stock</v>
      </c>
    </row>
    <row r="345" spans="1:12" x14ac:dyDescent="0.45">
      <c r="A345" s="21" t="s">
        <v>617</v>
      </c>
      <c r="B345" s="7">
        <v>40</v>
      </c>
      <c r="C345" s="7">
        <v>10</v>
      </c>
      <c r="D345" s="7">
        <v>120</v>
      </c>
      <c r="E345" s="7">
        <v>6</v>
      </c>
      <c r="F345" s="7">
        <v>5</v>
      </c>
      <c r="G345" s="16">
        <v>46087</v>
      </c>
      <c r="H345" s="16" t="str">
        <f t="shared" si="20"/>
        <v>Friday</v>
      </c>
      <c r="I345" s="12">
        <v>74</v>
      </c>
      <c r="J345" s="9">
        <f t="shared" si="21"/>
        <v>8880</v>
      </c>
      <c r="K345">
        <f t="shared" si="22"/>
        <v>40</v>
      </c>
      <c r="L345" t="str">
        <f t="shared" si="23"/>
        <v>OK</v>
      </c>
    </row>
    <row r="346" spans="1:12" x14ac:dyDescent="0.45">
      <c r="A346" s="20" t="s">
        <v>673</v>
      </c>
      <c r="B346" s="6">
        <v>3</v>
      </c>
      <c r="C346" s="6">
        <v>15</v>
      </c>
      <c r="D346" s="6">
        <v>6</v>
      </c>
      <c r="E346" s="6">
        <v>6</v>
      </c>
      <c r="F346" s="6">
        <v>6</v>
      </c>
      <c r="G346" s="15">
        <v>46083</v>
      </c>
      <c r="H346" s="15" t="str">
        <f t="shared" si="20"/>
        <v>Monday</v>
      </c>
      <c r="I346" s="11">
        <v>70</v>
      </c>
      <c r="J346" s="24">
        <f t="shared" si="21"/>
        <v>420</v>
      </c>
      <c r="K346">
        <f t="shared" si="22"/>
        <v>3</v>
      </c>
      <c r="L346" t="str">
        <f t="shared" si="23"/>
        <v>Low Stock</v>
      </c>
    </row>
    <row r="347" spans="1:12" x14ac:dyDescent="0.45">
      <c r="A347" s="21" t="s">
        <v>870</v>
      </c>
      <c r="B347" s="7">
        <v>90</v>
      </c>
      <c r="C347" s="7">
        <v>22</v>
      </c>
      <c r="D347" s="7">
        <v>120</v>
      </c>
      <c r="E347" s="7">
        <v>4</v>
      </c>
      <c r="F347" s="7">
        <v>3</v>
      </c>
      <c r="G347" s="16">
        <v>46088</v>
      </c>
      <c r="H347" s="16" t="str">
        <f t="shared" si="20"/>
        <v>Saturday</v>
      </c>
      <c r="I347" s="12">
        <v>115</v>
      </c>
      <c r="J347" s="9">
        <f t="shared" si="21"/>
        <v>13800</v>
      </c>
      <c r="K347">
        <f t="shared" si="22"/>
        <v>90</v>
      </c>
      <c r="L347" t="str">
        <f t="shared" si="23"/>
        <v>OK</v>
      </c>
    </row>
    <row r="348" spans="1:12" x14ac:dyDescent="0.45">
      <c r="A348" s="20" t="s">
        <v>1014</v>
      </c>
      <c r="B348" s="6">
        <v>28</v>
      </c>
      <c r="C348" s="6">
        <v>20</v>
      </c>
      <c r="D348" s="6">
        <v>42</v>
      </c>
      <c r="E348" s="6">
        <v>3</v>
      </c>
      <c r="F348" s="6">
        <v>3</v>
      </c>
      <c r="G348" s="15">
        <v>46083</v>
      </c>
      <c r="H348" s="15" t="str">
        <f t="shared" si="20"/>
        <v>Monday</v>
      </c>
      <c r="I348" s="11">
        <v>61</v>
      </c>
      <c r="J348" s="24">
        <f t="shared" si="21"/>
        <v>2562</v>
      </c>
      <c r="K348">
        <f t="shared" si="22"/>
        <v>28</v>
      </c>
      <c r="L348" t="str">
        <f t="shared" si="23"/>
        <v>OK</v>
      </c>
    </row>
    <row r="349" spans="1:12" x14ac:dyDescent="0.45">
      <c r="A349" s="21" t="s">
        <v>1150</v>
      </c>
      <c r="B349" s="7">
        <v>1</v>
      </c>
      <c r="C349" s="7">
        <v>30</v>
      </c>
      <c r="D349" s="7">
        <v>1</v>
      </c>
      <c r="E349" s="7">
        <v>1</v>
      </c>
      <c r="F349" s="7">
        <v>1</v>
      </c>
      <c r="G349" s="16">
        <v>46083</v>
      </c>
      <c r="H349" s="16" t="str">
        <f t="shared" si="20"/>
        <v>Monday</v>
      </c>
      <c r="I349" s="12">
        <v>140</v>
      </c>
      <c r="J349" s="9">
        <f t="shared" si="21"/>
        <v>140</v>
      </c>
      <c r="K349">
        <f t="shared" si="22"/>
        <v>1</v>
      </c>
      <c r="L349" t="str">
        <f t="shared" si="23"/>
        <v>Low Stock</v>
      </c>
    </row>
    <row r="350" spans="1:12" x14ac:dyDescent="0.45">
      <c r="A350" s="20" t="s">
        <v>161</v>
      </c>
      <c r="B350" s="6">
        <v>-20</v>
      </c>
      <c r="C350" s="6">
        <v>0</v>
      </c>
      <c r="D350" s="6">
        <v>40</v>
      </c>
      <c r="E350" s="6">
        <v>3</v>
      </c>
      <c r="F350" s="6">
        <v>3</v>
      </c>
      <c r="G350" s="15">
        <v>46088</v>
      </c>
      <c r="H350" s="15" t="str">
        <f t="shared" si="20"/>
        <v>Saturday</v>
      </c>
      <c r="I350" s="11">
        <v>136</v>
      </c>
      <c r="J350" s="24">
        <f t="shared" si="21"/>
        <v>5440</v>
      </c>
      <c r="K350">
        <f t="shared" si="22"/>
        <v>0</v>
      </c>
      <c r="L350" t="str">
        <f t="shared" si="23"/>
        <v>Low Stock</v>
      </c>
    </row>
    <row r="351" spans="1:12" x14ac:dyDescent="0.45">
      <c r="A351" s="21" t="s">
        <v>188</v>
      </c>
      <c r="B351" s="7">
        <v>-10</v>
      </c>
      <c r="C351" s="7">
        <v>0</v>
      </c>
      <c r="D351" s="7">
        <v>1</v>
      </c>
      <c r="E351" s="7">
        <v>1</v>
      </c>
      <c r="F351" s="7">
        <v>1</v>
      </c>
      <c r="G351" s="16">
        <v>46084</v>
      </c>
      <c r="H351" s="16" t="str">
        <f t="shared" si="20"/>
        <v>Tuesday</v>
      </c>
      <c r="I351" s="12">
        <v>103</v>
      </c>
      <c r="J351" s="9">
        <f t="shared" si="21"/>
        <v>103</v>
      </c>
      <c r="K351">
        <f t="shared" si="22"/>
        <v>0</v>
      </c>
      <c r="L351" t="str">
        <f t="shared" si="23"/>
        <v>Low Stock</v>
      </c>
    </row>
    <row r="352" spans="1:12" x14ac:dyDescent="0.45">
      <c r="A352" s="20" t="s">
        <v>204</v>
      </c>
      <c r="B352" s="6">
        <v>0</v>
      </c>
      <c r="C352" s="6">
        <v>0</v>
      </c>
      <c r="D352" s="6">
        <v>1</v>
      </c>
      <c r="E352" s="6">
        <v>1</v>
      </c>
      <c r="F352" s="6">
        <v>1</v>
      </c>
      <c r="G352" s="15">
        <v>46085</v>
      </c>
      <c r="H352" s="15" t="str">
        <f t="shared" si="20"/>
        <v>Wednesday</v>
      </c>
      <c r="I352" s="11">
        <v>128</v>
      </c>
      <c r="J352" s="24">
        <f t="shared" si="21"/>
        <v>128</v>
      </c>
      <c r="K352">
        <f t="shared" si="22"/>
        <v>0</v>
      </c>
      <c r="L352" t="str">
        <f t="shared" si="23"/>
        <v>Low Stock</v>
      </c>
    </row>
    <row r="353" spans="1:12" x14ac:dyDescent="0.45">
      <c r="A353" s="21" t="s">
        <v>239</v>
      </c>
      <c r="B353" s="7">
        <v>0</v>
      </c>
      <c r="C353" s="7">
        <v>0</v>
      </c>
      <c r="D353" s="7">
        <v>2</v>
      </c>
      <c r="E353" s="7">
        <v>2</v>
      </c>
      <c r="F353" s="7">
        <v>2</v>
      </c>
      <c r="G353" s="16">
        <v>46087</v>
      </c>
      <c r="H353" s="16" t="str">
        <f t="shared" si="20"/>
        <v>Friday</v>
      </c>
      <c r="I353" s="12">
        <v>70</v>
      </c>
      <c r="J353" s="9">
        <f t="shared" si="21"/>
        <v>140</v>
      </c>
      <c r="K353">
        <f t="shared" si="22"/>
        <v>0</v>
      </c>
      <c r="L353" t="str">
        <f t="shared" si="23"/>
        <v>Low Stock</v>
      </c>
    </row>
    <row r="354" spans="1:12" x14ac:dyDescent="0.45">
      <c r="A354" s="20" t="s">
        <v>444</v>
      </c>
      <c r="B354" s="6">
        <v>0</v>
      </c>
      <c r="C354" s="6">
        <v>0</v>
      </c>
      <c r="D354" s="6">
        <v>20</v>
      </c>
      <c r="E354" s="6">
        <v>2</v>
      </c>
      <c r="F354" s="6">
        <v>2</v>
      </c>
      <c r="G354" s="15">
        <v>46088</v>
      </c>
      <c r="H354" s="15" t="str">
        <f t="shared" si="20"/>
        <v>Saturday</v>
      </c>
      <c r="I354" s="11">
        <v>66</v>
      </c>
      <c r="J354" s="24">
        <f t="shared" si="21"/>
        <v>1320</v>
      </c>
      <c r="K354">
        <f t="shared" si="22"/>
        <v>0</v>
      </c>
      <c r="L354" t="str">
        <f t="shared" si="23"/>
        <v>Low Stock</v>
      </c>
    </row>
    <row r="355" spans="1:12" x14ac:dyDescent="0.45">
      <c r="A355" s="21" t="s">
        <v>681</v>
      </c>
      <c r="B355" s="7">
        <v>30</v>
      </c>
      <c r="C355" s="7">
        <v>15</v>
      </c>
      <c r="D355" s="7">
        <v>60</v>
      </c>
      <c r="E355" s="7">
        <v>3</v>
      </c>
      <c r="F355" s="7">
        <v>3</v>
      </c>
      <c r="G355" s="16">
        <v>46083</v>
      </c>
      <c r="H355" s="16" t="str">
        <f t="shared" si="20"/>
        <v>Monday</v>
      </c>
      <c r="I355" s="12">
        <v>111</v>
      </c>
      <c r="J355" s="9">
        <f t="shared" si="21"/>
        <v>6660</v>
      </c>
      <c r="K355">
        <f t="shared" si="22"/>
        <v>30</v>
      </c>
      <c r="L355" t="str">
        <f t="shared" si="23"/>
        <v>OK</v>
      </c>
    </row>
    <row r="356" spans="1:12" x14ac:dyDescent="0.45">
      <c r="A356" s="20" t="s">
        <v>691</v>
      </c>
      <c r="B356" s="6">
        <v>3</v>
      </c>
      <c r="C356" s="6">
        <v>15</v>
      </c>
      <c r="D356" s="6">
        <v>6</v>
      </c>
      <c r="E356" s="6">
        <v>6</v>
      </c>
      <c r="F356" s="6">
        <v>6</v>
      </c>
      <c r="G356" s="15">
        <v>46085</v>
      </c>
      <c r="H356" s="15" t="str">
        <f t="shared" si="20"/>
        <v>Wednesday</v>
      </c>
      <c r="I356" s="11">
        <v>127</v>
      </c>
      <c r="J356" s="24">
        <f t="shared" si="21"/>
        <v>762</v>
      </c>
      <c r="K356">
        <f t="shared" si="22"/>
        <v>3</v>
      </c>
      <c r="L356" t="str">
        <f t="shared" si="23"/>
        <v>Low Stock</v>
      </c>
    </row>
    <row r="357" spans="1:12" x14ac:dyDescent="0.45">
      <c r="A357" s="21" t="s">
        <v>704</v>
      </c>
      <c r="B357" s="7">
        <v>50</v>
      </c>
      <c r="C357" s="7">
        <v>15</v>
      </c>
      <c r="D357" s="7">
        <v>100</v>
      </c>
      <c r="E357" s="7">
        <v>2</v>
      </c>
      <c r="F357" s="7">
        <v>2</v>
      </c>
      <c r="G357" s="16">
        <v>46082</v>
      </c>
      <c r="H357" s="16" t="str">
        <f t="shared" si="20"/>
        <v>Sunday</v>
      </c>
      <c r="I357" s="12">
        <v>70</v>
      </c>
      <c r="J357" s="9">
        <f t="shared" si="21"/>
        <v>7000</v>
      </c>
      <c r="K357">
        <f t="shared" si="22"/>
        <v>50</v>
      </c>
      <c r="L357" t="str">
        <f t="shared" si="23"/>
        <v>OK</v>
      </c>
    </row>
    <row r="358" spans="1:12" x14ac:dyDescent="0.45">
      <c r="A358" s="20" t="s">
        <v>744</v>
      </c>
      <c r="B358" s="6">
        <v>75</v>
      </c>
      <c r="C358" s="6">
        <v>30</v>
      </c>
      <c r="D358" s="6">
        <v>75</v>
      </c>
      <c r="E358" s="6">
        <v>4</v>
      </c>
      <c r="F358" s="6">
        <v>4</v>
      </c>
      <c r="G358" s="15">
        <v>46087</v>
      </c>
      <c r="H358" s="15" t="str">
        <f t="shared" si="20"/>
        <v>Friday</v>
      </c>
      <c r="I358" s="11">
        <v>70</v>
      </c>
      <c r="J358" s="24">
        <f t="shared" si="21"/>
        <v>5250</v>
      </c>
      <c r="K358">
        <f t="shared" si="22"/>
        <v>75</v>
      </c>
      <c r="L358" t="str">
        <f t="shared" si="23"/>
        <v>OK</v>
      </c>
    </row>
    <row r="359" spans="1:12" x14ac:dyDescent="0.45">
      <c r="A359" s="21" t="s">
        <v>751</v>
      </c>
      <c r="B359" s="7">
        <v>75</v>
      </c>
      <c r="C359" s="7">
        <v>16</v>
      </c>
      <c r="D359" s="7">
        <v>135</v>
      </c>
      <c r="E359" s="7">
        <v>9</v>
      </c>
      <c r="F359" s="7">
        <v>8</v>
      </c>
      <c r="G359" s="16">
        <v>46088</v>
      </c>
      <c r="H359" s="16" t="str">
        <f t="shared" si="20"/>
        <v>Saturday</v>
      </c>
      <c r="I359" s="12">
        <v>68</v>
      </c>
      <c r="J359" s="9">
        <f t="shared" si="21"/>
        <v>9180</v>
      </c>
      <c r="K359">
        <f t="shared" si="22"/>
        <v>75</v>
      </c>
      <c r="L359" t="str">
        <f t="shared" si="23"/>
        <v>OK</v>
      </c>
    </row>
    <row r="360" spans="1:12" x14ac:dyDescent="0.45">
      <c r="A360" s="20" t="s">
        <v>766</v>
      </c>
      <c r="B360" s="6">
        <v>75</v>
      </c>
      <c r="C360" s="6">
        <v>30</v>
      </c>
      <c r="D360" s="6">
        <v>75</v>
      </c>
      <c r="E360" s="6">
        <v>5</v>
      </c>
      <c r="F360" s="6">
        <v>5</v>
      </c>
      <c r="G360" s="15">
        <v>46083</v>
      </c>
      <c r="H360" s="15" t="str">
        <f t="shared" si="20"/>
        <v>Monday</v>
      </c>
      <c r="I360" s="11">
        <v>136</v>
      </c>
      <c r="J360" s="24">
        <f t="shared" si="21"/>
        <v>10200</v>
      </c>
      <c r="K360">
        <f t="shared" si="22"/>
        <v>75</v>
      </c>
      <c r="L360" t="str">
        <f t="shared" si="23"/>
        <v>OK</v>
      </c>
    </row>
    <row r="361" spans="1:12" x14ac:dyDescent="0.45">
      <c r="A361" s="21" t="s">
        <v>959</v>
      </c>
      <c r="B361" s="7">
        <v>15</v>
      </c>
      <c r="C361" s="7">
        <v>30</v>
      </c>
      <c r="D361" s="7">
        <v>15</v>
      </c>
      <c r="E361" s="7">
        <v>1</v>
      </c>
      <c r="F361" s="7">
        <v>1</v>
      </c>
      <c r="G361" s="16">
        <v>46084</v>
      </c>
      <c r="H361" s="16" t="str">
        <f t="shared" si="20"/>
        <v>Tuesday</v>
      </c>
      <c r="I361" s="12">
        <v>124</v>
      </c>
      <c r="J361" s="9">
        <f t="shared" si="21"/>
        <v>1860</v>
      </c>
      <c r="K361">
        <f t="shared" si="22"/>
        <v>15</v>
      </c>
      <c r="L361" t="str">
        <f t="shared" si="23"/>
        <v>OK</v>
      </c>
    </row>
    <row r="362" spans="1:12" x14ac:dyDescent="0.45">
      <c r="A362" s="20" t="s">
        <v>1095</v>
      </c>
      <c r="B362" s="6">
        <v>30</v>
      </c>
      <c r="C362" s="6">
        <v>30</v>
      </c>
      <c r="D362" s="6">
        <v>30</v>
      </c>
      <c r="E362" s="6">
        <v>3</v>
      </c>
      <c r="F362" s="6">
        <v>2</v>
      </c>
      <c r="G362" s="15">
        <v>46082</v>
      </c>
      <c r="H362" s="15" t="str">
        <f t="shared" si="20"/>
        <v>Sunday</v>
      </c>
      <c r="I362" s="11">
        <v>131</v>
      </c>
      <c r="J362" s="24">
        <f t="shared" si="21"/>
        <v>3930</v>
      </c>
      <c r="K362">
        <f t="shared" si="22"/>
        <v>30</v>
      </c>
      <c r="L362" t="str">
        <f t="shared" si="23"/>
        <v>OK</v>
      </c>
    </row>
    <row r="363" spans="1:12" x14ac:dyDescent="0.45">
      <c r="A363" s="21" t="s">
        <v>1157</v>
      </c>
      <c r="B363" s="7">
        <v>4</v>
      </c>
      <c r="C363" s="7">
        <v>30</v>
      </c>
      <c r="D363" s="7">
        <v>4</v>
      </c>
      <c r="E363" s="7">
        <v>4</v>
      </c>
      <c r="F363" s="7">
        <v>4</v>
      </c>
      <c r="G363" s="16">
        <v>46084</v>
      </c>
      <c r="H363" s="16" t="str">
        <f t="shared" si="20"/>
        <v>Tuesday</v>
      </c>
      <c r="I363" s="12">
        <v>108</v>
      </c>
      <c r="J363" s="9">
        <f t="shared" si="21"/>
        <v>432</v>
      </c>
      <c r="K363">
        <f t="shared" si="22"/>
        <v>4</v>
      </c>
      <c r="L363" t="str">
        <f t="shared" si="23"/>
        <v>Low Stock</v>
      </c>
    </row>
    <row r="364" spans="1:12" x14ac:dyDescent="0.45">
      <c r="A364" s="20" t="s">
        <v>1170</v>
      </c>
      <c r="B364" s="6">
        <v>210</v>
      </c>
      <c r="C364" s="6">
        <v>30</v>
      </c>
      <c r="D364" s="6">
        <v>210</v>
      </c>
      <c r="E364" s="6">
        <v>7</v>
      </c>
      <c r="F364" s="6">
        <v>6</v>
      </c>
      <c r="G364" s="15">
        <v>46088</v>
      </c>
      <c r="H364" s="15" t="str">
        <f t="shared" si="20"/>
        <v>Saturday</v>
      </c>
      <c r="I364" s="11">
        <v>119</v>
      </c>
      <c r="J364" s="24">
        <f t="shared" si="21"/>
        <v>24990</v>
      </c>
      <c r="K364">
        <f t="shared" si="22"/>
        <v>210</v>
      </c>
      <c r="L364" t="str">
        <f t="shared" si="23"/>
        <v>OK</v>
      </c>
    </row>
    <row r="365" spans="1:12" x14ac:dyDescent="0.45">
      <c r="A365" s="21" t="s">
        <v>52</v>
      </c>
      <c r="B365" s="7">
        <v>-15</v>
      </c>
      <c r="C365" s="7">
        <v>0</v>
      </c>
      <c r="D365" s="7">
        <v>60</v>
      </c>
      <c r="E365" s="7">
        <v>3</v>
      </c>
      <c r="F365" s="7">
        <v>3</v>
      </c>
      <c r="G365" s="16">
        <v>46086</v>
      </c>
      <c r="H365" s="16" t="str">
        <f t="shared" si="20"/>
        <v>Thursday</v>
      </c>
      <c r="I365" s="12">
        <v>82</v>
      </c>
      <c r="J365" s="9">
        <f t="shared" si="21"/>
        <v>4920</v>
      </c>
      <c r="K365">
        <f t="shared" si="22"/>
        <v>0</v>
      </c>
      <c r="L365" t="str">
        <f t="shared" si="23"/>
        <v>Low Stock</v>
      </c>
    </row>
    <row r="366" spans="1:12" x14ac:dyDescent="0.45">
      <c r="A366" s="20" t="s">
        <v>159</v>
      </c>
      <c r="B366" s="6">
        <v>0</v>
      </c>
      <c r="C366" s="6">
        <v>0</v>
      </c>
      <c r="D366" s="6">
        <v>5</v>
      </c>
      <c r="E366" s="6">
        <v>5</v>
      </c>
      <c r="F366" s="6">
        <v>5</v>
      </c>
      <c r="G366" s="15">
        <v>46085</v>
      </c>
      <c r="H366" s="15" t="str">
        <f t="shared" si="20"/>
        <v>Wednesday</v>
      </c>
      <c r="I366" s="11">
        <v>185</v>
      </c>
      <c r="J366" s="24">
        <f t="shared" si="21"/>
        <v>925</v>
      </c>
      <c r="K366">
        <f t="shared" si="22"/>
        <v>0</v>
      </c>
      <c r="L366" t="str">
        <f t="shared" si="23"/>
        <v>Low Stock</v>
      </c>
    </row>
    <row r="367" spans="1:12" x14ac:dyDescent="0.45">
      <c r="A367" s="21" t="s">
        <v>409</v>
      </c>
      <c r="B367" s="7">
        <v>0</v>
      </c>
      <c r="C367" s="7">
        <v>0</v>
      </c>
      <c r="D367" s="7">
        <v>60</v>
      </c>
      <c r="E367" s="7">
        <v>2</v>
      </c>
      <c r="F367" s="7">
        <v>2</v>
      </c>
      <c r="G367" s="16">
        <v>46083</v>
      </c>
      <c r="H367" s="16" t="str">
        <f t="shared" si="20"/>
        <v>Monday</v>
      </c>
      <c r="I367" s="12">
        <v>135</v>
      </c>
      <c r="J367" s="9">
        <f t="shared" si="21"/>
        <v>8100</v>
      </c>
      <c r="K367">
        <f t="shared" si="22"/>
        <v>0</v>
      </c>
      <c r="L367" t="str">
        <f t="shared" si="23"/>
        <v>Low Stock</v>
      </c>
    </row>
    <row r="368" spans="1:12" x14ac:dyDescent="0.45">
      <c r="A368" s="20" t="s">
        <v>439</v>
      </c>
      <c r="B368" s="6">
        <v>0</v>
      </c>
      <c r="C368" s="6">
        <v>0</v>
      </c>
      <c r="D368" s="6">
        <v>3</v>
      </c>
      <c r="E368" s="6">
        <v>3</v>
      </c>
      <c r="F368" s="6">
        <v>3</v>
      </c>
      <c r="G368" s="15">
        <v>46085</v>
      </c>
      <c r="H368" s="15" t="str">
        <f t="shared" si="20"/>
        <v>Wednesday</v>
      </c>
      <c r="I368" s="11">
        <v>91</v>
      </c>
      <c r="J368" s="24">
        <f t="shared" si="21"/>
        <v>273</v>
      </c>
      <c r="K368">
        <f t="shared" si="22"/>
        <v>0</v>
      </c>
      <c r="L368" t="str">
        <f t="shared" si="23"/>
        <v>Low Stock</v>
      </c>
    </row>
    <row r="369" spans="1:12" x14ac:dyDescent="0.45">
      <c r="A369" s="21" t="s">
        <v>440</v>
      </c>
      <c r="B369" s="7">
        <v>9</v>
      </c>
      <c r="C369" s="7">
        <v>7</v>
      </c>
      <c r="D369" s="7">
        <v>36</v>
      </c>
      <c r="E369" s="7">
        <v>4</v>
      </c>
      <c r="F369" s="7">
        <v>4</v>
      </c>
      <c r="G369" s="16">
        <v>46086</v>
      </c>
      <c r="H369" s="16" t="str">
        <f t="shared" si="20"/>
        <v>Thursday</v>
      </c>
      <c r="I369" s="12">
        <v>150</v>
      </c>
      <c r="J369" s="9">
        <f t="shared" si="21"/>
        <v>5400</v>
      </c>
      <c r="K369">
        <f t="shared" si="22"/>
        <v>9</v>
      </c>
      <c r="L369" t="str">
        <f t="shared" si="23"/>
        <v>OK</v>
      </c>
    </row>
    <row r="370" spans="1:12" x14ac:dyDescent="0.45">
      <c r="A370" s="20" t="s">
        <v>524</v>
      </c>
      <c r="B370" s="6">
        <v>120</v>
      </c>
      <c r="C370" s="6">
        <v>10</v>
      </c>
      <c r="D370" s="6">
        <v>360</v>
      </c>
      <c r="E370" s="6">
        <v>9</v>
      </c>
      <c r="F370" s="6">
        <v>9</v>
      </c>
      <c r="G370" s="15">
        <v>46082</v>
      </c>
      <c r="H370" s="15" t="str">
        <f t="shared" si="20"/>
        <v>Sunday</v>
      </c>
      <c r="I370" s="11">
        <v>91</v>
      </c>
      <c r="J370" s="24">
        <f t="shared" si="21"/>
        <v>32760</v>
      </c>
      <c r="K370">
        <f t="shared" si="22"/>
        <v>120</v>
      </c>
      <c r="L370" t="str">
        <f t="shared" si="23"/>
        <v>OK</v>
      </c>
    </row>
    <row r="371" spans="1:12" x14ac:dyDescent="0.45">
      <c r="A371" s="21"/>
      <c r="B371" s="7"/>
      <c r="C371" s="7"/>
      <c r="D371" s="7"/>
      <c r="E371" s="7"/>
      <c r="F371" s="7"/>
      <c r="G371" s="16">
        <v>46082</v>
      </c>
      <c r="H371" s="16" t="str">
        <f t="shared" si="20"/>
        <v>Sunday</v>
      </c>
      <c r="I371" s="12">
        <v>89</v>
      </c>
      <c r="J371" s="9">
        <f t="shared" si="21"/>
        <v>0</v>
      </c>
      <c r="K371">
        <f t="shared" si="22"/>
        <v>0</v>
      </c>
      <c r="L371" t="str">
        <f t="shared" si="23"/>
        <v>Low Stock</v>
      </c>
    </row>
    <row r="372" spans="1:12" x14ac:dyDescent="0.45">
      <c r="A372" s="20" t="s">
        <v>755</v>
      </c>
      <c r="B372" s="6">
        <v>60</v>
      </c>
      <c r="C372" s="6">
        <v>16</v>
      </c>
      <c r="D372" s="6">
        <v>110</v>
      </c>
      <c r="E372" s="6">
        <v>8</v>
      </c>
      <c r="F372" s="6">
        <v>8</v>
      </c>
      <c r="G372" s="15">
        <v>46086</v>
      </c>
      <c r="H372" s="15" t="str">
        <f t="shared" si="20"/>
        <v>Thursday</v>
      </c>
      <c r="I372" s="11">
        <v>64</v>
      </c>
      <c r="J372" s="24">
        <f t="shared" si="21"/>
        <v>7040</v>
      </c>
      <c r="K372">
        <f t="shared" si="22"/>
        <v>60</v>
      </c>
      <c r="L372" t="str">
        <f t="shared" si="23"/>
        <v>OK</v>
      </c>
    </row>
    <row r="373" spans="1:12" x14ac:dyDescent="0.45">
      <c r="A373" s="21" t="s">
        <v>838</v>
      </c>
      <c r="B373" s="7">
        <v>30</v>
      </c>
      <c r="C373" s="7">
        <v>18</v>
      </c>
      <c r="D373" s="7">
        <v>50</v>
      </c>
      <c r="E373" s="7">
        <v>2</v>
      </c>
      <c r="F373" s="7">
        <v>2</v>
      </c>
      <c r="G373" s="16">
        <v>46083</v>
      </c>
      <c r="H373" s="16" t="str">
        <f t="shared" si="20"/>
        <v>Monday</v>
      </c>
      <c r="I373" s="12">
        <v>63</v>
      </c>
      <c r="J373" s="9">
        <f t="shared" si="21"/>
        <v>3150</v>
      </c>
      <c r="K373">
        <f t="shared" si="22"/>
        <v>30</v>
      </c>
      <c r="L373" t="str">
        <f t="shared" si="23"/>
        <v>OK</v>
      </c>
    </row>
    <row r="374" spans="1:12" x14ac:dyDescent="0.45">
      <c r="A374" s="20" t="s">
        <v>942</v>
      </c>
      <c r="B374" s="6">
        <v>3</v>
      </c>
      <c r="C374" s="6">
        <v>30</v>
      </c>
      <c r="D374" s="6">
        <v>3</v>
      </c>
      <c r="E374" s="6">
        <v>3</v>
      </c>
      <c r="F374" s="6">
        <v>2</v>
      </c>
      <c r="G374" s="15">
        <v>46083</v>
      </c>
      <c r="H374" s="15" t="str">
        <f t="shared" si="20"/>
        <v>Monday</v>
      </c>
      <c r="I374" s="11">
        <v>101</v>
      </c>
      <c r="J374" s="24">
        <f t="shared" si="21"/>
        <v>303</v>
      </c>
      <c r="K374">
        <f t="shared" si="22"/>
        <v>3</v>
      </c>
      <c r="L374" t="str">
        <f t="shared" si="23"/>
        <v>Low Stock</v>
      </c>
    </row>
    <row r="375" spans="1:12" x14ac:dyDescent="0.45">
      <c r="A375" s="21" t="s">
        <v>1146</v>
      </c>
      <c r="B375" s="7">
        <v>4</v>
      </c>
      <c r="C375" s="7">
        <v>24</v>
      </c>
      <c r="D375" s="7">
        <v>5</v>
      </c>
      <c r="E375" s="7">
        <v>4</v>
      </c>
      <c r="F375" s="7">
        <v>4</v>
      </c>
      <c r="G375" s="16">
        <v>46087</v>
      </c>
      <c r="H375" s="16" t="str">
        <f t="shared" si="20"/>
        <v>Friday</v>
      </c>
      <c r="I375" s="12">
        <v>115</v>
      </c>
      <c r="J375" s="9">
        <f t="shared" si="21"/>
        <v>575</v>
      </c>
      <c r="K375">
        <f t="shared" si="22"/>
        <v>4</v>
      </c>
      <c r="L375" t="str">
        <f t="shared" si="23"/>
        <v>Low Stock</v>
      </c>
    </row>
    <row r="376" spans="1:12" x14ac:dyDescent="0.45">
      <c r="A376" s="20" t="s">
        <v>262</v>
      </c>
      <c r="B376" s="6">
        <v>-4</v>
      </c>
      <c r="C376" s="6">
        <v>0</v>
      </c>
      <c r="D376" s="6">
        <v>1</v>
      </c>
      <c r="E376" s="6">
        <v>1</v>
      </c>
      <c r="F376" s="6">
        <v>1</v>
      </c>
      <c r="G376" s="15">
        <v>46084</v>
      </c>
      <c r="H376" s="15" t="str">
        <f t="shared" si="20"/>
        <v>Tuesday</v>
      </c>
      <c r="I376" s="11">
        <v>164</v>
      </c>
      <c r="J376" s="24">
        <f t="shared" si="21"/>
        <v>164</v>
      </c>
      <c r="K376">
        <f t="shared" si="22"/>
        <v>0</v>
      </c>
      <c r="L376" t="str">
        <f t="shared" si="23"/>
        <v>Low Stock</v>
      </c>
    </row>
    <row r="377" spans="1:12" x14ac:dyDescent="0.45">
      <c r="A377" s="21" t="s">
        <v>317</v>
      </c>
      <c r="B377" s="7">
        <v>-15</v>
      </c>
      <c r="C377" s="7">
        <v>0</v>
      </c>
      <c r="D377" s="7">
        <v>15</v>
      </c>
      <c r="E377" s="7">
        <v>1</v>
      </c>
      <c r="F377" s="7">
        <v>1</v>
      </c>
      <c r="G377" s="16">
        <v>46086</v>
      </c>
      <c r="H377" s="16" t="str">
        <f t="shared" si="20"/>
        <v>Thursday</v>
      </c>
      <c r="I377" s="12">
        <v>68</v>
      </c>
      <c r="J377" s="9">
        <f t="shared" si="21"/>
        <v>1020</v>
      </c>
      <c r="K377">
        <f t="shared" si="22"/>
        <v>0</v>
      </c>
      <c r="L377" t="str">
        <f t="shared" si="23"/>
        <v>Low Stock</v>
      </c>
    </row>
    <row r="378" spans="1:12" x14ac:dyDescent="0.45">
      <c r="A378" s="20" t="s">
        <v>396</v>
      </c>
      <c r="B378" s="6">
        <v>-3</v>
      </c>
      <c r="C378" s="6">
        <v>0</v>
      </c>
      <c r="D378" s="6">
        <v>2</v>
      </c>
      <c r="E378" s="6">
        <v>2</v>
      </c>
      <c r="F378" s="6">
        <v>2</v>
      </c>
      <c r="G378" s="15">
        <v>46082</v>
      </c>
      <c r="H378" s="15" t="str">
        <f t="shared" si="20"/>
        <v>Sunday</v>
      </c>
      <c r="I378" s="11">
        <v>83</v>
      </c>
      <c r="J378" s="24">
        <f t="shared" si="21"/>
        <v>166</v>
      </c>
      <c r="K378">
        <f t="shared" si="22"/>
        <v>0</v>
      </c>
      <c r="L378" t="str">
        <f t="shared" si="23"/>
        <v>Low Stock</v>
      </c>
    </row>
    <row r="379" spans="1:12" x14ac:dyDescent="0.45">
      <c r="A379" s="21" t="s">
        <v>443</v>
      </c>
      <c r="B379" s="7">
        <v>1</v>
      </c>
      <c r="C379" s="7">
        <v>1</v>
      </c>
      <c r="D379" s="7">
        <v>22</v>
      </c>
      <c r="E379" s="7">
        <v>6</v>
      </c>
      <c r="F379" s="7">
        <v>6</v>
      </c>
      <c r="G379" s="16">
        <v>46082</v>
      </c>
      <c r="H379" s="16" t="str">
        <f t="shared" si="20"/>
        <v>Sunday</v>
      </c>
      <c r="I379" s="12">
        <v>98</v>
      </c>
      <c r="J379" s="9">
        <f t="shared" si="21"/>
        <v>2156</v>
      </c>
      <c r="K379">
        <f t="shared" si="22"/>
        <v>1</v>
      </c>
      <c r="L379" t="str">
        <f t="shared" si="23"/>
        <v>Low Stock</v>
      </c>
    </row>
    <row r="380" spans="1:12" x14ac:dyDescent="0.45">
      <c r="A380" s="20" t="s">
        <v>527</v>
      </c>
      <c r="B380" s="6">
        <v>1</v>
      </c>
      <c r="C380" s="6">
        <v>15</v>
      </c>
      <c r="D380" s="6">
        <v>2</v>
      </c>
      <c r="E380" s="6">
        <v>1</v>
      </c>
      <c r="F380" s="6">
        <v>1</v>
      </c>
      <c r="G380" s="15">
        <v>46086</v>
      </c>
      <c r="H380" s="15" t="str">
        <f t="shared" si="20"/>
        <v>Thursday</v>
      </c>
      <c r="I380" s="11">
        <v>76</v>
      </c>
      <c r="J380" s="24">
        <f t="shared" si="21"/>
        <v>152</v>
      </c>
      <c r="K380">
        <f t="shared" si="22"/>
        <v>1</v>
      </c>
      <c r="L380" t="str">
        <f t="shared" si="23"/>
        <v>Low Stock</v>
      </c>
    </row>
    <row r="381" spans="1:12" x14ac:dyDescent="0.45">
      <c r="A381" s="21" t="s">
        <v>1058</v>
      </c>
      <c r="B381" s="7">
        <v>2</v>
      </c>
      <c r="C381" s="7">
        <v>20</v>
      </c>
      <c r="D381" s="7">
        <v>3</v>
      </c>
      <c r="E381" s="7">
        <v>3</v>
      </c>
      <c r="F381" s="7">
        <v>1</v>
      </c>
      <c r="G381" s="16">
        <v>46083</v>
      </c>
      <c r="H381" s="16" t="str">
        <f t="shared" si="20"/>
        <v>Monday</v>
      </c>
      <c r="I381" s="12">
        <v>91</v>
      </c>
      <c r="J381" s="9">
        <f t="shared" si="21"/>
        <v>273</v>
      </c>
      <c r="K381">
        <f t="shared" si="22"/>
        <v>2</v>
      </c>
      <c r="L381" t="str">
        <f t="shared" si="23"/>
        <v>Low Stock</v>
      </c>
    </row>
    <row r="382" spans="1:12" x14ac:dyDescent="0.45">
      <c r="A382" s="20" t="s">
        <v>1137</v>
      </c>
      <c r="B382" s="6">
        <v>10</v>
      </c>
      <c r="C382" s="6">
        <v>30</v>
      </c>
      <c r="D382" s="6">
        <v>10</v>
      </c>
      <c r="E382" s="6">
        <v>1</v>
      </c>
      <c r="F382" s="6">
        <v>1</v>
      </c>
      <c r="G382" s="15">
        <v>46082</v>
      </c>
      <c r="H382" s="15" t="str">
        <f t="shared" si="20"/>
        <v>Sunday</v>
      </c>
      <c r="I382" s="11">
        <v>148</v>
      </c>
      <c r="J382" s="24">
        <f t="shared" si="21"/>
        <v>1480</v>
      </c>
      <c r="K382">
        <f t="shared" si="22"/>
        <v>10</v>
      </c>
      <c r="L382" t="str">
        <f t="shared" si="23"/>
        <v>OK</v>
      </c>
    </row>
    <row r="383" spans="1:12" x14ac:dyDescent="0.45">
      <c r="A383" s="21" t="s">
        <v>35</v>
      </c>
      <c r="B383" s="7">
        <v>-45</v>
      </c>
      <c r="C383" s="7">
        <v>0</v>
      </c>
      <c r="D383" s="7">
        <v>90</v>
      </c>
      <c r="E383" s="7">
        <v>6</v>
      </c>
      <c r="F383" s="7">
        <v>5</v>
      </c>
      <c r="G383" s="16">
        <v>46087</v>
      </c>
      <c r="H383" s="16" t="str">
        <f t="shared" si="20"/>
        <v>Friday</v>
      </c>
      <c r="I383" s="12">
        <v>94</v>
      </c>
      <c r="J383" s="9">
        <f t="shared" si="21"/>
        <v>8460</v>
      </c>
      <c r="K383">
        <f t="shared" si="22"/>
        <v>0</v>
      </c>
      <c r="L383" t="str">
        <f t="shared" si="23"/>
        <v>Low Stock</v>
      </c>
    </row>
    <row r="384" spans="1:12" x14ac:dyDescent="0.45">
      <c r="A384" s="20" t="s">
        <v>87</v>
      </c>
      <c r="B384" s="6">
        <v>-116</v>
      </c>
      <c r="C384" s="6">
        <v>0</v>
      </c>
      <c r="D384" s="6">
        <v>61</v>
      </c>
      <c r="E384" s="6">
        <v>10</v>
      </c>
      <c r="F384" s="6">
        <v>9</v>
      </c>
      <c r="G384" s="15">
        <v>46087</v>
      </c>
      <c r="H384" s="15" t="str">
        <f t="shared" si="20"/>
        <v>Friday</v>
      </c>
      <c r="I384" s="11">
        <v>127</v>
      </c>
      <c r="J384" s="24">
        <f t="shared" si="21"/>
        <v>7747</v>
      </c>
      <c r="K384">
        <f t="shared" si="22"/>
        <v>0</v>
      </c>
      <c r="L384" t="str">
        <f t="shared" si="23"/>
        <v>Low Stock</v>
      </c>
    </row>
    <row r="385" spans="1:12" x14ac:dyDescent="0.45">
      <c r="A385" s="21" t="s">
        <v>171</v>
      </c>
      <c r="B385" s="7">
        <v>0</v>
      </c>
      <c r="C385" s="7">
        <v>0</v>
      </c>
      <c r="D385" s="7">
        <v>80</v>
      </c>
      <c r="E385" s="7">
        <v>7</v>
      </c>
      <c r="F385" s="7">
        <v>7</v>
      </c>
      <c r="G385" s="16">
        <v>46086</v>
      </c>
      <c r="H385" s="16" t="str">
        <f t="shared" si="20"/>
        <v>Thursday</v>
      </c>
      <c r="I385" s="12">
        <v>78</v>
      </c>
      <c r="J385" s="9">
        <f t="shared" si="21"/>
        <v>6240</v>
      </c>
      <c r="K385">
        <f t="shared" si="22"/>
        <v>0</v>
      </c>
      <c r="L385" t="str">
        <f t="shared" si="23"/>
        <v>Low Stock</v>
      </c>
    </row>
    <row r="386" spans="1:12" x14ac:dyDescent="0.45">
      <c r="A386" s="20" t="s">
        <v>379</v>
      </c>
      <c r="B386" s="6">
        <v>-1</v>
      </c>
      <c r="C386" s="6">
        <v>0</v>
      </c>
      <c r="D386" s="6">
        <v>1</v>
      </c>
      <c r="E386" s="6">
        <v>1</v>
      </c>
      <c r="F386" s="6">
        <v>1</v>
      </c>
      <c r="G386" s="15">
        <v>46085</v>
      </c>
      <c r="H386" s="15" t="str">
        <f t="shared" ref="H386:H449" si="24">TEXT(G386,"dddd")</f>
        <v>Wednesday</v>
      </c>
      <c r="I386" s="11">
        <v>154</v>
      </c>
      <c r="J386" s="24">
        <f t="shared" ref="J386:J449" si="25">D386*I386</f>
        <v>154</v>
      </c>
      <c r="K386">
        <f t="shared" ref="K386:K449" si="26">IF(B386&lt;0,0,B386)</f>
        <v>0</v>
      </c>
      <c r="L386" t="str">
        <f t="shared" ref="L386:L449" si="27">IF(K386&lt;5,"Low Stock","OK")</f>
        <v>Low Stock</v>
      </c>
    </row>
    <row r="387" spans="1:12" x14ac:dyDescent="0.45">
      <c r="A387" s="21" t="s">
        <v>557</v>
      </c>
      <c r="B387" s="7">
        <v>2</v>
      </c>
      <c r="C387" s="7">
        <v>15</v>
      </c>
      <c r="D387" s="7">
        <v>4</v>
      </c>
      <c r="E387" s="7">
        <v>4</v>
      </c>
      <c r="F387" s="7">
        <v>3</v>
      </c>
      <c r="G387" s="16">
        <v>46082</v>
      </c>
      <c r="H387" s="16" t="str">
        <f t="shared" si="24"/>
        <v>Sunday</v>
      </c>
      <c r="I387" s="12">
        <v>97</v>
      </c>
      <c r="J387" s="9">
        <f t="shared" si="25"/>
        <v>388</v>
      </c>
      <c r="K387">
        <f t="shared" si="26"/>
        <v>2</v>
      </c>
      <c r="L387" t="str">
        <f t="shared" si="27"/>
        <v>Low Stock</v>
      </c>
    </row>
    <row r="388" spans="1:12" x14ac:dyDescent="0.45">
      <c r="A388" s="20" t="s">
        <v>639</v>
      </c>
      <c r="B388" s="6">
        <v>10</v>
      </c>
      <c r="C388" s="6">
        <v>15</v>
      </c>
      <c r="D388" s="6">
        <v>20</v>
      </c>
      <c r="E388" s="6">
        <v>1</v>
      </c>
      <c r="F388" s="6">
        <v>1</v>
      </c>
      <c r="G388" s="15">
        <v>46088</v>
      </c>
      <c r="H388" s="15" t="str">
        <f t="shared" si="24"/>
        <v>Saturday</v>
      </c>
      <c r="I388" s="11">
        <v>124</v>
      </c>
      <c r="J388" s="24">
        <f t="shared" si="25"/>
        <v>2480</v>
      </c>
      <c r="K388">
        <f t="shared" si="26"/>
        <v>10</v>
      </c>
      <c r="L388" t="str">
        <f t="shared" si="27"/>
        <v>OK</v>
      </c>
    </row>
    <row r="389" spans="1:12" x14ac:dyDescent="0.45">
      <c r="A389" s="21" t="s">
        <v>643</v>
      </c>
      <c r="B389" s="7">
        <v>7</v>
      </c>
      <c r="C389" s="7">
        <v>8</v>
      </c>
      <c r="D389" s="7">
        <v>24</v>
      </c>
      <c r="E389" s="7">
        <v>3</v>
      </c>
      <c r="F389" s="7">
        <v>3</v>
      </c>
      <c r="G389" s="16">
        <v>46088</v>
      </c>
      <c r="H389" s="16" t="str">
        <f t="shared" si="24"/>
        <v>Saturday</v>
      </c>
      <c r="I389" s="12">
        <v>63</v>
      </c>
      <c r="J389" s="9">
        <f t="shared" si="25"/>
        <v>1512</v>
      </c>
      <c r="K389">
        <f t="shared" si="26"/>
        <v>7</v>
      </c>
      <c r="L389" t="str">
        <f t="shared" si="27"/>
        <v>OK</v>
      </c>
    </row>
    <row r="390" spans="1:12" x14ac:dyDescent="0.45">
      <c r="A390" s="20" t="s">
        <v>647</v>
      </c>
      <c r="B390" s="6">
        <v>50</v>
      </c>
      <c r="C390" s="6">
        <v>15</v>
      </c>
      <c r="D390" s="6">
        <v>100</v>
      </c>
      <c r="E390" s="6">
        <v>5</v>
      </c>
      <c r="F390" s="6">
        <v>5</v>
      </c>
      <c r="G390" s="15">
        <v>46087</v>
      </c>
      <c r="H390" s="15" t="str">
        <f t="shared" si="24"/>
        <v>Friday</v>
      </c>
      <c r="I390" s="11">
        <v>133</v>
      </c>
      <c r="J390" s="24">
        <f t="shared" si="25"/>
        <v>13300</v>
      </c>
      <c r="K390">
        <f t="shared" si="26"/>
        <v>50</v>
      </c>
      <c r="L390" t="str">
        <f t="shared" si="27"/>
        <v>OK</v>
      </c>
    </row>
    <row r="391" spans="1:12" x14ac:dyDescent="0.45">
      <c r="A391" s="21" t="s">
        <v>925</v>
      </c>
      <c r="B391" s="7">
        <v>80</v>
      </c>
      <c r="C391" s="7">
        <v>21</v>
      </c>
      <c r="D391" s="7">
        <v>112</v>
      </c>
      <c r="E391" s="7">
        <v>10</v>
      </c>
      <c r="F391" s="7">
        <v>8</v>
      </c>
      <c r="G391" s="16">
        <v>46086</v>
      </c>
      <c r="H391" s="16" t="str">
        <f t="shared" si="24"/>
        <v>Thursday</v>
      </c>
      <c r="I391" s="12">
        <v>92</v>
      </c>
      <c r="J391" s="9">
        <f t="shared" si="25"/>
        <v>10304</v>
      </c>
      <c r="K391">
        <f t="shared" si="26"/>
        <v>80</v>
      </c>
      <c r="L391" t="str">
        <f t="shared" si="27"/>
        <v>OK</v>
      </c>
    </row>
    <row r="392" spans="1:12" x14ac:dyDescent="0.45">
      <c r="A392" s="20" t="s">
        <v>1121</v>
      </c>
      <c r="B392" s="6">
        <v>1</v>
      </c>
      <c r="C392" s="6">
        <v>30</v>
      </c>
      <c r="D392" s="6">
        <v>1</v>
      </c>
      <c r="E392" s="6">
        <v>3</v>
      </c>
      <c r="F392" s="6">
        <v>3</v>
      </c>
      <c r="G392" s="15">
        <v>46083</v>
      </c>
      <c r="H392" s="15" t="str">
        <f t="shared" si="24"/>
        <v>Monday</v>
      </c>
      <c r="I392" s="11">
        <v>94</v>
      </c>
      <c r="J392" s="24">
        <f t="shared" si="25"/>
        <v>94</v>
      </c>
      <c r="K392">
        <f t="shared" si="26"/>
        <v>1</v>
      </c>
      <c r="L392" t="str">
        <f t="shared" si="27"/>
        <v>Low Stock</v>
      </c>
    </row>
    <row r="393" spans="1:12" x14ac:dyDescent="0.45">
      <c r="A393" s="21" t="s">
        <v>257</v>
      </c>
      <c r="B393" s="7">
        <v>0</v>
      </c>
      <c r="C393" s="7">
        <v>0</v>
      </c>
      <c r="D393" s="7">
        <v>3</v>
      </c>
      <c r="E393" s="7">
        <v>3</v>
      </c>
      <c r="F393" s="7">
        <v>2</v>
      </c>
      <c r="G393" s="16">
        <v>46082</v>
      </c>
      <c r="H393" s="16" t="str">
        <f t="shared" si="24"/>
        <v>Sunday</v>
      </c>
      <c r="I393" s="12">
        <v>196</v>
      </c>
      <c r="J393" s="9">
        <f t="shared" si="25"/>
        <v>588</v>
      </c>
      <c r="K393">
        <f t="shared" si="26"/>
        <v>0</v>
      </c>
      <c r="L393" t="str">
        <f t="shared" si="27"/>
        <v>Low Stock</v>
      </c>
    </row>
    <row r="394" spans="1:12" x14ac:dyDescent="0.45">
      <c r="A394" s="20" t="s">
        <v>278</v>
      </c>
      <c r="B394" s="6">
        <v>0</v>
      </c>
      <c r="C394" s="6">
        <v>0</v>
      </c>
      <c r="D394" s="6">
        <v>1</v>
      </c>
      <c r="E394" s="6">
        <v>1</v>
      </c>
      <c r="F394" s="6">
        <v>1</v>
      </c>
      <c r="G394" s="15">
        <v>46084</v>
      </c>
      <c r="H394" s="15" t="str">
        <f t="shared" si="24"/>
        <v>Tuesday</v>
      </c>
      <c r="I394" s="11">
        <v>162</v>
      </c>
      <c r="J394" s="24">
        <f t="shared" si="25"/>
        <v>162</v>
      </c>
      <c r="K394">
        <f t="shared" si="26"/>
        <v>0</v>
      </c>
      <c r="L394" t="str">
        <f t="shared" si="27"/>
        <v>Low Stock</v>
      </c>
    </row>
    <row r="395" spans="1:12" x14ac:dyDescent="0.45">
      <c r="A395" s="21" t="s">
        <v>618</v>
      </c>
      <c r="B395" s="7">
        <v>10</v>
      </c>
      <c r="C395" s="7">
        <v>10</v>
      </c>
      <c r="D395" s="7">
        <v>30</v>
      </c>
      <c r="E395" s="7">
        <v>3</v>
      </c>
      <c r="F395" s="7">
        <v>3</v>
      </c>
      <c r="G395" s="16">
        <v>46088</v>
      </c>
      <c r="H395" s="16" t="str">
        <f t="shared" si="24"/>
        <v>Saturday</v>
      </c>
      <c r="I395" s="12">
        <v>78</v>
      </c>
      <c r="J395" s="9">
        <f t="shared" si="25"/>
        <v>2340</v>
      </c>
      <c r="K395">
        <f t="shared" si="26"/>
        <v>10</v>
      </c>
      <c r="L395" t="str">
        <f t="shared" si="27"/>
        <v>OK</v>
      </c>
    </row>
    <row r="396" spans="1:12" x14ac:dyDescent="0.45">
      <c r="A396" s="20" t="s">
        <v>924</v>
      </c>
      <c r="B396" s="6">
        <v>56</v>
      </c>
      <c r="C396" s="6">
        <v>20</v>
      </c>
      <c r="D396" s="6">
        <v>84</v>
      </c>
      <c r="E396" s="6">
        <v>2</v>
      </c>
      <c r="F396" s="6">
        <v>2</v>
      </c>
      <c r="G396" s="15">
        <v>46088</v>
      </c>
      <c r="H396" s="15" t="str">
        <f t="shared" si="24"/>
        <v>Saturday</v>
      </c>
      <c r="I396" s="11">
        <v>96</v>
      </c>
      <c r="J396" s="24">
        <f t="shared" si="25"/>
        <v>8064</v>
      </c>
      <c r="K396">
        <f t="shared" si="26"/>
        <v>56</v>
      </c>
      <c r="L396" t="str">
        <f t="shared" si="27"/>
        <v>OK</v>
      </c>
    </row>
    <row r="397" spans="1:12" x14ac:dyDescent="0.45">
      <c r="A397" s="21" t="s">
        <v>995</v>
      </c>
      <c r="B397" s="7">
        <v>20</v>
      </c>
      <c r="C397" s="7">
        <v>30</v>
      </c>
      <c r="D397" s="7">
        <v>20</v>
      </c>
      <c r="E397" s="7">
        <v>2</v>
      </c>
      <c r="F397" s="7">
        <v>2</v>
      </c>
      <c r="G397" s="16">
        <v>46083</v>
      </c>
      <c r="H397" s="16" t="str">
        <f t="shared" si="24"/>
        <v>Monday</v>
      </c>
      <c r="I397" s="12">
        <v>73</v>
      </c>
      <c r="J397" s="9">
        <f t="shared" si="25"/>
        <v>1460</v>
      </c>
      <c r="K397">
        <f t="shared" si="26"/>
        <v>20</v>
      </c>
      <c r="L397" t="str">
        <f t="shared" si="27"/>
        <v>OK</v>
      </c>
    </row>
    <row r="398" spans="1:12" x14ac:dyDescent="0.45">
      <c r="A398" s="20" t="s">
        <v>1130</v>
      </c>
      <c r="B398" s="6">
        <v>60</v>
      </c>
      <c r="C398" s="6">
        <v>20</v>
      </c>
      <c r="D398" s="6">
        <v>90</v>
      </c>
      <c r="E398" s="6">
        <v>3</v>
      </c>
      <c r="F398" s="6">
        <v>3</v>
      </c>
      <c r="G398" s="15">
        <v>46082</v>
      </c>
      <c r="H398" s="15" t="str">
        <f t="shared" si="24"/>
        <v>Sunday</v>
      </c>
      <c r="I398" s="11">
        <v>134</v>
      </c>
      <c r="J398" s="24">
        <f t="shared" si="25"/>
        <v>12060</v>
      </c>
      <c r="K398">
        <f t="shared" si="26"/>
        <v>60</v>
      </c>
      <c r="L398" t="str">
        <f t="shared" si="27"/>
        <v>OK</v>
      </c>
    </row>
    <row r="399" spans="1:12" x14ac:dyDescent="0.45">
      <c r="A399" s="21" t="s">
        <v>103</v>
      </c>
      <c r="B399" s="7">
        <v>0</v>
      </c>
      <c r="C399" s="7">
        <v>0</v>
      </c>
      <c r="D399" s="7">
        <v>45</v>
      </c>
      <c r="E399" s="7">
        <v>2</v>
      </c>
      <c r="F399" s="7">
        <v>2</v>
      </c>
      <c r="G399" s="16">
        <v>46087</v>
      </c>
      <c r="H399" s="16" t="str">
        <f t="shared" si="24"/>
        <v>Friday</v>
      </c>
      <c r="I399" s="12">
        <v>96</v>
      </c>
      <c r="J399" s="9">
        <f t="shared" si="25"/>
        <v>4320</v>
      </c>
      <c r="K399">
        <f t="shared" si="26"/>
        <v>0</v>
      </c>
      <c r="L399" t="str">
        <f t="shared" si="27"/>
        <v>Low Stock</v>
      </c>
    </row>
    <row r="400" spans="1:12" x14ac:dyDescent="0.45">
      <c r="A400" s="20" t="s">
        <v>143</v>
      </c>
      <c r="B400" s="6">
        <v>10</v>
      </c>
      <c r="C400" s="6">
        <v>7</v>
      </c>
      <c r="D400" s="6">
        <v>40</v>
      </c>
      <c r="E400" s="6">
        <v>2</v>
      </c>
      <c r="F400" s="6">
        <v>2</v>
      </c>
      <c r="G400" s="15">
        <v>46088</v>
      </c>
      <c r="H400" s="15" t="str">
        <f t="shared" si="24"/>
        <v>Saturday</v>
      </c>
      <c r="I400" s="11">
        <v>114</v>
      </c>
      <c r="J400" s="24">
        <f t="shared" si="25"/>
        <v>4560</v>
      </c>
      <c r="K400">
        <f t="shared" si="26"/>
        <v>10</v>
      </c>
      <c r="L400" t="str">
        <f t="shared" si="27"/>
        <v>OK</v>
      </c>
    </row>
    <row r="401" spans="1:12" x14ac:dyDescent="0.45">
      <c r="A401" s="21" t="s">
        <v>156</v>
      </c>
      <c r="B401" s="7">
        <v>0</v>
      </c>
      <c r="C401" s="7">
        <v>0</v>
      </c>
      <c r="D401" s="7">
        <v>75</v>
      </c>
      <c r="E401" s="7">
        <v>5</v>
      </c>
      <c r="F401" s="7">
        <v>3</v>
      </c>
      <c r="G401" s="16">
        <v>46087</v>
      </c>
      <c r="H401" s="16" t="str">
        <f t="shared" si="24"/>
        <v>Friday</v>
      </c>
      <c r="I401" s="12">
        <v>105</v>
      </c>
      <c r="J401" s="9">
        <f t="shared" si="25"/>
        <v>7875</v>
      </c>
      <c r="K401">
        <f t="shared" si="26"/>
        <v>0</v>
      </c>
      <c r="L401" t="str">
        <f t="shared" si="27"/>
        <v>Low Stock</v>
      </c>
    </row>
    <row r="402" spans="1:12" x14ac:dyDescent="0.45">
      <c r="A402" s="20" t="s">
        <v>212</v>
      </c>
      <c r="B402" s="6">
        <v>-6</v>
      </c>
      <c r="C402" s="6">
        <v>0</v>
      </c>
      <c r="D402" s="6">
        <v>1</v>
      </c>
      <c r="E402" s="6">
        <v>1</v>
      </c>
      <c r="F402" s="6">
        <v>1</v>
      </c>
      <c r="G402" s="15">
        <v>46082</v>
      </c>
      <c r="H402" s="15" t="str">
        <f t="shared" si="24"/>
        <v>Sunday</v>
      </c>
      <c r="I402" s="11">
        <v>85</v>
      </c>
      <c r="J402" s="24">
        <f t="shared" si="25"/>
        <v>85</v>
      </c>
      <c r="K402">
        <f t="shared" si="26"/>
        <v>0</v>
      </c>
      <c r="L402" t="str">
        <f t="shared" si="27"/>
        <v>Low Stock</v>
      </c>
    </row>
    <row r="403" spans="1:12" x14ac:dyDescent="0.45">
      <c r="A403" s="21" t="s">
        <v>603</v>
      </c>
      <c r="B403" s="7">
        <v>120</v>
      </c>
      <c r="C403" s="7">
        <v>9</v>
      </c>
      <c r="D403" s="7">
        <v>380</v>
      </c>
      <c r="E403" s="7">
        <v>11</v>
      </c>
      <c r="F403" s="7">
        <v>9</v>
      </c>
      <c r="G403" s="16">
        <v>46084</v>
      </c>
      <c r="H403" s="16" t="str">
        <f t="shared" si="24"/>
        <v>Tuesday</v>
      </c>
      <c r="I403" s="12">
        <v>116</v>
      </c>
      <c r="J403" s="9">
        <f t="shared" si="25"/>
        <v>44080</v>
      </c>
      <c r="K403">
        <f t="shared" si="26"/>
        <v>120</v>
      </c>
      <c r="L403" t="str">
        <f t="shared" si="27"/>
        <v>OK</v>
      </c>
    </row>
    <row r="404" spans="1:12" x14ac:dyDescent="0.45">
      <c r="A404" s="20" t="s">
        <v>653</v>
      </c>
      <c r="B404" s="6">
        <v>10</v>
      </c>
      <c r="C404" s="6">
        <v>15</v>
      </c>
      <c r="D404" s="6">
        <v>20</v>
      </c>
      <c r="E404" s="6">
        <v>2</v>
      </c>
      <c r="F404" s="6">
        <v>2</v>
      </c>
      <c r="G404" s="15">
        <v>46085</v>
      </c>
      <c r="H404" s="15" t="str">
        <f t="shared" si="24"/>
        <v>Wednesday</v>
      </c>
      <c r="I404" s="11">
        <v>68</v>
      </c>
      <c r="J404" s="24">
        <f t="shared" si="25"/>
        <v>1360</v>
      </c>
      <c r="K404">
        <f t="shared" si="26"/>
        <v>10</v>
      </c>
      <c r="L404" t="str">
        <f t="shared" si="27"/>
        <v>OK</v>
      </c>
    </row>
    <row r="405" spans="1:12" x14ac:dyDescent="0.45">
      <c r="A405" s="21" t="s">
        <v>780</v>
      </c>
      <c r="B405" s="7">
        <v>500</v>
      </c>
      <c r="C405" s="7">
        <v>30</v>
      </c>
      <c r="D405" s="7">
        <v>500</v>
      </c>
      <c r="E405" s="7">
        <v>5</v>
      </c>
      <c r="F405" s="7">
        <v>4</v>
      </c>
      <c r="G405" s="16">
        <v>46088</v>
      </c>
      <c r="H405" s="16" t="str">
        <f t="shared" si="24"/>
        <v>Saturday</v>
      </c>
      <c r="I405" s="12">
        <v>123</v>
      </c>
      <c r="J405" s="9">
        <f t="shared" si="25"/>
        <v>61500</v>
      </c>
      <c r="K405">
        <f t="shared" si="26"/>
        <v>500</v>
      </c>
      <c r="L405" t="str">
        <f t="shared" si="27"/>
        <v>OK</v>
      </c>
    </row>
    <row r="406" spans="1:12" x14ac:dyDescent="0.45">
      <c r="A406" s="20" t="s">
        <v>1190</v>
      </c>
      <c r="B406" s="6">
        <v>75</v>
      </c>
      <c r="C406" s="6">
        <v>30</v>
      </c>
      <c r="D406" s="6">
        <v>75</v>
      </c>
      <c r="E406" s="6">
        <v>3</v>
      </c>
      <c r="F406" s="6">
        <v>3</v>
      </c>
      <c r="G406" s="15">
        <v>46084</v>
      </c>
      <c r="H406" s="15" t="str">
        <f t="shared" si="24"/>
        <v>Tuesday</v>
      </c>
      <c r="I406" s="11">
        <v>107</v>
      </c>
      <c r="J406" s="24">
        <f t="shared" si="25"/>
        <v>8025</v>
      </c>
      <c r="K406">
        <f t="shared" si="26"/>
        <v>75</v>
      </c>
      <c r="L406" t="str">
        <f t="shared" si="27"/>
        <v>OK</v>
      </c>
    </row>
    <row r="407" spans="1:12" x14ac:dyDescent="0.45">
      <c r="A407" s="21" t="s">
        <v>168</v>
      </c>
      <c r="B407" s="7">
        <v>10</v>
      </c>
      <c r="C407" s="7">
        <v>4</v>
      </c>
      <c r="D407" s="7">
        <v>70</v>
      </c>
      <c r="E407" s="7">
        <v>5</v>
      </c>
      <c r="F407" s="7">
        <v>4</v>
      </c>
      <c r="G407" s="16">
        <v>46088</v>
      </c>
      <c r="H407" s="16" t="str">
        <f t="shared" si="24"/>
        <v>Saturday</v>
      </c>
      <c r="I407" s="12">
        <v>76</v>
      </c>
      <c r="J407" s="9">
        <f t="shared" si="25"/>
        <v>5320</v>
      </c>
      <c r="K407">
        <f t="shared" si="26"/>
        <v>10</v>
      </c>
      <c r="L407" t="str">
        <f t="shared" si="27"/>
        <v>OK</v>
      </c>
    </row>
    <row r="408" spans="1:12" x14ac:dyDescent="0.45">
      <c r="A408" s="20" t="s">
        <v>185</v>
      </c>
      <c r="B408" s="6">
        <v>-4</v>
      </c>
      <c r="C408" s="6">
        <v>0</v>
      </c>
      <c r="D408" s="6">
        <v>2</v>
      </c>
      <c r="E408" s="6">
        <v>2</v>
      </c>
      <c r="F408" s="6">
        <v>2</v>
      </c>
      <c r="G408" s="15">
        <v>46083</v>
      </c>
      <c r="H408" s="15" t="str">
        <f t="shared" si="24"/>
        <v>Monday</v>
      </c>
      <c r="I408" s="11">
        <v>168</v>
      </c>
      <c r="J408" s="24">
        <f t="shared" si="25"/>
        <v>336</v>
      </c>
      <c r="K408">
        <f t="shared" si="26"/>
        <v>0</v>
      </c>
      <c r="L408" t="str">
        <f t="shared" si="27"/>
        <v>Low Stock</v>
      </c>
    </row>
    <row r="409" spans="1:12" x14ac:dyDescent="0.45">
      <c r="A409" s="21" t="s">
        <v>244</v>
      </c>
      <c r="B409" s="7">
        <v>0</v>
      </c>
      <c r="C409" s="7">
        <v>0</v>
      </c>
      <c r="D409" s="7">
        <v>15</v>
      </c>
      <c r="E409" s="7">
        <v>1</v>
      </c>
      <c r="F409" s="7">
        <v>1</v>
      </c>
      <c r="G409" s="16">
        <v>46082</v>
      </c>
      <c r="H409" s="16" t="str">
        <f t="shared" si="24"/>
        <v>Sunday</v>
      </c>
      <c r="I409" s="12">
        <v>82</v>
      </c>
      <c r="J409" s="9">
        <f t="shared" si="25"/>
        <v>1230</v>
      </c>
      <c r="K409">
        <f t="shared" si="26"/>
        <v>0</v>
      </c>
      <c r="L409" t="str">
        <f t="shared" si="27"/>
        <v>Low Stock</v>
      </c>
    </row>
    <row r="410" spans="1:12" x14ac:dyDescent="0.45">
      <c r="A410" s="20" t="s">
        <v>245</v>
      </c>
      <c r="B410" s="6">
        <v>-10</v>
      </c>
      <c r="C410" s="6">
        <v>0</v>
      </c>
      <c r="D410" s="6">
        <v>20</v>
      </c>
      <c r="E410" s="6">
        <v>2</v>
      </c>
      <c r="F410" s="6">
        <v>2</v>
      </c>
      <c r="G410" s="15">
        <v>46088</v>
      </c>
      <c r="H410" s="15" t="str">
        <f t="shared" si="24"/>
        <v>Saturday</v>
      </c>
      <c r="I410" s="11">
        <v>92</v>
      </c>
      <c r="J410" s="24">
        <f t="shared" si="25"/>
        <v>1840</v>
      </c>
      <c r="K410">
        <f t="shared" si="26"/>
        <v>0</v>
      </c>
      <c r="L410" t="str">
        <f t="shared" si="27"/>
        <v>Low Stock</v>
      </c>
    </row>
    <row r="411" spans="1:12" x14ac:dyDescent="0.45">
      <c r="A411" s="21" t="s">
        <v>297</v>
      </c>
      <c r="B411" s="7">
        <v>0</v>
      </c>
      <c r="C411" s="7">
        <v>0</v>
      </c>
      <c r="D411" s="7">
        <v>1</v>
      </c>
      <c r="E411" s="7">
        <v>1</v>
      </c>
      <c r="F411" s="7">
        <v>1</v>
      </c>
      <c r="G411" s="16">
        <v>46083</v>
      </c>
      <c r="H411" s="16" t="str">
        <f t="shared" si="24"/>
        <v>Monday</v>
      </c>
      <c r="I411" s="12">
        <v>138</v>
      </c>
      <c r="J411" s="9">
        <f t="shared" si="25"/>
        <v>138</v>
      </c>
      <c r="K411">
        <f t="shared" si="26"/>
        <v>0</v>
      </c>
      <c r="L411" t="str">
        <f t="shared" si="27"/>
        <v>Low Stock</v>
      </c>
    </row>
    <row r="412" spans="1:12" x14ac:dyDescent="0.45">
      <c r="A412" s="20" t="s">
        <v>356</v>
      </c>
      <c r="B412" s="6">
        <v>-2</v>
      </c>
      <c r="C412" s="6">
        <v>0</v>
      </c>
      <c r="D412" s="6">
        <v>2</v>
      </c>
      <c r="E412" s="6">
        <v>2</v>
      </c>
      <c r="F412" s="6">
        <v>2</v>
      </c>
      <c r="G412" s="15">
        <v>46084</v>
      </c>
      <c r="H412" s="15" t="str">
        <f t="shared" si="24"/>
        <v>Tuesday</v>
      </c>
      <c r="I412" s="11">
        <v>107</v>
      </c>
      <c r="J412" s="24">
        <f t="shared" si="25"/>
        <v>214</v>
      </c>
      <c r="K412">
        <f t="shared" si="26"/>
        <v>0</v>
      </c>
      <c r="L412" t="str">
        <f t="shared" si="27"/>
        <v>Low Stock</v>
      </c>
    </row>
    <row r="413" spans="1:12" x14ac:dyDescent="0.45">
      <c r="A413" s="21" t="s">
        <v>460</v>
      </c>
      <c r="B413" s="7">
        <v>-17</v>
      </c>
      <c r="C413" s="7">
        <v>0</v>
      </c>
      <c r="D413" s="7">
        <v>46</v>
      </c>
      <c r="E413" s="7">
        <v>7</v>
      </c>
      <c r="F413" s="7">
        <v>6</v>
      </c>
      <c r="G413" s="16">
        <v>46085</v>
      </c>
      <c r="H413" s="16" t="str">
        <f t="shared" si="24"/>
        <v>Wednesday</v>
      </c>
      <c r="I413" s="12">
        <v>161</v>
      </c>
      <c r="J413" s="9">
        <f t="shared" si="25"/>
        <v>7406</v>
      </c>
      <c r="K413">
        <f t="shared" si="26"/>
        <v>0</v>
      </c>
      <c r="L413" t="str">
        <f t="shared" si="27"/>
        <v>Low Stock</v>
      </c>
    </row>
    <row r="414" spans="1:12" x14ac:dyDescent="0.45">
      <c r="A414" s="20" t="s">
        <v>568</v>
      </c>
      <c r="B414" s="6">
        <v>10</v>
      </c>
      <c r="C414" s="6">
        <v>15</v>
      </c>
      <c r="D414" s="6">
        <v>20</v>
      </c>
      <c r="E414" s="6">
        <v>2</v>
      </c>
      <c r="F414" s="6">
        <v>2</v>
      </c>
      <c r="G414" s="15">
        <v>46083</v>
      </c>
      <c r="H414" s="15" t="str">
        <f t="shared" si="24"/>
        <v>Monday</v>
      </c>
      <c r="I414" s="11">
        <v>130</v>
      </c>
      <c r="J414" s="24">
        <f t="shared" si="25"/>
        <v>2600</v>
      </c>
      <c r="K414">
        <f t="shared" si="26"/>
        <v>10</v>
      </c>
      <c r="L414" t="str">
        <f t="shared" si="27"/>
        <v>OK</v>
      </c>
    </row>
    <row r="415" spans="1:12" x14ac:dyDescent="0.45">
      <c r="A415" s="21" t="s">
        <v>731</v>
      </c>
      <c r="B415" s="7">
        <v>290</v>
      </c>
      <c r="C415" s="7">
        <v>28</v>
      </c>
      <c r="D415" s="7">
        <v>310</v>
      </c>
      <c r="E415" s="7">
        <v>15</v>
      </c>
      <c r="F415" s="7">
        <v>11</v>
      </c>
      <c r="G415" s="16">
        <v>46084</v>
      </c>
      <c r="H415" s="16" t="str">
        <f t="shared" si="24"/>
        <v>Tuesday</v>
      </c>
      <c r="I415" s="12">
        <v>129</v>
      </c>
      <c r="J415" s="9">
        <f t="shared" si="25"/>
        <v>39990</v>
      </c>
      <c r="K415">
        <f t="shared" si="26"/>
        <v>290</v>
      </c>
      <c r="L415" t="str">
        <f t="shared" si="27"/>
        <v>OK</v>
      </c>
    </row>
    <row r="416" spans="1:12" x14ac:dyDescent="0.45">
      <c r="A416" s="20" t="s">
        <v>749</v>
      </c>
      <c r="B416" s="6">
        <v>90</v>
      </c>
      <c r="C416" s="6">
        <v>25</v>
      </c>
      <c r="D416" s="6">
        <v>105</v>
      </c>
      <c r="E416" s="6">
        <v>6</v>
      </c>
      <c r="F416" s="6">
        <v>6</v>
      </c>
      <c r="G416" s="15">
        <v>46082</v>
      </c>
      <c r="H416" s="15" t="str">
        <f t="shared" si="24"/>
        <v>Sunday</v>
      </c>
      <c r="I416" s="11">
        <v>63</v>
      </c>
      <c r="J416" s="24">
        <f t="shared" si="25"/>
        <v>6615</v>
      </c>
      <c r="K416">
        <f t="shared" si="26"/>
        <v>90</v>
      </c>
      <c r="L416" t="str">
        <f t="shared" si="27"/>
        <v>OK</v>
      </c>
    </row>
    <row r="417" spans="1:12" x14ac:dyDescent="0.45">
      <c r="A417" s="21" t="s">
        <v>1053</v>
      </c>
      <c r="B417" s="7">
        <v>40</v>
      </c>
      <c r="C417" s="7">
        <v>17</v>
      </c>
      <c r="D417" s="7">
        <v>70</v>
      </c>
      <c r="E417" s="7">
        <v>6</v>
      </c>
      <c r="F417" s="7">
        <v>6</v>
      </c>
      <c r="G417" s="16">
        <v>46085</v>
      </c>
      <c r="H417" s="16" t="str">
        <f t="shared" si="24"/>
        <v>Wednesday</v>
      </c>
      <c r="I417" s="12">
        <v>148</v>
      </c>
      <c r="J417" s="9">
        <f t="shared" si="25"/>
        <v>10360</v>
      </c>
      <c r="K417">
        <f t="shared" si="26"/>
        <v>40</v>
      </c>
      <c r="L417" t="str">
        <f t="shared" si="27"/>
        <v>OK</v>
      </c>
    </row>
    <row r="418" spans="1:12" x14ac:dyDescent="0.45">
      <c r="A418" s="20" t="s">
        <v>14</v>
      </c>
      <c r="B418" s="6">
        <v>1</v>
      </c>
      <c r="C418" s="6">
        <v>1</v>
      </c>
      <c r="D418" s="6">
        <v>16</v>
      </c>
      <c r="E418" s="6">
        <v>16</v>
      </c>
      <c r="F418" s="6">
        <v>12</v>
      </c>
      <c r="G418" s="15">
        <v>46088</v>
      </c>
      <c r="H418" s="15" t="str">
        <f t="shared" si="24"/>
        <v>Saturday</v>
      </c>
      <c r="I418" s="11">
        <v>180</v>
      </c>
      <c r="J418" s="24">
        <f t="shared" si="25"/>
        <v>2880</v>
      </c>
      <c r="K418">
        <f t="shared" si="26"/>
        <v>1</v>
      </c>
      <c r="L418" t="str">
        <f t="shared" si="27"/>
        <v>Low Stock</v>
      </c>
    </row>
    <row r="419" spans="1:12" x14ac:dyDescent="0.45">
      <c r="A419" s="21" t="s">
        <v>78</v>
      </c>
      <c r="B419" s="7">
        <v>0</v>
      </c>
      <c r="C419" s="7">
        <v>0</v>
      </c>
      <c r="D419" s="7">
        <v>10</v>
      </c>
      <c r="E419" s="7">
        <v>1</v>
      </c>
      <c r="F419" s="7">
        <v>1</v>
      </c>
      <c r="G419" s="16">
        <v>46087</v>
      </c>
      <c r="H419" s="16" t="str">
        <f t="shared" si="24"/>
        <v>Friday</v>
      </c>
      <c r="I419" s="12">
        <v>60</v>
      </c>
      <c r="J419" s="9">
        <f t="shared" si="25"/>
        <v>600</v>
      </c>
      <c r="K419">
        <f t="shared" si="26"/>
        <v>0</v>
      </c>
      <c r="L419" t="str">
        <f t="shared" si="27"/>
        <v>Low Stock</v>
      </c>
    </row>
    <row r="420" spans="1:12" x14ac:dyDescent="0.45">
      <c r="A420" s="20" t="s">
        <v>344</v>
      </c>
      <c r="B420" s="6">
        <v>-6</v>
      </c>
      <c r="C420" s="6">
        <v>0</v>
      </c>
      <c r="D420" s="6">
        <v>1</v>
      </c>
      <c r="E420" s="6">
        <v>1</v>
      </c>
      <c r="F420" s="6">
        <v>1</v>
      </c>
      <c r="G420" s="15">
        <v>46088</v>
      </c>
      <c r="H420" s="15" t="str">
        <f t="shared" si="24"/>
        <v>Saturday</v>
      </c>
      <c r="I420" s="11">
        <v>135</v>
      </c>
      <c r="J420" s="24">
        <f t="shared" si="25"/>
        <v>135</v>
      </c>
      <c r="K420">
        <f t="shared" si="26"/>
        <v>0</v>
      </c>
      <c r="L420" t="str">
        <f t="shared" si="27"/>
        <v>Low Stock</v>
      </c>
    </row>
    <row r="421" spans="1:12" x14ac:dyDescent="0.45">
      <c r="A421" s="21" t="s">
        <v>471</v>
      </c>
      <c r="B421" s="7">
        <v>0</v>
      </c>
      <c r="C421" s="7">
        <v>0</v>
      </c>
      <c r="D421" s="7">
        <v>10</v>
      </c>
      <c r="E421" s="7">
        <v>1</v>
      </c>
      <c r="F421" s="7">
        <v>1</v>
      </c>
      <c r="G421" s="16">
        <v>46084</v>
      </c>
      <c r="H421" s="16" t="str">
        <f t="shared" si="24"/>
        <v>Tuesday</v>
      </c>
      <c r="I421" s="12">
        <v>71</v>
      </c>
      <c r="J421" s="9">
        <f t="shared" si="25"/>
        <v>710</v>
      </c>
      <c r="K421">
        <f t="shared" si="26"/>
        <v>0</v>
      </c>
      <c r="L421" t="str">
        <f t="shared" si="27"/>
        <v>Low Stock</v>
      </c>
    </row>
    <row r="422" spans="1:12" x14ac:dyDescent="0.45">
      <c r="A422" s="20" t="s">
        <v>598</v>
      </c>
      <c r="B422" s="6">
        <v>20</v>
      </c>
      <c r="C422" s="6">
        <v>15</v>
      </c>
      <c r="D422" s="6">
        <v>40</v>
      </c>
      <c r="E422" s="6">
        <v>4</v>
      </c>
      <c r="F422" s="6">
        <v>4</v>
      </c>
      <c r="G422" s="15">
        <v>46082</v>
      </c>
      <c r="H422" s="15" t="str">
        <f t="shared" si="24"/>
        <v>Sunday</v>
      </c>
      <c r="I422" s="11">
        <v>107</v>
      </c>
      <c r="J422" s="24">
        <f t="shared" si="25"/>
        <v>4280</v>
      </c>
      <c r="K422">
        <f t="shared" si="26"/>
        <v>20</v>
      </c>
      <c r="L422" t="str">
        <f t="shared" si="27"/>
        <v>OK</v>
      </c>
    </row>
    <row r="423" spans="1:12" x14ac:dyDescent="0.45">
      <c r="A423" s="21" t="s">
        <v>674</v>
      </c>
      <c r="B423" s="7">
        <v>10</v>
      </c>
      <c r="C423" s="7">
        <v>15</v>
      </c>
      <c r="D423" s="7">
        <v>20</v>
      </c>
      <c r="E423" s="7">
        <v>2</v>
      </c>
      <c r="F423" s="7">
        <v>2</v>
      </c>
      <c r="G423" s="16">
        <v>46082</v>
      </c>
      <c r="H423" s="16" t="str">
        <f t="shared" si="24"/>
        <v>Sunday</v>
      </c>
      <c r="I423" s="12">
        <v>132</v>
      </c>
      <c r="J423" s="9">
        <f t="shared" si="25"/>
        <v>2640</v>
      </c>
      <c r="K423">
        <f t="shared" si="26"/>
        <v>10</v>
      </c>
      <c r="L423" t="str">
        <f t="shared" si="27"/>
        <v>OK</v>
      </c>
    </row>
    <row r="424" spans="1:12" x14ac:dyDescent="0.45">
      <c r="A424" s="20" t="s">
        <v>729</v>
      </c>
      <c r="B424" s="6">
        <v>70</v>
      </c>
      <c r="C424" s="6">
        <v>23</v>
      </c>
      <c r="D424" s="6">
        <v>90</v>
      </c>
      <c r="E424" s="6">
        <v>7</v>
      </c>
      <c r="F424" s="6">
        <v>6</v>
      </c>
      <c r="G424" s="15">
        <v>46084</v>
      </c>
      <c r="H424" s="15" t="str">
        <f t="shared" si="24"/>
        <v>Tuesday</v>
      </c>
      <c r="I424" s="11">
        <v>161</v>
      </c>
      <c r="J424" s="24">
        <f t="shared" si="25"/>
        <v>14490</v>
      </c>
      <c r="K424">
        <f t="shared" si="26"/>
        <v>70</v>
      </c>
      <c r="L424" t="str">
        <f t="shared" si="27"/>
        <v>OK</v>
      </c>
    </row>
    <row r="425" spans="1:12" x14ac:dyDescent="0.45">
      <c r="A425" s="21" t="s">
        <v>970</v>
      </c>
      <c r="B425" s="7">
        <v>20</v>
      </c>
      <c r="C425" s="7">
        <v>30</v>
      </c>
      <c r="D425" s="7">
        <v>20</v>
      </c>
      <c r="E425" s="7">
        <v>2</v>
      </c>
      <c r="F425" s="7">
        <v>2</v>
      </c>
      <c r="G425" s="16">
        <v>46082</v>
      </c>
      <c r="H425" s="16" t="str">
        <f t="shared" si="24"/>
        <v>Sunday</v>
      </c>
      <c r="I425" s="12">
        <v>153</v>
      </c>
      <c r="J425" s="9">
        <f t="shared" si="25"/>
        <v>3060</v>
      </c>
      <c r="K425">
        <f t="shared" si="26"/>
        <v>20</v>
      </c>
      <c r="L425" t="str">
        <f t="shared" si="27"/>
        <v>OK</v>
      </c>
    </row>
    <row r="426" spans="1:12" x14ac:dyDescent="0.45">
      <c r="A426" s="20" t="s">
        <v>985</v>
      </c>
      <c r="B426" s="6">
        <v>45</v>
      </c>
      <c r="C426" s="6">
        <v>30</v>
      </c>
      <c r="D426" s="6">
        <v>45</v>
      </c>
      <c r="E426" s="6">
        <v>2</v>
      </c>
      <c r="F426" s="6">
        <v>1</v>
      </c>
      <c r="G426" s="15">
        <v>46085</v>
      </c>
      <c r="H426" s="15" t="str">
        <f t="shared" si="24"/>
        <v>Wednesday</v>
      </c>
      <c r="I426" s="11">
        <v>114</v>
      </c>
      <c r="J426" s="24">
        <f t="shared" si="25"/>
        <v>5130</v>
      </c>
      <c r="K426">
        <f t="shared" si="26"/>
        <v>45</v>
      </c>
      <c r="L426" t="str">
        <f t="shared" si="27"/>
        <v>OK</v>
      </c>
    </row>
    <row r="427" spans="1:12" x14ac:dyDescent="0.45">
      <c r="A427" s="21" t="s">
        <v>1056</v>
      </c>
      <c r="B427" s="7">
        <v>30</v>
      </c>
      <c r="C427" s="7">
        <v>30</v>
      </c>
      <c r="D427" s="7">
        <v>30</v>
      </c>
      <c r="E427" s="7">
        <v>1</v>
      </c>
      <c r="F427" s="7">
        <v>1</v>
      </c>
      <c r="G427" s="16">
        <v>46086</v>
      </c>
      <c r="H427" s="16" t="str">
        <f t="shared" si="24"/>
        <v>Thursday</v>
      </c>
      <c r="I427" s="12">
        <v>137</v>
      </c>
      <c r="J427" s="9">
        <f t="shared" si="25"/>
        <v>4110</v>
      </c>
      <c r="K427">
        <f t="shared" si="26"/>
        <v>30</v>
      </c>
      <c r="L427" t="str">
        <f t="shared" si="27"/>
        <v>OK</v>
      </c>
    </row>
    <row r="428" spans="1:12" x14ac:dyDescent="0.45">
      <c r="A428" s="20" t="s">
        <v>1069</v>
      </c>
      <c r="B428" s="6">
        <v>10</v>
      </c>
      <c r="C428" s="6">
        <v>30</v>
      </c>
      <c r="D428" s="6">
        <v>10</v>
      </c>
      <c r="E428" s="6">
        <v>1</v>
      </c>
      <c r="F428" s="6">
        <v>1</v>
      </c>
      <c r="G428" s="15">
        <v>46085</v>
      </c>
      <c r="H428" s="15" t="str">
        <f t="shared" si="24"/>
        <v>Wednesday</v>
      </c>
      <c r="I428" s="11">
        <v>79</v>
      </c>
      <c r="J428" s="24">
        <f t="shared" si="25"/>
        <v>790</v>
      </c>
      <c r="K428">
        <f t="shared" si="26"/>
        <v>10</v>
      </c>
      <c r="L428" t="str">
        <f t="shared" si="27"/>
        <v>OK</v>
      </c>
    </row>
    <row r="429" spans="1:12" x14ac:dyDescent="0.45">
      <c r="A429" s="21" t="s">
        <v>1101</v>
      </c>
      <c r="B429" s="7">
        <v>2</v>
      </c>
      <c r="C429" s="7">
        <v>30</v>
      </c>
      <c r="D429" s="7">
        <v>2</v>
      </c>
      <c r="E429" s="7">
        <v>2</v>
      </c>
      <c r="F429" s="7">
        <v>2</v>
      </c>
      <c r="G429" s="16">
        <v>46083</v>
      </c>
      <c r="H429" s="16" t="str">
        <f t="shared" si="24"/>
        <v>Monday</v>
      </c>
      <c r="I429" s="12">
        <v>102</v>
      </c>
      <c r="J429" s="9">
        <f t="shared" si="25"/>
        <v>204</v>
      </c>
      <c r="K429">
        <f t="shared" si="26"/>
        <v>2</v>
      </c>
      <c r="L429" t="str">
        <f t="shared" si="27"/>
        <v>Low Stock</v>
      </c>
    </row>
    <row r="430" spans="1:12" x14ac:dyDescent="0.45">
      <c r="A430" s="20" t="s">
        <v>1232</v>
      </c>
      <c r="B430" s="6">
        <v>1</v>
      </c>
      <c r="C430" s="6">
        <v>30</v>
      </c>
      <c r="D430" s="6">
        <v>1</v>
      </c>
      <c r="E430" s="6">
        <v>1</v>
      </c>
      <c r="F430" s="6">
        <v>1</v>
      </c>
      <c r="G430" s="15">
        <v>46082</v>
      </c>
      <c r="H430" s="15" t="str">
        <f t="shared" si="24"/>
        <v>Sunday</v>
      </c>
      <c r="I430" s="11">
        <v>212</v>
      </c>
      <c r="J430" s="24">
        <f t="shared" si="25"/>
        <v>212</v>
      </c>
      <c r="K430">
        <f t="shared" si="26"/>
        <v>1</v>
      </c>
      <c r="L430" t="str">
        <f t="shared" si="27"/>
        <v>Low Stock</v>
      </c>
    </row>
    <row r="431" spans="1:12" x14ac:dyDescent="0.45">
      <c r="A431" s="21" t="s">
        <v>111</v>
      </c>
      <c r="B431" s="7">
        <v>0</v>
      </c>
      <c r="C431" s="7">
        <v>0</v>
      </c>
      <c r="D431" s="7">
        <v>40</v>
      </c>
      <c r="E431" s="7">
        <v>4</v>
      </c>
      <c r="F431" s="7">
        <v>4</v>
      </c>
      <c r="G431" s="16">
        <v>46088</v>
      </c>
      <c r="H431" s="16" t="str">
        <f t="shared" si="24"/>
        <v>Saturday</v>
      </c>
      <c r="I431" s="12">
        <v>104</v>
      </c>
      <c r="J431" s="9">
        <f t="shared" si="25"/>
        <v>4160</v>
      </c>
      <c r="K431">
        <f t="shared" si="26"/>
        <v>0</v>
      </c>
      <c r="L431" t="str">
        <f t="shared" si="27"/>
        <v>Low Stock</v>
      </c>
    </row>
    <row r="432" spans="1:12" x14ac:dyDescent="0.45">
      <c r="A432" s="20" t="s">
        <v>163</v>
      </c>
      <c r="B432" s="6">
        <v>7</v>
      </c>
      <c r="C432" s="6">
        <v>7</v>
      </c>
      <c r="D432" s="6">
        <v>30</v>
      </c>
      <c r="E432" s="6">
        <v>3</v>
      </c>
      <c r="F432" s="6">
        <v>3</v>
      </c>
      <c r="G432" s="15">
        <v>46082</v>
      </c>
      <c r="H432" s="15" t="str">
        <f t="shared" si="24"/>
        <v>Sunday</v>
      </c>
      <c r="I432" s="11">
        <v>66</v>
      </c>
      <c r="J432" s="24">
        <f t="shared" si="25"/>
        <v>1980</v>
      </c>
      <c r="K432">
        <f t="shared" si="26"/>
        <v>7</v>
      </c>
      <c r="L432" t="str">
        <f t="shared" si="27"/>
        <v>OK</v>
      </c>
    </row>
    <row r="433" spans="1:12" x14ac:dyDescent="0.45">
      <c r="A433" s="21" t="s">
        <v>351</v>
      </c>
      <c r="B433" s="7">
        <v>-4</v>
      </c>
      <c r="C433" s="7">
        <v>0</v>
      </c>
      <c r="D433" s="7">
        <v>4</v>
      </c>
      <c r="E433" s="7">
        <v>4</v>
      </c>
      <c r="F433" s="7">
        <v>4</v>
      </c>
      <c r="G433" s="16">
        <v>46086</v>
      </c>
      <c r="H433" s="16" t="str">
        <f t="shared" si="24"/>
        <v>Thursday</v>
      </c>
      <c r="I433" s="12">
        <v>86</v>
      </c>
      <c r="J433" s="9">
        <f t="shared" si="25"/>
        <v>344</v>
      </c>
      <c r="K433">
        <f t="shared" si="26"/>
        <v>0</v>
      </c>
      <c r="L433" t="str">
        <f t="shared" si="27"/>
        <v>Low Stock</v>
      </c>
    </row>
    <row r="434" spans="1:12" x14ac:dyDescent="0.45">
      <c r="A434" s="20" t="s">
        <v>506</v>
      </c>
      <c r="B434" s="6">
        <v>4</v>
      </c>
      <c r="C434" s="6">
        <v>9</v>
      </c>
      <c r="D434" s="6">
        <v>13</v>
      </c>
      <c r="E434" s="6">
        <v>13</v>
      </c>
      <c r="F434" s="6">
        <v>12</v>
      </c>
      <c r="G434" s="15">
        <v>46085</v>
      </c>
      <c r="H434" s="15" t="str">
        <f t="shared" si="24"/>
        <v>Wednesday</v>
      </c>
      <c r="I434" s="11">
        <v>72</v>
      </c>
      <c r="J434" s="24">
        <f t="shared" si="25"/>
        <v>936</v>
      </c>
      <c r="K434">
        <f t="shared" si="26"/>
        <v>4</v>
      </c>
      <c r="L434" t="str">
        <f t="shared" si="27"/>
        <v>Low Stock</v>
      </c>
    </row>
    <row r="435" spans="1:12" x14ac:dyDescent="0.45">
      <c r="A435" s="21" t="s">
        <v>612</v>
      </c>
      <c r="B435" s="7">
        <v>30</v>
      </c>
      <c r="C435" s="7">
        <v>15</v>
      </c>
      <c r="D435" s="7">
        <v>60</v>
      </c>
      <c r="E435" s="7">
        <v>2</v>
      </c>
      <c r="F435" s="7">
        <v>2</v>
      </c>
      <c r="G435" s="16">
        <v>46084</v>
      </c>
      <c r="H435" s="16" t="str">
        <f t="shared" si="24"/>
        <v>Tuesday</v>
      </c>
      <c r="I435" s="12">
        <v>69</v>
      </c>
      <c r="J435" s="9">
        <f t="shared" si="25"/>
        <v>4140</v>
      </c>
      <c r="K435">
        <f t="shared" si="26"/>
        <v>30</v>
      </c>
      <c r="L435" t="str">
        <f t="shared" si="27"/>
        <v>OK</v>
      </c>
    </row>
    <row r="436" spans="1:12" x14ac:dyDescent="0.45">
      <c r="A436" s="20" t="s">
        <v>648</v>
      </c>
      <c r="B436" s="6">
        <v>10</v>
      </c>
      <c r="C436" s="6">
        <v>15</v>
      </c>
      <c r="D436" s="6">
        <v>20</v>
      </c>
      <c r="E436" s="6">
        <v>2</v>
      </c>
      <c r="F436" s="6">
        <v>2</v>
      </c>
      <c r="G436" s="15">
        <v>46086</v>
      </c>
      <c r="H436" s="15" t="str">
        <f t="shared" si="24"/>
        <v>Thursday</v>
      </c>
      <c r="I436" s="11">
        <v>64</v>
      </c>
      <c r="J436" s="24">
        <f t="shared" si="25"/>
        <v>1280</v>
      </c>
      <c r="K436">
        <f t="shared" si="26"/>
        <v>10</v>
      </c>
      <c r="L436" t="str">
        <f t="shared" si="27"/>
        <v>OK</v>
      </c>
    </row>
    <row r="437" spans="1:12" x14ac:dyDescent="0.45">
      <c r="A437" s="21" t="s">
        <v>758</v>
      </c>
      <c r="B437" s="7">
        <v>141</v>
      </c>
      <c r="C437" s="7">
        <v>25</v>
      </c>
      <c r="D437" s="7">
        <v>168</v>
      </c>
      <c r="E437" s="7">
        <v>24</v>
      </c>
      <c r="F437" s="7">
        <v>16</v>
      </c>
      <c r="G437" s="16">
        <v>46082</v>
      </c>
      <c r="H437" s="16" t="str">
        <f t="shared" si="24"/>
        <v>Sunday</v>
      </c>
      <c r="I437" s="12">
        <v>145</v>
      </c>
      <c r="J437" s="9">
        <f t="shared" si="25"/>
        <v>24360</v>
      </c>
      <c r="K437">
        <f t="shared" si="26"/>
        <v>141</v>
      </c>
      <c r="L437" t="str">
        <f t="shared" si="27"/>
        <v>OK</v>
      </c>
    </row>
    <row r="438" spans="1:12" x14ac:dyDescent="0.45">
      <c r="A438" s="20" t="s">
        <v>826</v>
      </c>
      <c r="B438" s="6">
        <v>75</v>
      </c>
      <c r="C438" s="6">
        <v>30</v>
      </c>
      <c r="D438" s="6">
        <v>75</v>
      </c>
      <c r="E438" s="6">
        <v>4</v>
      </c>
      <c r="F438" s="6">
        <v>4</v>
      </c>
      <c r="G438" s="15">
        <v>46088</v>
      </c>
      <c r="H438" s="15" t="str">
        <f t="shared" si="24"/>
        <v>Saturday</v>
      </c>
      <c r="I438" s="11">
        <v>84</v>
      </c>
      <c r="J438" s="24">
        <f t="shared" si="25"/>
        <v>6300</v>
      </c>
      <c r="K438">
        <f t="shared" si="26"/>
        <v>75</v>
      </c>
      <c r="L438" t="str">
        <f t="shared" si="27"/>
        <v>OK</v>
      </c>
    </row>
    <row r="439" spans="1:12" x14ac:dyDescent="0.45">
      <c r="A439" s="21" t="s">
        <v>926</v>
      </c>
      <c r="B439" s="7">
        <v>30</v>
      </c>
      <c r="C439" s="7">
        <v>30</v>
      </c>
      <c r="D439" s="7">
        <v>30</v>
      </c>
      <c r="E439" s="7">
        <v>3</v>
      </c>
      <c r="F439" s="7">
        <v>3</v>
      </c>
      <c r="G439" s="16">
        <v>46082</v>
      </c>
      <c r="H439" s="16" t="str">
        <f t="shared" si="24"/>
        <v>Sunday</v>
      </c>
      <c r="I439" s="12">
        <v>124</v>
      </c>
      <c r="J439" s="9">
        <f t="shared" si="25"/>
        <v>3720</v>
      </c>
      <c r="K439">
        <f t="shared" si="26"/>
        <v>30</v>
      </c>
      <c r="L439" t="str">
        <f t="shared" si="27"/>
        <v>OK</v>
      </c>
    </row>
    <row r="440" spans="1:12" x14ac:dyDescent="0.45">
      <c r="A440" s="20" t="s">
        <v>965</v>
      </c>
      <c r="B440" s="6">
        <v>20</v>
      </c>
      <c r="C440" s="6">
        <v>20</v>
      </c>
      <c r="D440" s="6">
        <v>30</v>
      </c>
      <c r="E440" s="6">
        <v>2</v>
      </c>
      <c r="F440" s="6">
        <v>2</v>
      </c>
      <c r="G440" s="15">
        <v>46088</v>
      </c>
      <c r="H440" s="15" t="str">
        <f t="shared" si="24"/>
        <v>Saturday</v>
      </c>
      <c r="I440" s="11">
        <v>94</v>
      </c>
      <c r="J440" s="24">
        <f t="shared" si="25"/>
        <v>2820</v>
      </c>
      <c r="K440">
        <f t="shared" si="26"/>
        <v>20</v>
      </c>
      <c r="L440" t="str">
        <f t="shared" si="27"/>
        <v>OK</v>
      </c>
    </row>
    <row r="441" spans="1:12" x14ac:dyDescent="0.45">
      <c r="A441" s="21" t="s">
        <v>1153</v>
      </c>
      <c r="B441" s="7">
        <v>1</v>
      </c>
      <c r="C441" s="7">
        <v>30</v>
      </c>
      <c r="D441" s="7">
        <v>1</v>
      </c>
      <c r="E441" s="7">
        <v>1</v>
      </c>
      <c r="F441" s="7">
        <v>1</v>
      </c>
      <c r="G441" s="16">
        <v>46085</v>
      </c>
      <c r="H441" s="16" t="str">
        <f t="shared" si="24"/>
        <v>Wednesday</v>
      </c>
      <c r="I441" s="12">
        <v>170</v>
      </c>
      <c r="J441" s="9">
        <f t="shared" si="25"/>
        <v>170</v>
      </c>
      <c r="K441">
        <f t="shared" si="26"/>
        <v>1</v>
      </c>
      <c r="L441" t="str">
        <f t="shared" si="27"/>
        <v>Low Stock</v>
      </c>
    </row>
    <row r="442" spans="1:12" x14ac:dyDescent="0.45">
      <c r="A442" s="20" t="s">
        <v>1228</v>
      </c>
      <c r="B442" s="6">
        <v>15</v>
      </c>
      <c r="C442" s="6">
        <v>22</v>
      </c>
      <c r="D442" s="6">
        <v>20</v>
      </c>
      <c r="E442" s="6">
        <v>2</v>
      </c>
      <c r="F442" s="6">
        <v>2</v>
      </c>
      <c r="G442" s="15">
        <v>46083</v>
      </c>
      <c r="H442" s="15" t="str">
        <f t="shared" si="24"/>
        <v>Monday</v>
      </c>
      <c r="I442" s="11">
        <v>82</v>
      </c>
      <c r="J442" s="24">
        <f t="shared" si="25"/>
        <v>1640</v>
      </c>
      <c r="K442">
        <f t="shared" si="26"/>
        <v>15</v>
      </c>
      <c r="L442" t="str">
        <f t="shared" si="27"/>
        <v>OK</v>
      </c>
    </row>
    <row r="443" spans="1:12" x14ac:dyDescent="0.45">
      <c r="A443" s="21" t="s">
        <v>102</v>
      </c>
      <c r="B443" s="7">
        <v>40</v>
      </c>
      <c r="C443" s="7">
        <v>6</v>
      </c>
      <c r="D443" s="7">
        <v>190</v>
      </c>
      <c r="E443" s="7">
        <v>9</v>
      </c>
      <c r="F443" s="7">
        <v>7</v>
      </c>
      <c r="G443" s="16">
        <v>46086</v>
      </c>
      <c r="H443" s="16" t="str">
        <f t="shared" si="24"/>
        <v>Thursday</v>
      </c>
      <c r="I443" s="12">
        <v>141</v>
      </c>
      <c r="J443" s="9">
        <f t="shared" si="25"/>
        <v>26790</v>
      </c>
      <c r="K443">
        <f t="shared" si="26"/>
        <v>40</v>
      </c>
      <c r="L443" t="str">
        <f t="shared" si="27"/>
        <v>OK</v>
      </c>
    </row>
    <row r="444" spans="1:12" x14ac:dyDescent="0.45">
      <c r="A444" s="20" t="s">
        <v>116</v>
      </c>
      <c r="B444" s="6">
        <v>0</v>
      </c>
      <c r="C444" s="6">
        <v>0</v>
      </c>
      <c r="D444" s="6">
        <v>45</v>
      </c>
      <c r="E444" s="6">
        <v>1</v>
      </c>
      <c r="F444" s="6">
        <v>1</v>
      </c>
      <c r="G444" s="15">
        <v>46087</v>
      </c>
      <c r="H444" s="15" t="str">
        <f t="shared" si="24"/>
        <v>Friday</v>
      </c>
      <c r="I444" s="11">
        <v>64</v>
      </c>
      <c r="J444" s="24">
        <f t="shared" si="25"/>
        <v>2880</v>
      </c>
      <c r="K444">
        <f t="shared" si="26"/>
        <v>0</v>
      </c>
      <c r="L444" t="str">
        <f t="shared" si="27"/>
        <v>Low Stock</v>
      </c>
    </row>
    <row r="445" spans="1:12" x14ac:dyDescent="0.45">
      <c r="A445" s="21" t="s">
        <v>120</v>
      </c>
      <c r="B445" s="7">
        <v>1</v>
      </c>
      <c r="C445" s="7">
        <v>7</v>
      </c>
      <c r="D445" s="7">
        <v>4</v>
      </c>
      <c r="E445" s="7">
        <v>4</v>
      </c>
      <c r="F445" s="7">
        <v>4</v>
      </c>
      <c r="G445" s="16">
        <v>46086</v>
      </c>
      <c r="H445" s="16" t="str">
        <f t="shared" si="24"/>
        <v>Thursday</v>
      </c>
      <c r="I445" s="12">
        <v>98</v>
      </c>
      <c r="J445" s="9">
        <f t="shared" si="25"/>
        <v>392</v>
      </c>
      <c r="K445">
        <f t="shared" si="26"/>
        <v>1</v>
      </c>
      <c r="L445" t="str">
        <f t="shared" si="27"/>
        <v>Low Stock</v>
      </c>
    </row>
    <row r="446" spans="1:12" x14ac:dyDescent="0.45">
      <c r="A446" s="20" t="s">
        <v>260</v>
      </c>
      <c r="B446" s="6">
        <v>0</v>
      </c>
      <c r="C446" s="6">
        <v>0</v>
      </c>
      <c r="D446" s="6">
        <v>2</v>
      </c>
      <c r="E446" s="6">
        <v>2</v>
      </c>
      <c r="F446" s="6">
        <v>2</v>
      </c>
      <c r="G446" s="15">
        <v>46086</v>
      </c>
      <c r="H446" s="15" t="str">
        <f t="shared" si="24"/>
        <v>Thursday</v>
      </c>
      <c r="I446" s="11">
        <v>74</v>
      </c>
      <c r="J446" s="24">
        <f t="shared" si="25"/>
        <v>148</v>
      </c>
      <c r="K446">
        <f t="shared" si="26"/>
        <v>0</v>
      </c>
      <c r="L446" t="str">
        <f t="shared" si="27"/>
        <v>Low Stock</v>
      </c>
    </row>
    <row r="447" spans="1:12" x14ac:dyDescent="0.45">
      <c r="A447" s="21" t="s">
        <v>312</v>
      </c>
      <c r="B447" s="7">
        <v>-13</v>
      </c>
      <c r="C447" s="7">
        <v>0</v>
      </c>
      <c r="D447" s="7">
        <v>5</v>
      </c>
      <c r="E447" s="7">
        <v>1</v>
      </c>
      <c r="F447" s="7">
        <v>1</v>
      </c>
      <c r="G447" s="16">
        <v>46086</v>
      </c>
      <c r="H447" s="16" t="str">
        <f t="shared" si="24"/>
        <v>Thursday</v>
      </c>
      <c r="I447" s="12">
        <v>181</v>
      </c>
      <c r="J447" s="9">
        <f t="shared" si="25"/>
        <v>905</v>
      </c>
      <c r="K447">
        <f t="shared" si="26"/>
        <v>0</v>
      </c>
      <c r="L447" t="str">
        <f t="shared" si="27"/>
        <v>Low Stock</v>
      </c>
    </row>
    <row r="448" spans="1:12" x14ac:dyDescent="0.45">
      <c r="A448" s="20" t="s">
        <v>413</v>
      </c>
      <c r="B448" s="6">
        <v>-1</v>
      </c>
      <c r="C448" s="6">
        <v>0</v>
      </c>
      <c r="D448" s="6">
        <v>1</v>
      </c>
      <c r="E448" s="6">
        <v>1</v>
      </c>
      <c r="F448" s="6">
        <v>1</v>
      </c>
      <c r="G448" s="15">
        <v>46087</v>
      </c>
      <c r="H448" s="15" t="str">
        <f t="shared" si="24"/>
        <v>Friday</v>
      </c>
      <c r="I448" s="11">
        <v>164</v>
      </c>
      <c r="J448" s="24">
        <f t="shared" si="25"/>
        <v>164</v>
      </c>
      <c r="K448">
        <f t="shared" si="26"/>
        <v>0</v>
      </c>
      <c r="L448" t="str">
        <f t="shared" si="27"/>
        <v>Low Stock</v>
      </c>
    </row>
    <row r="449" spans="1:12" x14ac:dyDescent="0.45">
      <c r="A449" s="21" t="s">
        <v>455</v>
      </c>
      <c r="B449" s="7">
        <v>-8</v>
      </c>
      <c r="C449" s="7">
        <v>0</v>
      </c>
      <c r="D449" s="7">
        <v>1</v>
      </c>
      <c r="E449" s="7">
        <v>1</v>
      </c>
      <c r="F449" s="7">
        <v>1</v>
      </c>
      <c r="G449" s="16">
        <v>46083</v>
      </c>
      <c r="H449" s="16" t="str">
        <f t="shared" si="24"/>
        <v>Monday</v>
      </c>
      <c r="I449" s="12">
        <v>196</v>
      </c>
      <c r="J449" s="9">
        <f t="shared" si="25"/>
        <v>196</v>
      </c>
      <c r="K449">
        <f t="shared" si="26"/>
        <v>0</v>
      </c>
      <c r="L449" t="str">
        <f t="shared" si="27"/>
        <v>Low Stock</v>
      </c>
    </row>
    <row r="450" spans="1:12" x14ac:dyDescent="0.45">
      <c r="A450" s="20" t="s">
        <v>525</v>
      </c>
      <c r="B450" s="6">
        <v>45</v>
      </c>
      <c r="C450" s="6">
        <v>15</v>
      </c>
      <c r="D450" s="6">
        <v>90</v>
      </c>
      <c r="E450" s="6">
        <v>1</v>
      </c>
      <c r="F450" s="6">
        <v>1</v>
      </c>
      <c r="G450" s="15">
        <v>46084</v>
      </c>
      <c r="H450" s="15" t="str">
        <f t="shared" ref="H450:H513" si="28">TEXT(G450,"dddd")</f>
        <v>Tuesday</v>
      </c>
      <c r="I450" s="11">
        <v>107</v>
      </c>
      <c r="J450" s="24">
        <f t="shared" ref="J450:J513" si="29">D450*I450</f>
        <v>9630</v>
      </c>
      <c r="K450">
        <f t="shared" ref="K450:K513" si="30">IF(B450&lt;0,0,B450)</f>
        <v>45</v>
      </c>
      <c r="L450" t="str">
        <f t="shared" ref="L450:L513" si="31">IF(K450&lt;5,"Low Stock","OK")</f>
        <v>OK</v>
      </c>
    </row>
    <row r="451" spans="1:12" x14ac:dyDescent="0.45">
      <c r="A451" s="21" t="s">
        <v>573</v>
      </c>
      <c r="B451" s="7">
        <v>4</v>
      </c>
      <c r="C451" s="7">
        <v>15</v>
      </c>
      <c r="D451" s="7">
        <v>8</v>
      </c>
      <c r="E451" s="7">
        <v>6</v>
      </c>
      <c r="F451" s="7">
        <v>6</v>
      </c>
      <c r="G451" s="16">
        <v>46086</v>
      </c>
      <c r="H451" s="16" t="str">
        <f t="shared" si="28"/>
        <v>Thursday</v>
      </c>
      <c r="I451" s="12">
        <v>175</v>
      </c>
      <c r="J451" s="9">
        <f t="shared" si="29"/>
        <v>1400</v>
      </c>
      <c r="K451">
        <f t="shared" si="30"/>
        <v>4</v>
      </c>
      <c r="L451" t="str">
        <f t="shared" si="31"/>
        <v>Low Stock</v>
      </c>
    </row>
    <row r="452" spans="1:12" x14ac:dyDescent="0.45">
      <c r="A452" s="20" t="s">
        <v>861</v>
      </c>
      <c r="B452" s="6">
        <v>30</v>
      </c>
      <c r="C452" s="6">
        <v>18</v>
      </c>
      <c r="D452" s="6">
        <v>50</v>
      </c>
      <c r="E452" s="6">
        <v>4</v>
      </c>
      <c r="F452" s="6">
        <v>4</v>
      </c>
      <c r="G452" s="15">
        <v>46085</v>
      </c>
      <c r="H452" s="15" t="str">
        <f t="shared" si="28"/>
        <v>Wednesday</v>
      </c>
      <c r="I452" s="11">
        <v>75</v>
      </c>
      <c r="J452" s="24">
        <f t="shared" si="29"/>
        <v>3750</v>
      </c>
      <c r="K452">
        <f t="shared" si="30"/>
        <v>30</v>
      </c>
      <c r="L452" t="str">
        <f t="shared" si="31"/>
        <v>OK</v>
      </c>
    </row>
    <row r="453" spans="1:12" x14ac:dyDescent="0.45">
      <c r="A453" s="21" t="s">
        <v>916</v>
      </c>
      <c r="B453" s="7">
        <v>52</v>
      </c>
      <c r="C453" s="7">
        <v>26</v>
      </c>
      <c r="D453" s="7">
        <v>60</v>
      </c>
      <c r="E453" s="7">
        <v>3</v>
      </c>
      <c r="F453" s="7">
        <v>3</v>
      </c>
      <c r="G453" s="16">
        <v>46082</v>
      </c>
      <c r="H453" s="16" t="str">
        <f t="shared" si="28"/>
        <v>Sunday</v>
      </c>
      <c r="I453" s="12">
        <v>131</v>
      </c>
      <c r="J453" s="9">
        <f t="shared" si="29"/>
        <v>7860</v>
      </c>
      <c r="K453">
        <f t="shared" si="30"/>
        <v>52</v>
      </c>
      <c r="L453" t="str">
        <f t="shared" si="31"/>
        <v>OK</v>
      </c>
    </row>
    <row r="454" spans="1:12" x14ac:dyDescent="0.45">
      <c r="A454" s="20" t="s">
        <v>936</v>
      </c>
      <c r="B454" s="6">
        <v>30</v>
      </c>
      <c r="C454" s="6">
        <v>20</v>
      </c>
      <c r="D454" s="6">
        <v>45</v>
      </c>
      <c r="E454" s="6">
        <v>3</v>
      </c>
      <c r="F454" s="6">
        <v>3</v>
      </c>
      <c r="G454" s="15">
        <v>46086</v>
      </c>
      <c r="H454" s="15" t="str">
        <f t="shared" si="28"/>
        <v>Thursday</v>
      </c>
      <c r="I454" s="11">
        <v>143</v>
      </c>
      <c r="J454" s="24">
        <f t="shared" si="29"/>
        <v>6435</v>
      </c>
      <c r="K454">
        <f t="shared" si="30"/>
        <v>30</v>
      </c>
      <c r="L454" t="str">
        <f t="shared" si="31"/>
        <v>OK</v>
      </c>
    </row>
    <row r="455" spans="1:12" x14ac:dyDescent="0.45">
      <c r="A455" s="21" t="s">
        <v>1116</v>
      </c>
      <c r="B455" s="7">
        <v>30</v>
      </c>
      <c r="C455" s="7">
        <v>30</v>
      </c>
      <c r="D455" s="7">
        <v>30</v>
      </c>
      <c r="E455" s="7">
        <v>2</v>
      </c>
      <c r="F455" s="7">
        <v>2</v>
      </c>
      <c r="G455" s="16">
        <v>46084</v>
      </c>
      <c r="H455" s="16" t="str">
        <f t="shared" si="28"/>
        <v>Tuesday</v>
      </c>
      <c r="I455" s="12">
        <v>97</v>
      </c>
      <c r="J455" s="9">
        <f t="shared" si="29"/>
        <v>2910</v>
      </c>
      <c r="K455">
        <f t="shared" si="30"/>
        <v>30</v>
      </c>
      <c r="L455" t="str">
        <f t="shared" si="31"/>
        <v>OK</v>
      </c>
    </row>
    <row r="456" spans="1:12" x14ac:dyDescent="0.45">
      <c r="A456" s="20" t="s">
        <v>1224</v>
      </c>
      <c r="B456" s="6">
        <v>10</v>
      </c>
      <c r="C456" s="6">
        <v>30</v>
      </c>
      <c r="D456" s="6">
        <v>10</v>
      </c>
      <c r="E456" s="6">
        <v>1</v>
      </c>
      <c r="F456" s="6">
        <v>1</v>
      </c>
      <c r="G456" s="15">
        <v>46086</v>
      </c>
      <c r="H456" s="15" t="str">
        <f t="shared" si="28"/>
        <v>Thursday</v>
      </c>
      <c r="I456" s="11">
        <v>87</v>
      </c>
      <c r="J456" s="24">
        <f t="shared" si="29"/>
        <v>870</v>
      </c>
      <c r="K456">
        <f t="shared" si="30"/>
        <v>10</v>
      </c>
      <c r="L456" t="str">
        <f t="shared" si="31"/>
        <v>OK</v>
      </c>
    </row>
    <row r="457" spans="1:12" x14ac:dyDescent="0.45">
      <c r="A457" s="21" t="s">
        <v>1233</v>
      </c>
      <c r="B457" s="7">
        <v>30</v>
      </c>
      <c r="C457" s="7">
        <v>30</v>
      </c>
      <c r="D457" s="7">
        <v>30</v>
      </c>
      <c r="E457" s="7">
        <v>2</v>
      </c>
      <c r="F457" s="7">
        <v>2</v>
      </c>
      <c r="G457" s="16">
        <v>46083</v>
      </c>
      <c r="H457" s="16" t="str">
        <f t="shared" si="28"/>
        <v>Monday</v>
      </c>
      <c r="I457" s="12">
        <v>96</v>
      </c>
      <c r="J457" s="9">
        <f t="shared" si="29"/>
        <v>2880</v>
      </c>
      <c r="K457">
        <f t="shared" si="30"/>
        <v>30</v>
      </c>
      <c r="L457" t="str">
        <f t="shared" si="31"/>
        <v>OK</v>
      </c>
    </row>
    <row r="458" spans="1:12" x14ac:dyDescent="0.45">
      <c r="A458" s="20" t="s">
        <v>1259</v>
      </c>
      <c r="B458" s="6">
        <v>15</v>
      </c>
      <c r="C458" s="6">
        <v>30</v>
      </c>
      <c r="D458" s="6">
        <v>15</v>
      </c>
      <c r="E458" s="6">
        <v>1</v>
      </c>
      <c r="F458" s="6">
        <v>1</v>
      </c>
      <c r="G458" s="15">
        <v>46082</v>
      </c>
      <c r="H458" s="15" t="str">
        <f t="shared" si="28"/>
        <v>Sunday</v>
      </c>
      <c r="I458" s="11">
        <v>60</v>
      </c>
      <c r="J458" s="24">
        <f t="shared" si="29"/>
        <v>900</v>
      </c>
      <c r="K458">
        <f t="shared" si="30"/>
        <v>15</v>
      </c>
      <c r="L458" t="str">
        <f t="shared" si="31"/>
        <v>OK</v>
      </c>
    </row>
    <row r="459" spans="1:12" x14ac:dyDescent="0.45">
      <c r="A459" s="21" t="s">
        <v>303</v>
      </c>
      <c r="B459" s="7">
        <v>10</v>
      </c>
      <c r="C459" s="7">
        <v>7</v>
      </c>
      <c r="D459" s="7">
        <v>40</v>
      </c>
      <c r="E459" s="7">
        <v>2</v>
      </c>
      <c r="F459" s="7">
        <v>2</v>
      </c>
      <c r="G459" s="16">
        <v>46082</v>
      </c>
      <c r="H459" s="16" t="str">
        <f t="shared" si="28"/>
        <v>Sunday</v>
      </c>
      <c r="I459" s="12">
        <v>134</v>
      </c>
      <c r="J459" s="9">
        <f t="shared" si="29"/>
        <v>5360</v>
      </c>
      <c r="K459">
        <f t="shared" si="30"/>
        <v>10</v>
      </c>
      <c r="L459" t="str">
        <f t="shared" si="31"/>
        <v>OK</v>
      </c>
    </row>
    <row r="460" spans="1:12" x14ac:dyDescent="0.45">
      <c r="A460" s="20" t="s">
        <v>515</v>
      </c>
      <c r="B460" s="6">
        <v>300</v>
      </c>
      <c r="C460" s="6">
        <v>15</v>
      </c>
      <c r="D460" s="6">
        <v>600</v>
      </c>
      <c r="E460" s="6">
        <v>10</v>
      </c>
      <c r="F460" s="6">
        <v>9</v>
      </c>
      <c r="G460" s="15">
        <v>46085</v>
      </c>
      <c r="H460" s="15" t="str">
        <f t="shared" si="28"/>
        <v>Wednesday</v>
      </c>
      <c r="I460" s="11">
        <v>133</v>
      </c>
      <c r="J460" s="24">
        <f t="shared" si="29"/>
        <v>79800</v>
      </c>
      <c r="K460">
        <f t="shared" si="30"/>
        <v>300</v>
      </c>
      <c r="L460" t="str">
        <f t="shared" si="31"/>
        <v>OK</v>
      </c>
    </row>
    <row r="461" spans="1:12" x14ac:dyDescent="0.45">
      <c r="A461" s="21" t="s">
        <v>687</v>
      </c>
      <c r="B461" s="7">
        <v>1</v>
      </c>
      <c r="C461" s="7">
        <v>10</v>
      </c>
      <c r="D461" s="7">
        <v>3</v>
      </c>
      <c r="E461" s="7">
        <v>3</v>
      </c>
      <c r="F461" s="7">
        <v>3</v>
      </c>
      <c r="G461" s="16">
        <v>46083</v>
      </c>
      <c r="H461" s="16" t="str">
        <f t="shared" si="28"/>
        <v>Monday</v>
      </c>
      <c r="I461" s="12">
        <v>134</v>
      </c>
      <c r="J461" s="9">
        <f t="shared" si="29"/>
        <v>402</v>
      </c>
      <c r="K461">
        <f t="shared" si="30"/>
        <v>1</v>
      </c>
      <c r="L461" t="str">
        <f t="shared" si="31"/>
        <v>Low Stock</v>
      </c>
    </row>
    <row r="462" spans="1:12" x14ac:dyDescent="0.45">
      <c r="A462" s="20" t="s">
        <v>709</v>
      </c>
      <c r="B462" s="6">
        <v>1</v>
      </c>
      <c r="C462" s="6">
        <v>15</v>
      </c>
      <c r="D462" s="6">
        <v>2</v>
      </c>
      <c r="E462" s="6">
        <v>2</v>
      </c>
      <c r="F462" s="6">
        <v>2</v>
      </c>
      <c r="G462" s="15">
        <v>46085</v>
      </c>
      <c r="H462" s="15" t="str">
        <f t="shared" si="28"/>
        <v>Wednesday</v>
      </c>
      <c r="I462" s="11">
        <v>167</v>
      </c>
      <c r="J462" s="24">
        <f t="shared" si="29"/>
        <v>334</v>
      </c>
      <c r="K462">
        <f t="shared" si="30"/>
        <v>1</v>
      </c>
      <c r="L462" t="str">
        <f t="shared" si="31"/>
        <v>Low Stock</v>
      </c>
    </row>
    <row r="463" spans="1:12" x14ac:dyDescent="0.45">
      <c r="A463" s="21" t="s">
        <v>710</v>
      </c>
      <c r="B463" s="7">
        <v>15</v>
      </c>
      <c r="C463" s="7">
        <v>15</v>
      </c>
      <c r="D463" s="7">
        <v>30</v>
      </c>
      <c r="E463" s="7">
        <v>1</v>
      </c>
      <c r="F463" s="7">
        <v>1</v>
      </c>
      <c r="G463" s="16">
        <v>46087</v>
      </c>
      <c r="H463" s="16" t="str">
        <f t="shared" si="28"/>
        <v>Friday</v>
      </c>
      <c r="I463" s="12">
        <v>164</v>
      </c>
      <c r="J463" s="9">
        <f t="shared" si="29"/>
        <v>4920</v>
      </c>
      <c r="K463">
        <f t="shared" si="30"/>
        <v>15</v>
      </c>
      <c r="L463" t="str">
        <f t="shared" si="31"/>
        <v>OK</v>
      </c>
    </row>
    <row r="464" spans="1:12" x14ac:dyDescent="0.45">
      <c r="A464" s="20" t="s">
        <v>711</v>
      </c>
      <c r="B464" s="6"/>
      <c r="C464" s="6"/>
      <c r="D464" s="6"/>
      <c r="E464" s="6"/>
      <c r="F464" s="6"/>
      <c r="G464" s="15">
        <v>46082</v>
      </c>
      <c r="H464" s="15" t="str">
        <f t="shared" si="28"/>
        <v>Sunday</v>
      </c>
      <c r="I464" s="11">
        <v>188</v>
      </c>
      <c r="J464" s="24">
        <f t="shared" si="29"/>
        <v>0</v>
      </c>
      <c r="K464">
        <f t="shared" si="30"/>
        <v>0</v>
      </c>
      <c r="L464" t="str">
        <f t="shared" si="31"/>
        <v>Low Stock</v>
      </c>
    </row>
    <row r="465" spans="1:12" x14ac:dyDescent="0.45">
      <c r="A465" s="21" t="s">
        <v>834</v>
      </c>
      <c r="B465" s="7">
        <v>30</v>
      </c>
      <c r="C465" s="7">
        <v>30</v>
      </c>
      <c r="D465" s="7">
        <v>30</v>
      </c>
      <c r="E465" s="7">
        <v>2</v>
      </c>
      <c r="F465" s="7">
        <v>2</v>
      </c>
      <c r="G465" s="16">
        <v>46082</v>
      </c>
      <c r="H465" s="16" t="str">
        <f t="shared" si="28"/>
        <v>Sunday</v>
      </c>
      <c r="I465" s="12">
        <v>112</v>
      </c>
      <c r="J465" s="9">
        <f t="shared" si="29"/>
        <v>3360</v>
      </c>
      <c r="K465">
        <f t="shared" si="30"/>
        <v>30</v>
      </c>
      <c r="L465" t="str">
        <f t="shared" si="31"/>
        <v>OK</v>
      </c>
    </row>
    <row r="466" spans="1:12" x14ac:dyDescent="0.45">
      <c r="A466" s="20" t="s">
        <v>844</v>
      </c>
      <c r="B466" s="6">
        <v>150</v>
      </c>
      <c r="C466" s="6">
        <v>21</v>
      </c>
      <c r="D466" s="6">
        <v>210</v>
      </c>
      <c r="E466" s="6">
        <v>7</v>
      </c>
      <c r="F466" s="6">
        <v>6</v>
      </c>
      <c r="G466" s="15">
        <v>46084</v>
      </c>
      <c r="H466" s="15" t="str">
        <f t="shared" si="28"/>
        <v>Tuesday</v>
      </c>
      <c r="I466" s="11">
        <v>153</v>
      </c>
      <c r="J466" s="24">
        <f t="shared" si="29"/>
        <v>32130</v>
      </c>
      <c r="K466">
        <f t="shared" si="30"/>
        <v>150</v>
      </c>
      <c r="L466" t="str">
        <f t="shared" si="31"/>
        <v>OK</v>
      </c>
    </row>
    <row r="467" spans="1:12" x14ac:dyDescent="0.45">
      <c r="A467" s="21" t="s">
        <v>935</v>
      </c>
      <c r="B467" s="7">
        <v>30</v>
      </c>
      <c r="C467" s="7">
        <v>30</v>
      </c>
      <c r="D467" s="7">
        <v>30</v>
      </c>
      <c r="E467" s="7">
        <v>2</v>
      </c>
      <c r="F467" s="7">
        <v>2</v>
      </c>
      <c r="G467" s="16">
        <v>46085</v>
      </c>
      <c r="H467" s="16" t="str">
        <f t="shared" si="28"/>
        <v>Wednesday</v>
      </c>
      <c r="I467" s="12">
        <v>145</v>
      </c>
      <c r="J467" s="9">
        <f t="shared" si="29"/>
        <v>4350</v>
      </c>
      <c r="K467">
        <f t="shared" si="30"/>
        <v>30</v>
      </c>
      <c r="L467" t="str">
        <f t="shared" si="31"/>
        <v>OK</v>
      </c>
    </row>
    <row r="468" spans="1:12" x14ac:dyDescent="0.45">
      <c r="A468" s="20" t="s">
        <v>961</v>
      </c>
      <c r="B468" s="6">
        <v>3</v>
      </c>
      <c r="C468" s="6">
        <v>22</v>
      </c>
      <c r="D468" s="6">
        <v>4</v>
      </c>
      <c r="E468" s="6">
        <v>4</v>
      </c>
      <c r="F468" s="6">
        <v>4</v>
      </c>
      <c r="G468" s="15">
        <v>46088</v>
      </c>
      <c r="H468" s="15" t="str">
        <f t="shared" si="28"/>
        <v>Saturday</v>
      </c>
      <c r="I468" s="11">
        <v>181</v>
      </c>
      <c r="J468" s="24">
        <f t="shared" si="29"/>
        <v>724</v>
      </c>
      <c r="K468">
        <f t="shared" si="30"/>
        <v>3</v>
      </c>
      <c r="L468" t="str">
        <f t="shared" si="31"/>
        <v>Low Stock</v>
      </c>
    </row>
    <row r="469" spans="1:12" x14ac:dyDescent="0.45">
      <c r="A469" s="21" t="s">
        <v>980</v>
      </c>
      <c r="B469" s="7">
        <v>2</v>
      </c>
      <c r="C469" s="7">
        <v>20</v>
      </c>
      <c r="D469" s="7">
        <v>3</v>
      </c>
      <c r="E469" s="7">
        <v>3</v>
      </c>
      <c r="F469" s="7">
        <v>2</v>
      </c>
      <c r="G469" s="16">
        <v>46085</v>
      </c>
      <c r="H469" s="16" t="str">
        <f t="shared" si="28"/>
        <v>Wednesday</v>
      </c>
      <c r="I469" s="12">
        <v>81</v>
      </c>
      <c r="J469" s="9">
        <f t="shared" si="29"/>
        <v>243</v>
      </c>
      <c r="K469">
        <f t="shared" si="30"/>
        <v>2</v>
      </c>
      <c r="L469" t="str">
        <f t="shared" si="31"/>
        <v>Low Stock</v>
      </c>
    </row>
    <row r="470" spans="1:12" x14ac:dyDescent="0.45">
      <c r="A470" s="20" t="s">
        <v>999</v>
      </c>
      <c r="B470" s="6">
        <v>30</v>
      </c>
      <c r="C470" s="6">
        <v>30</v>
      </c>
      <c r="D470" s="6">
        <v>30</v>
      </c>
      <c r="E470" s="6">
        <v>2</v>
      </c>
      <c r="F470" s="6">
        <v>2</v>
      </c>
      <c r="G470" s="15">
        <v>46083</v>
      </c>
      <c r="H470" s="15" t="str">
        <f t="shared" si="28"/>
        <v>Monday</v>
      </c>
      <c r="I470" s="11">
        <v>145</v>
      </c>
      <c r="J470" s="24">
        <f t="shared" si="29"/>
        <v>4350</v>
      </c>
      <c r="K470">
        <f t="shared" si="30"/>
        <v>30</v>
      </c>
      <c r="L470" t="str">
        <f t="shared" si="31"/>
        <v>OK</v>
      </c>
    </row>
    <row r="471" spans="1:12" x14ac:dyDescent="0.45">
      <c r="A471" s="21" t="s">
        <v>1123</v>
      </c>
      <c r="B471" s="7">
        <v>1</v>
      </c>
      <c r="C471" s="7">
        <v>30</v>
      </c>
      <c r="D471" s="7">
        <v>1</v>
      </c>
      <c r="E471" s="7">
        <v>1</v>
      </c>
      <c r="F471" s="7">
        <v>1</v>
      </c>
      <c r="G471" s="16">
        <v>46085</v>
      </c>
      <c r="H471" s="16" t="str">
        <f t="shared" si="28"/>
        <v>Wednesday</v>
      </c>
      <c r="I471" s="12">
        <v>190</v>
      </c>
      <c r="J471" s="9">
        <f t="shared" si="29"/>
        <v>190</v>
      </c>
      <c r="K471">
        <f t="shared" si="30"/>
        <v>1</v>
      </c>
      <c r="L471" t="str">
        <f t="shared" si="31"/>
        <v>Low Stock</v>
      </c>
    </row>
    <row r="472" spans="1:12" x14ac:dyDescent="0.45">
      <c r="A472" s="20" t="s">
        <v>1133</v>
      </c>
      <c r="B472" s="6">
        <v>1</v>
      </c>
      <c r="C472" s="6">
        <v>30</v>
      </c>
      <c r="D472" s="6">
        <v>1</v>
      </c>
      <c r="E472" s="6">
        <v>1</v>
      </c>
      <c r="F472" s="6">
        <v>1</v>
      </c>
      <c r="G472" s="15">
        <v>46086</v>
      </c>
      <c r="H472" s="15" t="str">
        <f t="shared" si="28"/>
        <v>Thursday</v>
      </c>
      <c r="I472" s="11">
        <v>135</v>
      </c>
      <c r="J472" s="24">
        <f t="shared" si="29"/>
        <v>135</v>
      </c>
      <c r="K472">
        <f t="shared" si="30"/>
        <v>1</v>
      </c>
      <c r="L472" t="str">
        <f t="shared" si="31"/>
        <v>Low Stock</v>
      </c>
    </row>
    <row r="473" spans="1:12" x14ac:dyDescent="0.45">
      <c r="A473" s="21" t="s">
        <v>16</v>
      </c>
      <c r="B473" s="7">
        <v>30</v>
      </c>
      <c r="C473" s="7">
        <v>4</v>
      </c>
      <c r="D473" s="7">
        <v>210</v>
      </c>
      <c r="E473" s="7">
        <v>10</v>
      </c>
      <c r="F473" s="7">
        <v>9</v>
      </c>
      <c r="G473" s="16">
        <v>46083</v>
      </c>
      <c r="H473" s="16" t="str">
        <f t="shared" si="28"/>
        <v>Monday</v>
      </c>
      <c r="I473" s="12">
        <v>131</v>
      </c>
      <c r="J473" s="9">
        <f t="shared" si="29"/>
        <v>27510</v>
      </c>
      <c r="K473">
        <f t="shared" si="30"/>
        <v>30</v>
      </c>
      <c r="L473" t="str">
        <f t="shared" si="31"/>
        <v>OK</v>
      </c>
    </row>
    <row r="474" spans="1:12" x14ac:dyDescent="0.45">
      <c r="A474" s="20" t="s">
        <v>88</v>
      </c>
      <c r="B474" s="6">
        <v>0</v>
      </c>
      <c r="C474" s="6">
        <v>0</v>
      </c>
      <c r="D474" s="6">
        <v>2</v>
      </c>
      <c r="E474" s="6">
        <v>2</v>
      </c>
      <c r="F474" s="6">
        <v>2</v>
      </c>
      <c r="G474" s="15">
        <v>46083</v>
      </c>
      <c r="H474" s="15" t="str">
        <f t="shared" si="28"/>
        <v>Monday</v>
      </c>
      <c r="I474" s="11">
        <v>139</v>
      </c>
      <c r="J474" s="24">
        <f t="shared" si="29"/>
        <v>278</v>
      </c>
      <c r="K474">
        <f t="shared" si="30"/>
        <v>0</v>
      </c>
      <c r="L474" t="str">
        <f t="shared" si="31"/>
        <v>Low Stock</v>
      </c>
    </row>
    <row r="475" spans="1:12" x14ac:dyDescent="0.45">
      <c r="A475" s="21" t="s">
        <v>165</v>
      </c>
      <c r="B475" s="7">
        <v>0</v>
      </c>
      <c r="C475" s="7">
        <v>0</v>
      </c>
      <c r="D475" s="7">
        <v>30</v>
      </c>
      <c r="E475" s="7">
        <v>1</v>
      </c>
      <c r="F475" s="7">
        <v>1</v>
      </c>
      <c r="G475" s="16">
        <v>46083</v>
      </c>
      <c r="H475" s="16" t="str">
        <f t="shared" si="28"/>
        <v>Monday</v>
      </c>
      <c r="I475" s="12">
        <v>89</v>
      </c>
      <c r="J475" s="9">
        <f t="shared" si="29"/>
        <v>2670</v>
      </c>
      <c r="K475">
        <f t="shared" si="30"/>
        <v>0</v>
      </c>
      <c r="L475" t="str">
        <f t="shared" si="31"/>
        <v>Low Stock</v>
      </c>
    </row>
    <row r="476" spans="1:12" x14ac:dyDescent="0.45">
      <c r="A476" s="20" t="s">
        <v>217</v>
      </c>
      <c r="B476" s="6">
        <v>-15</v>
      </c>
      <c r="C476" s="6">
        <v>0</v>
      </c>
      <c r="D476" s="6">
        <v>15</v>
      </c>
      <c r="E476" s="6">
        <v>1</v>
      </c>
      <c r="F476" s="6">
        <v>1</v>
      </c>
      <c r="G476" s="15">
        <v>46082</v>
      </c>
      <c r="H476" s="15" t="str">
        <f t="shared" si="28"/>
        <v>Sunday</v>
      </c>
      <c r="I476" s="11">
        <v>90</v>
      </c>
      <c r="J476" s="24">
        <f t="shared" si="29"/>
        <v>1350</v>
      </c>
      <c r="K476">
        <f t="shared" si="30"/>
        <v>0</v>
      </c>
      <c r="L476" t="str">
        <f t="shared" si="31"/>
        <v>Low Stock</v>
      </c>
    </row>
    <row r="477" spans="1:12" x14ac:dyDescent="0.45">
      <c r="A477" s="21" t="s">
        <v>0</v>
      </c>
      <c r="B477" s="7"/>
      <c r="C477" s="7"/>
      <c r="D477" s="7"/>
      <c r="E477" s="7"/>
      <c r="F477" s="7"/>
      <c r="G477" s="16">
        <v>46083</v>
      </c>
      <c r="H477" s="16" t="str">
        <f t="shared" si="28"/>
        <v>Monday</v>
      </c>
      <c r="I477" s="12">
        <v>166</v>
      </c>
      <c r="J477" s="9">
        <f t="shared" si="29"/>
        <v>0</v>
      </c>
      <c r="K477">
        <f t="shared" si="30"/>
        <v>0</v>
      </c>
      <c r="L477" t="str">
        <f t="shared" si="31"/>
        <v>Low Stock</v>
      </c>
    </row>
    <row r="478" spans="1:12" x14ac:dyDescent="0.45">
      <c r="A478" s="20" t="s">
        <v>632</v>
      </c>
      <c r="B478" s="6">
        <v>15</v>
      </c>
      <c r="C478" s="6">
        <v>15</v>
      </c>
      <c r="D478" s="6">
        <v>30</v>
      </c>
      <c r="E478" s="6">
        <v>1</v>
      </c>
      <c r="F478" s="6">
        <v>1</v>
      </c>
      <c r="G478" s="15">
        <v>46083</v>
      </c>
      <c r="H478" s="15" t="str">
        <f t="shared" si="28"/>
        <v>Monday</v>
      </c>
      <c r="I478" s="11">
        <v>141</v>
      </c>
      <c r="J478" s="24">
        <f t="shared" si="29"/>
        <v>4230</v>
      </c>
      <c r="K478">
        <f t="shared" si="30"/>
        <v>15</v>
      </c>
      <c r="L478" t="str">
        <f t="shared" si="31"/>
        <v>OK</v>
      </c>
    </row>
    <row r="479" spans="1:12" x14ac:dyDescent="0.45">
      <c r="A479" s="21" t="s">
        <v>705</v>
      </c>
      <c r="B479" s="7">
        <v>41</v>
      </c>
      <c r="C479" s="7">
        <v>14</v>
      </c>
      <c r="D479" s="7">
        <v>85</v>
      </c>
      <c r="E479" s="7">
        <v>6</v>
      </c>
      <c r="F479" s="7">
        <v>5</v>
      </c>
      <c r="G479" s="16">
        <v>46086</v>
      </c>
      <c r="H479" s="16" t="str">
        <f t="shared" si="28"/>
        <v>Thursday</v>
      </c>
      <c r="I479" s="12">
        <v>88</v>
      </c>
      <c r="J479" s="9">
        <f t="shared" si="29"/>
        <v>7480</v>
      </c>
      <c r="K479">
        <f t="shared" si="30"/>
        <v>41</v>
      </c>
      <c r="L479" t="str">
        <f t="shared" si="31"/>
        <v>OK</v>
      </c>
    </row>
    <row r="480" spans="1:12" x14ac:dyDescent="0.45">
      <c r="A480" s="20" t="s">
        <v>727</v>
      </c>
      <c r="B480" s="6">
        <v>120</v>
      </c>
      <c r="C480" s="6">
        <v>21</v>
      </c>
      <c r="D480" s="6">
        <v>165</v>
      </c>
      <c r="E480" s="6">
        <v>7</v>
      </c>
      <c r="F480" s="6">
        <v>5</v>
      </c>
      <c r="G480" s="15">
        <v>46088</v>
      </c>
      <c r="H480" s="15" t="str">
        <f t="shared" si="28"/>
        <v>Saturday</v>
      </c>
      <c r="I480" s="11">
        <v>86</v>
      </c>
      <c r="J480" s="24">
        <f t="shared" si="29"/>
        <v>14190</v>
      </c>
      <c r="K480">
        <f t="shared" si="30"/>
        <v>120</v>
      </c>
      <c r="L480" t="str">
        <f t="shared" si="31"/>
        <v>OK</v>
      </c>
    </row>
    <row r="481" spans="1:12" x14ac:dyDescent="0.45">
      <c r="A481" s="21" t="s">
        <v>832</v>
      </c>
      <c r="B481" s="7">
        <v>200</v>
      </c>
      <c r="C481" s="7">
        <v>20</v>
      </c>
      <c r="D481" s="7">
        <v>300</v>
      </c>
      <c r="E481" s="7">
        <v>3</v>
      </c>
      <c r="F481" s="7">
        <v>3</v>
      </c>
      <c r="G481" s="16">
        <v>46085</v>
      </c>
      <c r="H481" s="16" t="str">
        <f t="shared" si="28"/>
        <v>Wednesday</v>
      </c>
      <c r="I481" s="12">
        <v>144</v>
      </c>
      <c r="J481" s="9">
        <f t="shared" si="29"/>
        <v>43200</v>
      </c>
      <c r="K481">
        <f t="shared" si="30"/>
        <v>200</v>
      </c>
      <c r="L481" t="str">
        <f t="shared" si="31"/>
        <v>OK</v>
      </c>
    </row>
    <row r="482" spans="1:12" x14ac:dyDescent="0.45">
      <c r="A482" s="20" t="s">
        <v>969</v>
      </c>
      <c r="B482" s="6">
        <v>1</v>
      </c>
      <c r="C482" s="6">
        <v>30</v>
      </c>
      <c r="D482" s="6">
        <v>1</v>
      </c>
      <c r="E482" s="6">
        <v>1</v>
      </c>
      <c r="F482" s="6">
        <v>1</v>
      </c>
      <c r="G482" s="15">
        <v>46084</v>
      </c>
      <c r="H482" s="15" t="str">
        <f t="shared" si="28"/>
        <v>Tuesday</v>
      </c>
      <c r="I482" s="11">
        <v>121</v>
      </c>
      <c r="J482" s="24">
        <f t="shared" si="29"/>
        <v>121</v>
      </c>
      <c r="K482">
        <f t="shared" si="30"/>
        <v>1</v>
      </c>
      <c r="L482" t="str">
        <f t="shared" si="31"/>
        <v>Low Stock</v>
      </c>
    </row>
    <row r="483" spans="1:12" x14ac:dyDescent="0.45">
      <c r="A483" s="21" t="s">
        <v>972</v>
      </c>
      <c r="B483" s="7">
        <v>3</v>
      </c>
      <c r="C483" s="7">
        <v>18</v>
      </c>
      <c r="D483" s="7">
        <v>5</v>
      </c>
      <c r="E483" s="7">
        <v>5</v>
      </c>
      <c r="F483" s="7">
        <v>5</v>
      </c>
      <c r="G483" s="16">
        <v>46088</v>
      </c>
      <c r="H483" s="16" t="str">
        <f t="shared" si="28"/>
        <v>Saturday</v>
      </c>
      <c r="I483" s="12">
        <v>145</v>
      </c>
      <c r="J483" s="9">
        <f t="shared" si="29"/>
        <v>725</v>
      </c>
      <c r="K483">
        <f t="shared" si="30"/>
        <v>3</v>
      </c>
      <c r="L483" t="str">
        <f t="shared" si="31"/>
        <v>Low Stock</v>
      </c>
    </row>
    <row r="484" spans="1:12" x14ac:dyDescent="0.45">
      <c r="A484" s="20" t="s">
        <v>1082</v>
      </c>
      <c r="B484" s="6">
        <v>1</v>
      </c>
      <c r="C484" s="6">
        <v>30</v>
      </c>
      <c r="D484" s="6">
        <v>1</v>
      </c>
      <c r="E484" s="6">
        <v>1</v>
      </c>
      <c r="F484" s="6">
        <v>1</v>
      </c>
      <c r="G484" s="15">
        <v>46082</v>
      </c>
      <c r="H484" s="15" t="str">
        <f t="shared" si="28"/>
        <v>Sunday</v>
      </c>
      <c r="I484" s="11">
        <v>120</v>
      </c>
      <c r="J484" s="24">
        <f t="shared" si="29"/>
        <v>120</v>
      </c>
      <c r="K484">
        <f t="shared" si="30"/>
        <v>1</v>
      </c>
      <c r="L484" t="str">
        <f t="shared" si="31"/>
        <v>Low Stock</v>
      </c>
    </row>
    <row r="485" spans="1:12" x14ac:dyDescent="0.45">
      <c r="A485" s="21" t="s">
        <v>1085</v>
      </c>
      <c r="B485" s="7">
        <v>1</v>
      </c>
      <c r="C485" s="7">
        <v>30</v>
      </c>
      <c r="D485" s="7">
        <v>1</v>
      </c>
      <c r="E485" s="7">
        <v>1</v>
      </c>
      <c r="F485" s="7">
        <v>1</v>
      </c>
      <c r="G485" s="16">
        <v>46086</v>
      </c>
      <c r="H485" s="16" t="str">
        <f t="shared" si="28"/>
        <v>Thursday</v>
      </c>
      <c r="I485" s="12">
        <v>79</v>
      </c>
      <c r="J485" s="9">
        <f t="shared" si="29"/>
        <v>79</v>
      </c>
      <c r="K485">
        <f t="shared" si="30"/>
        <v>1</v>
      </c>
      <c r="L485" t="str">
        <f t="shared" si="31"/>
        <v>Low Stock</v>
      </c>
    </row>
    <row r="486" spans="1:12" x14ac:dyDescent="0.45">
      <c r="A486" s="20" t="s">
        <v>1155</v>
      </c>
      <c r="B486" s="6">
        <v>26</v>
      </c>
      <c r="C486" s="6">
        <v>26</v>
      </c>
      <c r="D486" s="6">
        <v>30</v>
      </c>
      <c r="E486" s="6">
        <v>1</v>
      </c>
      <c r="F486" s="6">
        <v>1</v>
      </c>
      <c r="G486" s="15">
        <v>46088</v>
      </c>
      <c r="H486" s="15" t="str">
        <f t="shared" si="28"/>
        <v>Saturday</v>
      </c>
      <c r="I486" s="11">
        <v>147</v>
      </c>
      <c r="J486" s="24">
        <f t="shared" si="29"/>
        <v>4410</v>
      </c>
      <c r="K486">
        <f t="shared" si="30"/>
        <v>26</v>
      </c>
      <c r="L486" t="str">
        <f t="shared" si="31"/>
        <v>OK</v>
      </c>
    </row>
    <row r="487" spans="1:12" x14ac:dyDescent="0.45">
      <c r="A487" s="21" t="s">
        <v>1180</v>
      </c>
      <c r="B487" s="7">
        <v>60</v>
      </c>
      <c r="C487" s="7">
        <v>24</v>
      </c>
      <c r="D487" s="7">
        <v>75</v>
      </c>
      <c r="E487" s="7">
        <v>3</v>
      </c>
      <c r="F487" s="7">
        <v>3</v>
      </c>
      <c r="G487" s="16">
        <v>46086</v>
      </c>
      <c r="H487" s="16" t="str">
        <f t="shared" si="28"/>
        <v>Thursday</v>
      </c>
      <c r="I487" s="12">
        <v>96</v>
      </c>
      <c r="J487" s="9">
        <f t="shared" si="29"/>
        <v>7200</v>
      </c>
      <c r="K487">
        <f t="shared" si="30"/>
        <v>60</v>
      </c>
      <c r="L487" t="str">
        <f t="shared" si="31"/>
        <v>OK</v>
      </c>
    </row>
    <row r="488" spans="1:12" x14ac:dyDescent="0.45">
      <c r="A488" s="20" t="s">
        <v>1236</v>
      </c>
      <c r="B488" s="6">
        <v>6</v>
      </c>
      <c r="C488" s="6">
        <v>30</v>
      </c>
      <c r="D488" s="6">
        <v>6</v>
      </c>
      <c r="E488" s="6">
        <v>2</v>
      </c>
      <c r="F488" s="6">
        <v>2</v>
      </c>
      <c r="G488" s="15">
        <v>46087</v>
      </c>
      <c r="H488" s="15" t="str">
        <f t="shared" si="28"/>
        <v>Friday</v>
      </c>
      <c r="I488" s="11">
        <v>183</v>
      </c>
      <c r="J488" s="24">
        <f t="shared" si="29"/>
        <v>1098</v>
      </c>
      <c r="K488">
        <f t="shared" si="30"/>
        <v>6</v>
      </c>
      <c r="L488" t="str">
        <f t="shared" si="31"/>
        <v>OK</v>
      </c>
    </row>
    <row r="489" spans="1:12" x14ac:dyDescent="0.45">
      <c r="A489" s="21" t="s">
        <v>211</v>
      </c>
      <c r="B489" s="7">
        <v>-14</v>
      </c>
      <c r="C489" s="7">
        <v>0</v>
      </c>
      <c r="D489" s="7">
        <v>1</v>
      </c>
      <c r="E489" s="7">
        <v>1</v>
      </c>
      <c r="F489" s="7">
        <v>1</v>
      </c>
      <c r="G489" s="16">
        <v>46087</v>
      </c>
      <c r="H489" s="16" t="str">
        <f t="shared" si="28"/>
        <v>Friday</v>
      </c>
      <c r="I489" s="12">
        <v>112</v>
      </c>
      <c r="J489" s="9">
        <f t="shared" si="29"/>
        <v>112</v>
      </c>
      <c r="K489">
        <f t="shared" si="30"/>
        <v>0</v>
      </c>
      <c r="L489" t="str">
        <f t="shared" si="31"/>
        <v>Low Stock</v>
      </c>
    </row>
    <row r="490" spans="1:12" x14ac:dyDescent="0.45">
      <c r="A490" s="20" t="s">
        <v>252</v>
      </c>
      <c r="B490" s="6">
        <v>-10</v>
      </c>
      <c r="C490" s="6">
        <v>0</v>
      </c>
      <c r="D490" s="6">
        <v>20</v>
      </c>
      <c r="E490" s="6">
        <v>1</v>
      </c>
      <c r="F490" s="6">
        <v>1</v>
      </c>
      <c r="G490" s="15">
        <v>46086</v>
      </c>
      <c r="H490" s="15" t="str">
        <f t="shared" si="28"/>
        <v>Thursday</v>
      </c>
      <c r="I490" s="11">
        <v>105</v>
      </c>
      <c r="J490" s="24">
        <f t="shared" si="29"/>
        <v>2100</v>
      </c>
      <c r="K490">
        <f t="shared" si="30"/>
        <v>0</v>
      </c>
      <c r="L490" t="str">
        <f t="shared" si="31"/>
        <v>Low Stock</v>
      </c>
    </row>
    <row r="491" spans="1:12" x14ac:dyDescent="0.45">
      <c r="A491" s="21" t="s">
        <v>286</v>
      </c>
      <c r="B491" s="7">
        <v>0</v>
      </c>
      <c r="C491" s="7">
        <v>0</v>
      </c>
      <c r="D491" s="7">
        <v>2</v>
      </c>
      <c r="E491" s="7">
        <v>2</v>
      </c>
      <c r="F491" s="7">
        <v>1</v>
      </c>
      <c r="G491" s="16">
        <v>46087</v>
      </c>
      <c r="H491" s="16" t="str">
        <f t="shared" si="28"/>
        <v>Friday</v>
      </c>
      <c r="I491" s="12">
        <v>98</v>
      </c>
      <c r="J491" s="9">
        <f t="shared" si="29"/>
        <v>196</v>
      </c>
      <c r="K491">
        <f t="shared" si="30"/>
        <v>0</v>
      </c>
      <c r="L491" t="str">
        <f t="shared" si="31"/>
        <v>Low Stock</v>
      </c>
    </row>
    <row r="492" spans="1:12" x14ac:dyDescent="0.45">
      <c r="A492" s="20" t="s">
        <v>358</v>
      </c>
      <c r="B492" s="6">
        <v>0</v>
      </c>
      <c r="C492" s="6">
        <v>0</v>
      </c>
      <c r="D492" s="6">
        <v>1</v>
      </c>
      <c r="E492" s="6">
        <v>1</v>
      </c>
      <c r="F492" s="6">
        <v>1</v>
      </c>
      <c r="G492" s="15">
        <v>46082</v>
      </c>
      <c r="H492" s="15" t="str">
        <f t="shared" si="28"/>
        <v>Sunday</v>
      </c>
      <c r="I492" s="11">
        <v>108</v>
      </c>
      <c r="J492" s="24">
        <f t="shared" si="29"/>
        <v>108</v>
      </c>
      <c r="K492">
        <f t="shared" si="30"/>
        <v>0</v>
      </c>
      <c r="L492" t="str">
        <f t="shared" si="31"/>
        <v>Low Stock</v>
      </c>
    </row>
    <row r="493" spans="1:12" x14ac:dyDescent="0.45">
      <c r="A493" s="21" t="s">
        <v>903</v>
      </c>
      <c r="B493" s="7">
        <v>20</v>
      </c>
      <c r="C493" s="7">
        <v>20</v>
      </c>
      <c r="D493" s="7">
        <v>30</v>
      </c>
      <c r="E493" s="7">
        <v>2</v>
      </c>
      <c r="F493" s="7">
        <v>2</v>
      </c>
      <c r="G493" s="16">
        <v>46083</v>
      </c>
      <c r="H493" s="16" t="str">
        <f t="shared" si="28"/>
        <v>Monday</v>
      </c>
      <c r="I493" s="12">
        <v>148</v>
      </c>
      <c r="J493" s="9">
        <f t="shared" si="29"/>
        <v>4440</v>
      </c>
      <c r="K493">
        <f t="shared" si="30"/>
        <v>20</v>
      </c>
      <c r="L493" t="str">
        <f t="shared" si="31"/>
        <v>OK</v>
      </c>
    </row>
    <row r="494" spans="1:12" x14ac:dyDescent="0.45">
      <c r="A494" s="20" t="s">
        <v>1000</v>
      </c>
      <c r="B494" s="6">
        <v>3</v>
      </c>
      <c r="C494" s="6">
        <v>18</v>
      </c>
      <c r="D494" s="6">
        <v>5</v>
      </c>
      <c r="E494" s="6">
        <v>5</v>
      </c>
      <c r="F494" s="6">
        <v>4</v>
      </c>
      <c r="G494" s="15">
        <v>46087</v>
      </c>
      <c r="H494" s="15" t="str">
        <f t="shared" si="28"/>
        <v>Friday</v>
      </c>
      <c r="I494" s="11">
        <v>118</v>
      </c>
      <c r="J494" s="24">
        <f t="shared" si="29"/>
        <v>590</v>
      </c>
      <c r="K494">
        <f t="shared" si="30"/>
        <v>3</v>
      </c>
      <c r="L494" t="str">
        <f t="shared" si="31"/>
        <v>Low Stock</v>
      </c>
    </row>
    <row r="495" spans="1:12" x14ac:dyDescent="0.45">
      <c r="A495" s="21" t="s">
        <v>1120</v>
      </c>
      <c r="B495" s="7">
        <v>30</v>
      </c>
      <c r="C495" s="7">
        <v>22</v>
      </c>
      <c r="D495" s="7">
        <v>40</v>
      </c>
      <c r="E495" s="7">
        <v>2</v>
      </c>
      <c r="F495" s="7">
        <v>2</v>
      </c>
      <c r="G495" s="16">
        <v>46087</v>
      </c>
      <c r="H495" s="16" t="str">
        <f t="shared" si="28"/>
        <v>Friday</v>
      </c>
      <c r="I495" s="12">
        <v>132</v>
      </c>
      <c r="J495" s="9">
        <f t="shared" si="29"/>
        <v>5280</v>
      </c>
      <c r="K495">
        <f t="shared" si="30"/>
        <v>30</v>
      </c>
      <c r="L495" t="str">
        <f t="shared" si="31"/>
        <v>OK</v>
      </c>
    </row>
    <row r="496" spans="1:12" x14ac:dyDescent="0.45">
      <c r="A496" s="20" t="s">
        <v>1266</v>
      </c>
      <c r="B496" s="6">
        <v>45</v>
      </c>
      <c r="C496" s="6">
        <v>22</v>
      </c>
      <c r="D496" s="6">
        <v>60</v>
      </c>
      <c r="E496" s="6">
        <v>3</v>
      </c>
      <c r="F496" s="6">
        <v>3</v>
      </c>
      <c r="G496" s="15">
        <v>46088</v>
      </c>
      <c r="H496" s="15" t="str">
        <f t="shared" si="28"/>
        <v>Saturday</v>
      </c>
      <c r="I496" s="11">
        <v>118</v>
      </c>
      <c r="J496" s="24">
        <f t="shared" si="29"/>
        <v>7080</v>
      </c>
      <c r="K496">
        <f t="shared" si="30"/>
        <v>45</v>
      </c>
      <c r="L496" t="str">
        <f t="shared" si="31"/>
        <v>OK</v>
      </c>
    </row>
    <row r="497" spans="1:12" x14ac:dyDescent="0.45">
      <c r="A497" s="21" t="s">
        <v>400</v>
      </c>
      <c r="B497" s="7">
        <v>-81</v>
      </c>
      <c r="C497" s="7">
        <v>0</v>
      </c>
      <c r="D497" s="7">
        <v>81</v>
      </c>
      <c r="E497" s="7">
        <v>3</v>
      </c>
      <c r="F497" s="7">
        <v>3</v>
      </c>
      <c r="G497" s="16">
        <v>46083</v>
      </c>
      <c r="H497" s="16" t="str">
        <f t="shared" si="28"/>
        <v>Monday</v>
      </c>
      <c r="I497" s="12">
        <v>127</v>
      </c>
      <c r="J497" s="9">
        <f t="shared" si="29"/>
        <v>10287</v>
      </c>
      <c r="K497">
        <f t="shared" si="30"/>
        <v>0</v>
      </c>
      <c r="L497" t="str">
        <f t="shared" si="31"/>
        <v>Low Stock</v>
      </c>
    </row>
    <row r="498" spans="1:12" x14ac:dyDescent="0.45">
      <c r="A498" s="20" t="s">
        <v>535</v>
      </c>
      <c r="B498" s="6">
        <v>20</v>
      </c>
      <c r="C498" s="6">
        <v>12</v>
      </c>
      <c r="D498" s="6">
        <v>50</v>
      </c>
      <c r="E498" s="6">
        <v>3</v>
      </c>
      <c r="F498" s="6">
        <v>3</v>
      </c>
      <c r="G498" s="15">
        <v>46083</v>
      </c>
      <c r="H498" s="15" t="str">
        <f t="shared" si="28"/>
        <v>Monday</v>
      </c>
      <c r="I498" s="11">
        <v>104</v>
      </c>
      <c r="J498" s="24">
        <f t="shared" si="29"/>
        <v>5200</v>
      </c>
      <c r="K498">
        <f t="shared" si="30"/>
        <v>20</v>
      </c>
      <c r="L498" t="str">
        <f t="shared" si="31"/>
        <v>OK</v>
      </c>
    </row>
    <row r="499" spans="1:12" x14ac:dyDescent="0.45">
      <c r="A499" s="21" t="s">
        <v>634</v>
      </c>
      <c r="B499" s="7">
        <v>10</v>
      </c>
      <c r="C499" s="7">
        <v>10</v>
      </c>
      <c r="D499" s="7">
        <v>30</v>
      </c>
      <c r="E499" s="7">
        <v>1</v>
      </c>
      <c r="F499" s="7">
        <v>1</v>
      </c>
      <c r="G499" s="16">
        <v>46084</v>
      </c>
      <c r="H499" s="16" t="str">
        <f t="shared" si="28"/>
        <v>Tuesday</v>
      </c>
      <c r="I499" s="12">
        <v>133</v>
      </c>
      <c r="J499" s="9">
        <f t="shared" si="29"/>
        <v>3990</v>
      </c>
      <c r="K499">
        <f t="shared" si="30"/>
        <v>10</v>
      </c>
      <c r="L499" t="str">
        <f t="shared" si="31"/>
        <v>OK</v>
      </c>
    </row>
    <row r="500" spans="1:12" x14ac:dyDescent="0.45">
      <c r="A500" s="20" t="s">
        <v>720</v>
      </c>
      <c r="B500" s="6">
        <v>310</v>
      </c>
      <c r="C500" s="6">
        <v>22</v>
      </c>
      <c r="D500" s="6">
        <v>420</v>
      </c>
      <c r="E500" s="6">
        <v>20</v>
      </c>
      <c r="F500" s="6">
        <v>18</v>
      </c>
      <c r="G500" s="15">
        <v>46083</v>
      </c>
      <c r="H500" s="15" t="str">
        <f t="shared" si="28"/>
        <v>Monday</v>
      </c>
      <c r="I500" s="11">
        <v>145</v>
      </c>
      <c r="J500" s="24">
        <f t="shared" si="29"/>
        <v>60900</v>
      </c>
      <c r="K500">
        <f t="shared" si="30"/>
        <v>310</v>
      </c>
      <c r="L500" t="str">
        <f t="shared" si="31"/>
        <v>OK</v>
      </c>
    </row>
    <row r="501" spans="1:12" x14ac:dyDescent="0.45">
      <c r="A501" s="21" t="s">
        <v>812</v>
      </c>
      <c r="B501" s="7">
        <v>4</v>
      </c>
      <c r="C501" s="7">
        <v>30</v>
      </c>
      <c r="D501" s="7">
        <v>4</v>
      </c>
      <c r="E501" s="7">
        <v>4</v>
      </c>
      <c r="F501" s="7">
        <v>4</v>
      </c>
      <c r="G501" s="16">
        <v>46086</v>
      </c>
      <c r="H501" s="16" t="str">
        <f t="shared" si="28"/>
        <v>Thursday</v>
      </c>
      <c r="I501" s="12">
        <v>152</v>
      </c>
      <c r="J501" s="9">
        <f t="shared" si="29"/>
        <v>608</v>
      </c>
      <c r="K501">
        <f t="shared" si="30"/>
        <v>4</v>
      </c>
      <c r="L501" t="str">
        <f t="shared" si="31"/>
        <v>Low Stock</v>
      </c>
    </row>
    <row r="502" spans="1:12" x14ac:dyDescent="0.45">
      <c r="A502" s="20" t="s">
        <v>816</v>
      </c>
      <c r="B502" s="6">
        <v>30</v>
      </c>
      <c r="C502" s="6">
        <v>20</v>
      </c>
      <c r="D502" s="6">
        <v>45</v>
      </c>
      <c r="E502" s="6">
        <v>3</v>
      </c>
      <c r="F502" s="6">
        <v>3</v>
      </c>
      <c r="G502" s="15">
        <v>46083</v>
      </c>
      <c r="H502" s="15" t="str">
        <f t="shared" si="28"/>
        <v>Monday</v>
      </c>
      <c r="I502" s="11">
        <v>107</v>
      </c>
      <c r="J502" s="24">
        <f t="shared" si="29"/>
        <v>4815</v>
      </c>
      <c r="K502">
        <f t="shared" si="30"/>
        <v>30</v>
      </c>
      <c r="L502" t="str">
        <f t="shared" si="31"/>
        <v>OK</v>
      </c>
    </row>
    <row r="503" spans="1:12" x14ac:dyDescent="0.45">
      <c r="A503" s="21" t="s">
        <v>914</v>
      </c>
      <c r="B503" s="7">
        <v>30</v>
      </c>
      <c r="C503" s="7">
        <v>30</v>
      </c>
      <c r="D503" s="7">
        <v>30</v>
      </c>
      <c r="E503" s="7">
        <v>3</v>
      </c>
      <c r="F503" s="7">
        <v>3</v>
      </c>
      <c r="G503" s="16">
        <v>46088</v>
      </c>
      <c r="H503" s="16" t="str">
        <f t="shared" si="28"/>
        <v>Saturday</v>
      </c>
      <c r="I503" s="12">
        <v>92</v>
      </c>
      <c r="J503" s="9">
        <f t="shared" si="29"/>
        <v>2760</v>
      </c>
      <c r="K503">
        <f t="shared" si="30"/>
        <v>30</v>
      </c>
      <c r="L503" t="str">
        <f t="shared" si="31"/>
        <v>OK</v>
      </c>
    </row>
    <row r="504" spans="1:12" x14ac:dyDescent="0.45">
      <c r="A504" s="20" t="s">
        <v>1046</v>
      </c>
      <c r="B504" s="6">
        <v>14</v>
      </c>
      <c r="C504" s="6">
        <v>30</v>
      </c>
      <c r="D504" s="6">
        <v>14</v>
      </c>
      <c r="E504" s="6">
        <v>2</v>
      </c>
      <c r="F504" s="6">
        <v>2</v>
      </c>
      <c r="G504" s="15">
        <v>46082</v>
      </c>
      <c r="H504" s="15" t="str">
        <f t="shared" si="28"/>
        <v>Sunday</v>
      </c>
      <c r="I504" s="11">
        <v>93</v>
      </c>
      <c r="J504" s="24">
        <f t="shared" si="29"/>
        <v>1302</v>
      </c>
      <c r="K504">
        <f t="shared" si="30"/>
        <v>14</v>
      </c>
      <c r="L504" t="str">
        <f t="shared" si="31"/>
        <v>OK</v>
      </c>
    </row>
    <row r="505" spans="1:12" x14ac:dyDescent="0.45">
      <c r="A505" s="21" t="s">
        <v>1219</v>
      </c>
      <c r="B505" s="7">
        <v>5</v>
      </c>
      <c r="C505" s="7">
        <v>30</v>
      </c>
      <c r="D505" s="7">
        <v>5</v>
      </c>
      <c r="E505" s="7">
        <v>1</v>
      </c>
      <c r="F505" s="7">
        <v>1</v>
      </c>
      <c r="G505" s="16">
        <v>46083</v>
      </c>
      <c r="H505" s="16" t="str">
        <f t="shared" si="28"/>
        <v>Monday</v>
      </c>
      <c r="I505" s="12">
        <v>115</v>
      </c>
      <c r="J505" s="9">
        <f t="shared" si="29"/>
        <v>575</v>
      </c>
      <c r="K505">
        <f t="shared" si="30"/>
        <v>5</v>
      </c>
      <c r="L505" t="str">
        <f t="shared" si="31"/>
        <v>OK</v>
      </c>
    </row>
    <row r="506" spans="1:12" x14ac:dyDescent="0.45">
      <c r="A506" s="20" t="s">
        <v>187</v>
      </c>
      <c r="B506" s="6">
        <v>-1</v>
      </c>
      <c r="C506" s="6">
        <v>0</v>
      </c>
      <c r="D506" s="6">
        <v>2</v>
      </c>
      <c r="E506" s="6">
        <v>2</v>
      </c>
      <c r="F506" s="6">
        <v>2</v>
      </c>
      <c r="G506" s="15">
        <v>46088</v>
      </c>
      <c r="H506" s="15" t="str">
        <f t="shared" si="28"/>
        <v>Saturday</v>
      </c>
      <c r="I506" s="11">
        <v>194</v>
      </c>
      <c r="J506" s="24">
        <f t="shared" si="29"/>
        <v>388</v>
      </c>
      <c r="K506">
        <f t="shared" si="30"/>
        <v>0</v>
      </c>
      <c r="L506" t="str">
        <f t="shared" si="31"/>
        <v>Low Stock</v>
      </c>
    </row>
    <row r="507" spans="1:12" x14ac:dyDescent="0.45">
      <c r="A507" s="21" t="s">
        <v>362</v>
      </c>
      <c r="B507" s="7">
        <v>0</v>
      </c>
      <c r="C507" s="7">
        <v>0</v>
      </c>
      <c r="D507" s="7">
        <v>10</v>
      </c>
      <c r="E507" s="7">
        <v>1</v>
      </c>
      <c r="F507" s="7">
        <v>1</v>
      </c>
      <c r="G507" s="16">
        <v>46083</v>
      </c>
      <c r="H507" s="16" t="str">
        <f t="shared" si="28"/>
        <v>Monday</v>
      </c>
      <c r="I507" s="12">
        <v>119</v>
      </c>
      <c r="J507" s="9">
        <f t="shared" si="29"/>
        <v>1190</v>
      </c>
      <c r="K507">
        <f t="shared" si="30"/>
        <v>0</v>
      </c>
      <c r="L507" t="str">
        <f t="shared" si="31"/>
        <v>Low Stock</v>
      </c>
    </row>
    <row r="508" spans="1:12" x14ac:dyDescent="0.45">
      <c r="A508" s="20" t="s">
        <v>415</v>
      </c>
      <c r="B508" s="6">
        <v>0</v>
      </c>
      <c r="C508" s="6">
        <v>0</v>
      </c>
      <c r="D508" s="6">
        <v>2</v>
      </c>
      <c r="E508" s="6">
        <v>2</v>
      </c>
      <c r="F508" s="6">
        <v>2</v>
      </c>
      <c r="G508" s="15">
        <v>46082</v>
      </c>
      <c r="H508" s="15" t="str">
        <f t="shared" si="28"/>
        <v>Sunday</v>
      </c>
      <c r="I508" s="11">
        <v>85</v>
      </c>
      <c r="J508" s="24">
        <f t="shared" si="29"/>
        <v>170</v>
      </c>
      <c r="K508">
        <f t="shared" si="30"/>
        <v>0</v>
      </c>
      <c r="L508" t="str">
        <f t="shared" si="31"/>
        <v>Low Stock</v>
      </c>
    </row>
    <row r="509" spans="1:12" x14ac:dyDescent="0.45">
      <c r="A509" s="21" t="s">
        <v>587</v>
      </c>
      <c r="B509" s="7">
        <v>1</v>
      </c>
      <c r="C509" s="7">
        <v>10</v>
      </c>
      <c r="D509" s="7">
        <v>3</v>
      </c>
      <c r="E509" s="7">
        <v>2</v>
      </c>
      <c r="F509" s="7">
        <v>2</v>
      </c>
      <c r="G509" s="16">
        <v>46087</v>
      </c>
      <c r="H509" s="16" t="str">
        <f t="shared" si="28"/>
        <v>Friday</v>
      </c>
      <c r="I509" s="12">
        <v>183</v>
      </c>
      <c r="J509" s="9">
        <f t="shared" si="29"/>
        <v>549</v>
      </c>
      <c r="K509">
        <f t="shared" si="30"/>
        <v>1</v>
      </c>
      <c r="L509" t="str">
        <f t="shared" si="31"/>
        <v>Low Stock</v>
      </c>
    </row>
    <row r="510" spans="1:12" x14ac:dyDescent="0.45">
      <c r="A510" s="20" t="s">
        <v>638</v>
      </c>
      <c r="B510" s="6">
        <v>1</v>
      </c>
      <c r="C510" s="6">
        <v>15</v>
      </c>
      <c r="D510" s="6">
        <v>2</v>
      </c>
      <c r="E510" s="6">
        <v>2</v>
      </c>
      <c r="F510" s="6">
        <v>2</v>
      </c>
      <c r="G510" s="15">
        <v>46082</v>
      </c>
      <c r="H510" s="15" t="str">
        <f t="shared" si="28"/>
        <v>Sunday</v>
      </c>
      <c r="I510" s="11">
        <v>140</v>
      </c>
      <c r="J510" s="24">
        <f t="shared" si="29"/>
        <v>280</v>
      </c>
      <c r="K510">
        <f t="shared" si="30"/>
        <v>1</v>
      </c>
      <c r="L510" t="str">
        <f t="shared" si="31"/>
        <v>Low Stock</v>
      </c>
    </row>
    <row r="511" spans="1:12" x14ac:dyDescent="0.45">
      <c r="A511" s="21" t="s">
        <v>817</v>
      </c>
      <c r="B511" s="7">
        <v>75</v>
      </c>
      <c r="C511" s="7">
        <v>30</v>
      </c>
      <c r="D511" s="7">
        <v>75</v>
      </c>
      <c r="E511" s="7">
        <v>5</v>
      </c>
      <c r="F511" s="7">
        <v>5</v>
      </c>
      <c r="G511" s="16">
        <v>46084</v>
      </c>
      <c r="H511" s="16" t="str">
        <f t="shared" si="28"/>
        <v>Tuesday</v>
      </c>
      <c r="I511" s="12">
        <v>137</v>
      </c>
      <c r="J511" s="9">
        <f t="shared" si="29"/>
        <v>10275</v>
      </c>
      <c r="K511">
        <f t="shared" si="30"/>
        <v>75</v>
      </c>
      <c r="L511" t="str">
        <f t="shared" si="31"/>
        <v>OK</v>
      </c>
    </row>
    <row r="512" spans="1:12" x14ac:dyDescent="0.45">
      <c r="A512" s="20" t="s">
        <v>830</v>
      </c>
      <c r="B512" s="6">
        <v>3</v>
      </c>
      <c r="C512" s="6">
        <v>22</v>
      </c>
      <c r="D512" s="6">
        <v>4</v>
      </c>
      <c r="E512" s="6">
        <v>4</v>
      </c>
      <c r="F512" s="6">
        <v>4</v>
      </c>
      <c r="G512" s="15">
        <v>46082</v>
      </c>
      <c r="H512" s="15" t="str">
        <f t="shared" si="28"/>
        <v>Sunday</v>
      </c>
      <c r="I512" s="11">
        <v>83</v>
      </c>
      <c r="J512" s="24">
        <f t="shared" si="29"/>
        <v>332</v>
      </c>
      <c r="K512">
        <f t="shared" si="30"/>
        <v>3</v>
      </c>
      <c r="L512" t="str">
        <f t="shared" si="31"/>
        <v>Low Stock</v>
      </c>
    </row>
    <row r="513" spans="1:12" x14ac:dyDescent="0.45">
      <c r="A513" s="21" t="s">
        <v>1117</v>
      </c>
      <c r="B513" s="7">
        <v>20</v>
      </c>
      <c r="C513" s="7">
        <v>30</v>
      </c>
      <c r="D513" s="7">
        <v>20</v>
      </c>
      <c r="E513" s="7">
        <v>2</v>
      </c>
      <c r="F513" s="7">
        <v>2</v>
      </c>
      <c r="G513" s="16">
        <v>46082</v>
      </c>
      <c r="H513" s="16" t="str">
        <f t="shared" si="28"/>
        <v>Sunday</v>
      </c>
      <c r="I513" s="12">
        <v>135</v>
      </c>
      <c r="J513" s="9">
        <f t="shared" si="29"/>
        <v>2700</v>
      </c>
      <c r="K513">
        <f t="shared" si="30"/>
        <v>20</v>
      </c>
      <c r="L513" t="str">
        <f t="shared" si="31"/>
        <v>OK</v>
      </c>
    </row>
    <row r="514" spans="1:12" x14ac:dyDescent="0.45">
      <c r="A514" s="20" t="s">
        <v>1186</v>
      </c>
      <c r="B514" s="6">
        <v>2</v>
      </c>
      <c r="C514" s="6">
        <v>20</v>
      </c>
      <c r="D514" s="6">
        <v>3</v>
      </c>
      <c r="E514" s="6">
        <v>2</v>
      </c>
      <c r="F514" s="6">
        <v>2</v>
      </c>
      <c r="G514" s="15">
        <v>46082</v>
      </c>
      <c r="H514" s="15" t="str">
        <f t="shared" ref="H514:H577" si="32">TEXT(G514,"dddd")</f>
        <v>Sunday</v>
      </c>
      <c r="I514" s="11">
        <v>101</v>
      </c>
      <c r="J514" s="24">
        <f t="shared" ref="J514:J577" si="33">D514*I514</f>
        <v>303</v>
      </c>
      <c r="K514">
        <f t="shared" ref="K514:K577" si="34">IF(B514&lt;0,0,B514)</f>
        <v>2</v>
      </c>
      <c r="L514" t="str">
        <f t="shared" ref="L514:L577" si="35">IF(K514&lt;5,"Low Stock","OK")</f>
        <v>Low Stock</v>
      </c>
    </row>
    <row r="515" spans="1:12" x14ac:dyDescent="0.45">
      <c r="A515" s="21" t="s">
        <v>101</v>
      </c>
      <c r="B515" s="7">
        <v>-15</v>
      </c>
      <c r="C515" s="7">
        <v>0</v>
      </c>
      <c r="D515" s="7">
        <v>75</v>
      </c>
      <c r="E515" s="7">
        <v>4</v>
      </c>
      <c r="F515" s="7">
        <v>4</v>
      </c>
      <c r="G515" s="16">
        <v>46087</v>
      </c>
      <c r="H515" s="16" t="str">
        <f t="shared" si="32"/>
        <v>Friday</v>
      </c>
      <c r="I515" s="12">
        <v>134</v>
      </c>
      <c r="J515" s="9">
        <f t="shared" si="33"/>
        <v>10050</v>
      </c>
      <c r="K515">
        <f t="shared" si="34"/>
        <v>0</v>
      </c>
      <c r="L515" t="str">
        <f t="shared" si="35"/>
        <v>Low Stock</v>
      </c>
    </row>
    <row r="516" spans="1:12" x14ac:dyDescent="0.45">
      <c r="A516" s="20" t="s">
        <v>133</v>
      </c>
      <c r="B516" s="6">
        <v>-1</v>
      </c>
      <c r="C516" s="6">
        <v>0</v>
      </c>
      <c r="D516" s="6">
        <v>4</v>
      </c>
      <c r="E516" s="6">
        <v>4</v>
      </c>
      <c r="F516" s="6">
        <v>4</v>
      </c>
      <c r="G516" s="15">
        <v>46083</v>
      </c>
      <c r="H516" s="15" t="str">
        <f t="shared" si="32"/>
        <v>Monday</v>
      </c>
      <c r="I516" s="11">
        <v>160</v>
      </c>
      <c r="J516" s="24">
        <f t="shared" si="33"/>
        <v>640</v>
      </c>
      <c r="K516">
        <f t="shared" si="34"/>
        <v>0</v>
      </c>
      <c r="L516" t="str">
        <f t="shared" si="35"/>
        <v>Low Stock</v>
      </c>
    </row>
    <row r="517" spans="1:12" x14ac:dyDescent="0.45">
      <c r="A517" s="21" t="s">
        <v>293</v>
      </c>
      <c r="B517" s="7">
        <v>-1</v>
      </c>
      <c r="C517" s="7">
        <v>0</v>
      </c>
      <c r="D517" s="7">
        <v>1</v>
      </c>
      <c r="E517" s="7">
        <v>1</v>
      </c>
      <c r="F517" s="7">
        <v>1</v>
      </c>
      <c r="G517" s="16">
        <v>46087</v>
      </c>
      <c r="H517" s="16" t="str">
        <f t="shared" si="32"/>
        <v>Friday</v>
      </c>
      <c r="I517" s="12">
        <v>183</v>
      </c>
      <c r="J517" s="9">
        <f t="shared" si="33"/>
        <v>183</v>
      </c>
      <c r="K517">
        <f t="shared" si="34"/>
        <v>0</v>
      </c>
      <c r="L517" t="str">
        <f t="shared" si="35"/>
        <v>Low Stock</v>
      </c>
    </row>
    <row r="518" spans="1:12" x14ac:dyDescent="0.45">
      <c r="A518" s="20" t="s">
        <v>398</v>
      </c>
      <c r="B518" s="6">
        <v>0</v>
      </c>
      <c r="C518" s="6">
        <v>0</v>
      </c>
      <c r="D518" s="6">
        <v>3</v>
      </c>
      <c r="E518" s="6">
        <v>3</v>
      </c>
      <c r="F518" s="6">
        <v>3</v>
      </c>
      <c r="G518" s="15">
        <v>46083</v>
      </c>
      <c r="H518" s="15" t="str">
        <f t="shared" si="32"/>
        <v>Monday</v>
      </c>
      <c r="I518" s="11">
        <v>133</v>
      </c>
      <c r="J518" s="24">
        <f t="shared" si="33"/>
        <v>399</v>
      </c>
      <c r="K518">
        <f t="shared" si="34"/>
        <v>0</v>
      </c>
      <c r="L518" t="str">
        <f t="shared" si="35"/>
        <v>Low Stock</v>
      </c>
    </row>
    <row r="519" spans="1:12" x14ac:dyDescent="0.45">
      <c r="A519" s="21" t="s">
        <v>592</v>
      </c>
      <c r="B519" s="7">
        <v>20</v>
      </c>
      <c r="C519" s="7">
        <v>15</v>
      </c>
      <c r="D519" s="7">
        <v>40</v>
      </c>
      <c r="E519" s="7">
        <v>3</v>
      </c>
      <c r="F519" s="7">
        <v>3</v>
      </c>
      <c r="G519" s="16">
        <v>46085</v>
      </c>
      <c r="H519" s="16" t="str">
        <f t="shared" si="32"/>
        <v>Wednesday</v>
      </c>
      <c r="I519" s="12">
        <v>109</v>
      </c>
      <c r="J519" s="9">
        <f t="shared" si="33"/>
        <v>4360</v>
      </c>
      <c r="K519">
        <f t="shared" si="34"/>
        <v>20</v>
      </c>
      <c r="L519" t="str">
        <f t="shared" si="35"/>
        <v>OK</v>
      </c>
    </row>
    <row r="520" spans="1:12" x14ac:dyDescent="0.45">
      <c r="A520" s="20" t="s">
        <v>652</v>
      </c>
      <c r="B520" s="6">
        <v>10</v>
      </c>
      <c r="C520" s="6">
        <v>15</v>
      </c>
      <c r="D520" s="6">
        <v>20</v>
      </c>
      <c r="E520" s="6">
        <v>2</v>
      </c>
      <c r="F520" s="6">
        <v>2</v>
      </c>
      <c r="G520" s="15">
        <v>46085</v>
      </c>
      <c r="H520" s="15" t="str">
        <f t="shared" si="32"/>
        <v>Wednesday</v>
      </c>
      <c r="I520" s="11">
        <v>121</v>
      </c>
      <c r="J520" s="24">
        <f t="shared" si="33"/>
        <v>2420</v>
      </c>
      <c r="K520">
        <f t="shared" si="34"/>
        <v>10</v>
      </c>
      <c r="L520" t="str">
        <f t="shared" si="35"/>
        <v>OK</v>
      </c>
    </row>
    <row r="521" spans="1:12" x14ac:dyDescent="0.45">
      <c r="A521" s="21" t="s">
        <v>800</v>
      </c>
      <c r="B521" s="7">
        <v>75</v>
      </c>
      <c r="C521" s="7">
        <v>30</v>
      </c>
      <c r="D521" s="7">
        <v>75</v>
      </c>
      <c r="E521" s="7">
        <v>3</v>
      </c>
      <c r="F521" s="7">
        <v>3</v>
      </c>
      <c r="G521" s="16">
        <v>46088</v>
      </c>
      <c r="H521" s="16" t="str">
        <f t="shared" si="32"/>
        <v>Saturday</v>
      </c>
      <c r="I521" s="12">
        <v>87</v>
      </c>
      <c r="J521" s="9">
        <f t="shared" si="33"/>
        <v>6525</v>
      </c>
      <c r="K521">
        <f t="shared" si="34"/>
        <v>75</v>
      </c>
      <c r="L521" t="str">
        <f t="shared" si="35"/>
        <v>OK</v>
      </c>
    </row>
    <row r="522" spans="1:12" x14ac:dyDescent="0.45">
      <c r="A522" s="20" t="s">
        <v>805</v>
      </c>
      <c r="B522" s="6">
        <v>40</v>
      </c>
      <c r="C522" s="6">
        <v>30</v>
      </c>
      <c r="D522" s="6">
        <v>40</v>
      </c>
      <c r="E522" s="6">
        <v>4</v>
      </c>
      <c r="F522" s="6">
        <v>4</v>
      </c>
      <c r="G522" s="15">
        <v>46088</v>
      </c>
      <c r="H522" s="15" t="str">
        <f t="shared" si="32"/>
        <v>Saturday</v>
      </c>
      <c r="I522" s="11">
        <v>139</v>
      </c>
      <c r="J522" s="24">
        <f t="shared" si="33"/>
        <v>5560</v>
      </c>
      <c r="K522">
        <f t="shared" si="34"/>
        <v>40</v>
      </c>
      <c r="L522" t="str">
        <f t="shared" si="35"/>
        <v>OK</v>
      </c>
    </row>
    <row r="523" spans="1:12" x14ac:dyDescent="0.45">
      <c r="A523" s="21" t="s">
        <v>958</v>
      </c>
      <c r="B523" s="7">
        <v>10</v>
      </c>
      <c r="C523" s="7">
        <v>30</v>
      </c>
      <c r="D523" s="7">
        <v>10</v>
      </c>
      <c r="E523" s="7">
        <v>1</v>
      </c>
      <c r="F523" s="7">
        <v>1</v>
      </c>
      <c r="G523" s="16">
        <v>46087</v>
      </c>
      <c r="H523" s="16" t="str">
        <f t="shared" si="32"/>
        <v>Friday</v>
      </c>
      <c r="I523" s="12">
        <v>94</v>
      </c>
      <c r="J523" s="9">
        <f t="shared" si="33"/>
        <v>940</v>
      </c>
      <c r="K523">
        <f t="shared" si="34"/>
        <v>10</v>
      </c>
      <c r="L523" t="str">
        <f t="shared" si="35"/>
        <v>OK</v>
      </c>
    </row>
    <row r="524" spans="1:12" x14ac:dyDescent="0.45">
      <c r="A524" s="20" t="s">
        <v>1148</v>
      </c>
      <c r="B524" s="6">
        <v>1</v>
      </c>
      <c r="C524" s="6">
        <v>30</v>
      </c>
      <c r="D524" s="6">
        <v>1</v>
      </c>
      <c r="E524" s="6">
        <v>1</v>
      </c>
      <c r="F524" s="6">
        <v>1</v>
      </c>
      <c r="G524" s="15">
        <v>46083</v>
      </c>
      <c r="H524" s="15" t="str">
        <f t="shared" si="32"/>
        <v>Monday</v>
      </c>
      <c r="I524" s="11">
        <v>77</v>
      </c>
      <c r="J524" s="24">
        <f t="shared" si="33"/>
        <v>77</v>
      </c>
      <c r="K524">
        <f t="shared" si="34"/>
        <v>1</v>
      </c>
      <c r="L524" t="str">
        <f t="shared" si="35"/>
        <v>Low Stock</v>
      </c>
    </row>
    <row r="525" spans="1:12" x14ac:dyDescent="0.45">
      <c r="A525" s="21" t="s">
        <v>1252</v>
      </c>
      <c r="B525" s="7">
        <v>2</v>
      </c>
      <c r="C525" s="7">
        <v>30</v>
      </c>
      <c r="D525" s="7">
        <v>2</v>
      </c>
      <c r="E525" s="7">
        <v>2</v>
      </c>
      <c r="F525" s="7">
        <v>2</v>
      </c>
      <c r="G525" s="16">
        <v>46084</v>
      </c>
      <c r="H525" s="16" t="str">
        <f t="shared" si="32"/>
        <v>Tuesday</v>
      </c>
      <c r="I525" s="12">
        <v>83</v>
      </c>
      <c r="J525" s="9">
        <f t="shared" si="33"/>
        <v>166</v>
      </c>
      <c r="K525">
        <f t="shared" si="34"/>
        <v>2</v>
      </c>
      <c r="L525" t="str">
        <f t="shared" si="35"/>
        <v>Low Stock</v>
      </c>
    </row>
    <row r="526" spans="1:12" x14ac:dyDescent="0.45">
      <c r="A526" s="20" t="s">
        <v>69</v>
      </c>
      <c r="B526" s="6">
        <v>0</v>
      </c>
      <c r="C526" s="6">
        <v>0</v>
      </c>
      <c r="D526" s="6">
        <v>420</v>
      </c>
      <c r="E526" s="6">
        <v>7</v>
      </c>
      <c r="F526" s="6">
        <v>6</v>
      </c>
      <c r="G526" s="15">
        <v>46086</v>
      </c>
      <c r="H526" s="15" t="str">
        <f t="shared" si="32"/>
        <v>Thursday</v>
      </c>
      <c r="I526" s="11">
        <v>79</v>
      </c>
      <c r="J526" s="24">
        <f t="shared" si="33"/>
        <v>33180</v>
      </c>
      <c r="K526">
        <f t="shared" si="34"/>
        <v>0</v>
      </c>
      <c r="L526" t="str">
        <f t="shared" si="35"/>
        <v>Low Stock</v>
      </c>
    </row>
    <row r="527" spans="1:12" x14ac:dyDescent="0.45">
      <c r="A527" s="21" t="s">
        <v>757</v>
      </c>
      <c r="B527" s="7">
        <v>110</v>
      </c>
      <c r="C527" s="7">
        <v>30</v>
      </c>
      <c r="D527" s="7">
        <v>110</v>
      </c>
      <c r="E527" s="7">
        <v>11</v>
      </c>
      <c r="F527" s="7">
        <v>9</v>
      </c>
      <c r="G527" s="16">
        <v>46084</v>
      </c>
      <c r="H527" s="16" t="str">
        <f t="shared" si="32"/>
        <v>Tuesday</v>
      </c>
      <c r="I527" s="12">
        <v>109</v>
      </c>
      <c r="J527" s="9">
        <f t="shared" si="33"/>
        <v>11990</v>
      </c>
      <c r="K527">
        <f t="shared" si="34"/>
        <v>110</v>
      </c>
      <c r="L527" t="str">
        <f t="shared" si="35"/>
        <v>OK</v>
      </c>
    </row>
    <row r="528" spans="1:12" x14ac:dyDescent="0.45">
      <c r="A528" s="20" t="s">
        <v>904</v>
      </c>
      <c r="B528" s="6">
        <v>3</v>
      </c>
      <c r="C528" s="6">
        <v>22</v>
      </c>
      <c r="D528" s="6">
        <v>4</v>
      </c>
      <c r="E528" s="6">
        <v>3</v>
      </c>
      <c r="F528" s="6">
        <v>3</v>
      </c>
      <c r="G528" s="15">
        <v>46085</v>
      </c>
      <c r="H528" s="15" t="str">
        <f t="shared" si="32"/>
        <v>Wednesday</v>
      </c>
      <c r="I528" s="11">
        <v>180</v>
      </c>
      <c r="J528" s="24">
        <f t="shared" si="33"/>
        <v>720</v>
      </c>
      <c r="K528">
        <f t="shared" si="34"/>
        <v>3</v>
      </c>
      <c r="L528" t="str">
        <f t="shared" si="35"/>
        <v>Low Stock</v>
      </c>
    </row>
    <row r="529" spans="1:12" x14ac:dyDescent="0.45">
      <c r="A529" s="21" t="s">
        <v>1011</v>
      </c>
      <c r="B529" s="7">
        <v>1</v>
      </c>
      <c r="C529" s="7">
        <v>30</v>
      </c>
      <c r="D529" s="7">
        <v>1</v>
      </c>
      <c r="E529" s="7">
        <v>1</v>
      </c>
      <c r="F529" s="7">
        <v>1</v>
      </c>
      <c r="G529" s="16">
        <v>46082</v>
      </c>
      <c r="H529" s="16" t="str">
        <f t="shared" si="32"/>
        <v>Sunday</v>
      </c>
      <c r="I529" s="12">
        <v>112</v>
      </c>
      <c r="J529" s="9">
        <f t="shared" si="33"/>
        <v>112</v>
      </c>
      <c r="K529">
        <f t="shared" si="34"/>
        <v>1</v>
      </c>
      <c r="L529" t="str">
        <f t="shared" si="35"/>
        <v>Low Stock</v>
      </c>
    </row>
    <row r="530" spans="1:12" x14ac:dyDescent="0.45">
      <c r="A530" s="20" t="s">
        <v>1093</v>
      </c>
      <c r="B530" s="6">
        <v>4</v>
      </c>
      <c r="C530" s="6">
        <v>30</v>
      </c>
      <c r="D530" s="6">
        <v>4</v>
      </c>
      <c r="E530" s="6">
        <v>2</v>
      </c>
      <c r="F530" s="6">
        <v>2</v>
      </c>
      <c r="G530" s="15">
        <v>46082</v>
      </c>
      <c r="H530" s="15" t="str">
        <f t="shared" si="32"/>
        <v>Sunday</v>
      </c>
      <c r="I530" s="11">
        <v>133</v>
      </c>
      <c r="J530" s="24">
        <f t="shared" si="33"/>
        <v>532</v>
      </c>
      <c r="K530">
        <f t="shared" si="34"/>
        <v>4</v>
      </c>
      <c r="L530" t="str">
        <f t="shared" si="35"/>
        <v>Low Stock</v>
      </c>
    </row>
    <row r="531" spans="1:12" x14ac:dyDescent="0.45">
      <c r="A531" s="21" t="s">
        <v>1102</v>
      </c>
      <c r="B531" s="7">
        <v>30</v>
      </c>
      <c r="C531" s="7">
        <v>30</v>
      </c>
      <c r="D531" s="7">
        <v>30</v>
      </c>
      <c r="E531" s="7">
        <v>3</v>
      </c>
      <c r="F531" s="7">
        <v>3</v>
      </c>
      <c r="G531" s="16">
        <v>46086</v>
      </c>
      <c r="H531" s="16" t="str">
        <f t="shared" si="32"/>
        <v>Thursday</v>
      </c>
      <c r="I531" s="12">
        <v>126</v>
      </c>
      <c r="J531" s="9">
        <f t="shared" si="33"/>
        <v>3780</v>
      </c>
      <c r="K531">
        <f t="shared" si="34"/>
        <v>30</v>
      </c>
      <c r="L531" t="str">
        <f t="shared" si="35"/>
        <v>OK</v>
      </c>
    </row>
    <row r="532" spans="1:12" x14ac:dyDescent="0.45">
      <c r="A532" s="20" t="s">
        <v>1104</v>
      </c>
      <c r="B532" s="6">
        <v>20</v>
      </c>
      <c r="C532" s="6">
        <v>30</v>
      </c>
      <c r="D532" s="6">
        <v>20</v>
      </c>
      <c r="E532" s="6">
        <v>2</v>
      </c>
      <c r="F532" s="6">
        <v>2</v>
      </c>
      <c r="G532" s="15">
        <v>46085</v>
      </c>
      <c r="H532" s="15" t="str">
        <f t="shared" si="32"/>
        <v>Wednesday</v>
      </c>
      <c r="I532" s="11">
        <v>79</v>
      </c>
      <c r="J532" s="24">
        <f t="shared" si="33"/>
        <v>1580</v>
      </c>
      <c r="K532">
        <f t="shared" si="34"/>
        <v>20</v>
      </c>
      <c r="L532" t="str">
        <f t="shared" si="35"/>
        <v>OK</v>
      </c>
    </row>
    <row r="533" spans="1:12" x14ac:dyDescent="0.45">
      <c r="A533" s="21" t="s">
        <v>576</v>
      </c>
      <c r="B533" s="7">
        <v>20</v>
      </c>
      <c r="C533" s="7">
        <v>12</v>
      </c>
      <c r="D533" s="7">
        <v>50</v>
      </c>
      <c r="E533" s="7">
        <v>6</v>
      </c>
      <c r="F533" s="7">
        <v>5</v>
      </c>
      <c r="G533" s="16">
        <v>46085</v>
      </c>
      <c r="H533" s="16" t="str">
        <f t="shared" si="32"/>
        <v>Wednesday</v>
      </c>
      <c r="I533" s="12">
        <v>80</v>
      </c>
      <c r="J533" s="9">
        <f t="shared" si="33"/>
        <v>4000</v>
      </c>
      <c r="K533">
        <f t="shared" si="34"/>
        <v>20</v>
      </c>
      <c r="L533" t="str">
        <f t="shared" si="35"/>
        <v>OK</v>
      </c>
    </row>
    <row r="534" spans="1:12" x14ac:dyDescent="0.45">
      <c r="A534" s="20" t="s">
        <v>578</v>
      </c>
      <c r="B534" s="6">
        <v>2</v>
      </c>
      <c r="C534" s="6">
        <v>15</v>
      </c>
      <c r="D534" s="6">
        <v>4</v>
      </c>
      <c r="E534" s="6">
        <v>4</v>
      </c>
      <c r="F534" s="6">
        <v>4</v>
      </c>
      <c r="G534" s="15">
        <v>46086</v>
      </c>
      <c r="H534" s="15" t="str">
        <f t="shared" si="32"/>
        <v>Thursday</v>
      </c>
      <c r="I534" s="11">
        <v>120</v>
      </c>
      <c r="J534" s="24">
        <f t="shared" si="33"/>
        <v>480</v>
      </c>
      <c r="K534">
        <f t="shared" si="34"/>
        <v>2</v>
      </c>
      <c r="L534" t="str">
        <f t="shared" si="35"/>
        <v>Low Stock</v>
      </c>
    </row>
    <row r="535" spans="1:12" x14ac:dyDescent="0.45">
      <c r="A535" s="21" t="s">
        <v>658</v>
      </c>
      <c r="B535" s="7">
        <v>1</v>
      </c>
      <c r="C535" s="7">
        <v>15</v>
      </c>
      <c r="D535" s="7">
        <v>2</v>
      </c>
      <c r="E535" s="7">
        <v>2</v>
      </c>
      <c r="F535" s="7">
        <v>2</v>
      </c>
      <c r="G535" s="16">
        <v>46086</v>
      </c>
      <c r="H535" s="16" t="str">
        <f t="shared" si="32"/>
        <v>Thursday</v>
      </c>
      <c r="I535" s="12">
        <v>123</v>
      </c>
      <c r="J535" s="9">
        <f t="shared" si="33"/>
        <v>246</v>
      </c>
      <c r="K535">
        <f t="shared" si="34"/>
        <v>1</v>
      </c>
      <c r="L535" t="str">
        <f t="shared" si="35"/>
        <v>Low Stock</v>
      </c>
    </row>
    <row r="536" spans="1:12" x14ac:dyDescent="0.45">
      <c r="A536" s="20" t="s">
        <v>717</v>
      </c>
      <c r="B536" s="6">
        <v>5</v>
      </c>
      <c r="C536" s="6">
        <v>25</v>
      </c>
      <c r="D536" s="6">
        <v>6</v>
      </c>
      <c r="E536" s="6">
        <v>4</v>
      </c>
      <c r="F536" s="6">
        <v>4</v>
      </c>
      <c r="G536" s="15">
        <v>46084</v>
      </c>
      <c r="H536" s="15" t="str">
        <f t="shared" si="32"/>
        <v>Tuesday</v>
      </c>
      <c r="I536" s="11">
        <v>199</v>
      </c>
      <c r="J536" s="24">
        <f t="shared" si="33"/>
        <v>1194</v>
      </c>
      <c r="K536">
        <f t="shared" si="34"/>
        <v>5</v>
      </c>
      <c r="L536" t="str">
        <f t="shared" si="35"/>
        <v>OK</v>
      </c>
    </row>
    <row r="537" spans="1:12" x14ac:dyDescent="0.45">
      <c r="A537" s="21" t="s">
        <v>728</v>
      </c>
      <c r="B537" s="7">
        <v>10</v>
      </c>
      <c r="C537" s="7">
        <v>30</v>
      </c>
      <c r="D537" s="7">
        <v>10</v>
      </c>
      <c r="E537" s="7">
        <v>10</v>
      </c>
      <c r="F537" s="7">
        <v>8</v>
      </c>
      <c r="G537" s="16">
        <v>46087</v>
      </c>
      <c r="H537" s="16" t="str">
        <f t="shared" si="32"/>
        <v>Friday</v>
      </c>
      <c r="I537" s="12">
        <v>97</v>
      </c>
      <c r="J537" s="9">
        <f t="shared" si="33"/>
        <v>970</v>
      </c>
      <c r="K537">
        <f t="shared" si="34"/>
        <v>10</v>
      </c>
      <c r="L537" t="str">
        <f t="shared" si="35"/>
        <v>OK</v>
      </c>
    </row>
    <row r="538" spans="1:12" x14ac:dyDescent="0.45">
      <c r="A538" s="20" t="s">
        <v>787</v>
      </c>
      <c r="B538" s="6">
        <v>60</v>
      </c>
      <c r="C538" s="6">
        <v>30</v>
      </c>
      <c r="D538" s="6">
        <v>60</v>
      </c>
      <c r="E538" s="6">
        <v>2</v>
      </c>
      <c r="F538" s="6">
        <v>2</v>
      </c>
      <c r="G538" s="15">
        <v>46083</v>
      </c>
      <c r="H538" s="15" t="str">
        <f t="shared" si="32"/>
        <v>Monday</v>
      </c>
      <c r="I538" s="11">
        <v>111</v>
      </c>
      <c r="J538" s="24">
        <f t="shared" si="33"/>
        <v>6660</v>
      </c>
      <c r="K538">
        <f t="shared" si="34"/>
        <v>60</v>
      </c>
      <c r="L538" t="str">
        <f t="shared" si="35"/>
        <v>OK</v>
      </c>
    </row>
    <row r="539" spans="1:12" x14ac:dyDescent="0.45">
      <c r="A539" s="21" t="s">
        <v>1073</v>
      </c>
      <c r="B539" s="7">
        <v>30</v>
      </c>
      <c r="C539" s="7">
        <v>30</v>
      </c>
      <c r="D539" s="7">
        <v>30</v>
      </c>
      <c r="E539" s="7">
        <v>2</v>
      </c>
      <c r="F539" s="7">
        <v>2</v>
      </c>
      <c r="G539" s="16">
        <v>46086</v>
      </c>
      <c r="H539" s="16" t="str">
        <f t="shared" si="32"/>
        <v>Thursday</v>
      </c>
      <c r="I539" s="12">
        <v>128</v>
      </c>
      <c r="J539" s="9">
        <f t="shared" si="33"/>
        <v>3840</v>
      </c>
      <c r="K539">
        <f t="shared" si="34"/>
        <v>30</v>
      </c>
      <c r="L539" t="str">
        <f t="shared" si="35"/>
        <v>OK</v>
      </c>
    </row>
    <row r="540" spans="1:12" x14ac:dyDescent="0.45">
      <c r="A540" s="20" t="s">
        <v>1083</v>
      </c>
      <c r="B540" s="6">
        <v>30</v>
      </c>
      <c r="C540" s="6">
        <v>30</v>
      </c>
      <c r="D540" s="6">
        <v>30</v>
      </c>
      <c r="E540" s="6">
        <v>1</v>
      </c>
      <c r="F540" s="6">
        <v>1</v>
      </c>
      <c r="G540" s="15">
        <v>46086</v>
      </c>
      <c r="H540" s="15" t="str">
        <f t="shared" si="32"/>
        <v>Thursday</v>
      </c>
      <c r="I540" s="11">
        <v>114</v>
      </c>
      <c r="J540" s="24">
        <f t="shared" si="33"/>
        <v>3420</v>
      </c>
      <c r="K540">
        <f t="shared" si="34"/>
        <v>30</v>
      </c>
      <c r="L540" t="str">
        <f t="shared" si="35"/>
        <v>OK</v>
      </c>
    </row>
    <row r="541" spans="1:12" x14ac:dyDescent="0.45">
      <c r="A541" s="21" t="s">
        <v>1194</v>
      </c>
      <c r="B541" s="7">
        <v>3</v>
      </c>
      <c r="C541" s="7">
        <v>30</v>
      </c>
      <c r="D541" s="7">
        <v>3</v>
      </c>
      <c r="E541" s="7">
        <v>3</v>
      </c>
      <c r="F541" s="7">
        <v>3</v>
      </c>
      <c r="G541" s="16">
        <v>46087</v>
      </c>
      <c r="H541" s="16" t="str">
        <f t="shared" si="32"/>
        <v>Friday</v>
      </c>
      <c r="I541" s="12">
        <v>196</v>
      </c>
      <c r="J541" s="9">
        <f t="shared" si="33"/>
        <v>588</v>
      </c>
      <c r="K541">
        <f t="shared" si="34"/>
        <v>3</v>
      </c>
      <c r="L541" t="str">
        <f t="shared" si="35"/>
        <v>Low Stock</v>
      </c>
    </row>
    <row r="542" spans="1:12" x14ac:dyDescent="0.45">
      <c r="A542" s="20" t="s">
        <v>1260</v>
      </c>
      <c r="B542" s="6">
        <v>30</v>
      </c>
      <c r="C542" s="6">
        <v>30</v>
      </c>
      <c r="D542" s="6">
        <v>30</v>
      </c>
      <c r="E542" s="6">
        <v>2</v>
      </c>
      <c r="F542" s="6">
        <v>2</v>
      </c>
      <c r="G542" s="15">
        <v>46086</v>
      </c>
      <c r="H542" s="15" t="str">
        <f t="shared" si="32"/>
        <v>Thursday</v>
      </c>
      <c r="I542" s="11">
        <v>97</v>
      </c>
      <c r="J542" s="24">
        <f t="shared" si="33"/>
        <v>2910</v>
      </c>
      <c r="K542">
        <f t="shared" si="34"/>
        <v>30</v>
      </c>
      <c r="L542" t="str">
        <f t="shared" si="35"/>
        <v>OK</v>
      </c>
    </row>
    <row r="543" spans="1:12" x14ac:dyDescent="0.45">
      <c r="A543" s="21" t="s">
        <v>118</v>
      </c>
      <c r="B543" s="7">
        <v>0</v>
      </c>
      <c r="C543" s="7">
        <v>0</v>
      </c>
      <c r="D543" s="7">
        <v>110</v>
      </c>
      <c r="E543" s="7">
        <v>4</v>
      </c>
      <c r="F543" s="7">
        <v>3</v>
      </c>
      <c r="G543" s="16">
        <v>46083</v>
      </c>
      <c r="H543" s="16" t="str">
        <f t="shared" si="32"/>
        <v>Monday</v>
      </c>
      <c r="I543" s="12">
        <v>148</v>
      </c>
      <c r="J543" s="9">
        <f t="shared" si="33"/>
        <v>16280</v>
      </c>
      <c r="K543">
        <f t="shared" si="34"/>
        <v>0</v>
      </c>
      <c r="L543" t="str">
        <f t="shared" si="35"/>
        <v>Low Stock</v>
      </c>
    </row>
    <row r="544" spans="1:12" x14ac:dyDescent="0.45">
      <c r="A544" s="20" t="s">
        <v>251</v>
      </c>
      <c r="B544" s="6">
        <v>-6</v>
      </c>
      <c r="C544" s="6">
        <v>0</v>
      </c>
      <c r="D544" s="6">
        <v>4</v>
      </c>
      <c r="E544" s="6">
        <v>2</v>
      </c>
      <c r="F544" s="6">
        <v>2</v>
      </c>
      <c r="G544" s="15">
        <v>46087</v>
      </c>
      <c r="H544" s="15" t="str">
        <f t="shared" si="32"/>
        <v>Friday</v>
      </c>
      <c r="I544" s="11">
        <v>84</v>
      </c>
      <c r="J544" s="24">
        <f t="shared" si="33"/>
        <v>336</v>
      </c>
      <c r="K544">
        <f t="shared" si="34"/>
        <v>0</v>
      </c>
      <c r="L544" t="str">
        <f t="shared" si="35"/>
        <v>Low Stock</v>
      </c>
    </row>
    <row r="545" spans="1:12" x14ac:dyDescent="0.45">
      <c r="A545" s="21" t="s">
        <v>425</v>
      </c>
      <c r="B545" s="7">
        <v>-4</v>
      </c>
      <c r="C545" s="7">
        <v>0</v>
      </c>
      <c r="D545" s="7">
        <v>1</v>
      </c>
      <c r="E545" s="7">
        <v>1</v>
      </c>
      <c r="F545" s="7">
        <v>1</v>
      </c>
      <c r="G545" s="16">
        <v>46083</v>
      </c>
      <c r="H545" s="16" t="str">
        <f t="shared" si="32"/>
        <v>Monday</v>
      </c>
      <c r="I545" s="12">
        <v>144</v>
      </c>
      <c r="J545" s="9">
        <f t="shared" si="33"/>
        <v>144</v>
      </c>
      <c r="K545">
        <f t="shared" si="34"/>
        <v>0</v>
      </c>
      <c r="L545" t="str">
        <f t="shared" si="35"/>
        <v>Low Stock</v>
      </c>
    </row>
    <row r="546" spans="1:12" x14ac:dyDescent="0.45">
      <c r="A546" s="20" t="s">
        <v>540</v>
      </c>
      <c r="B546" s="6">
        <v>225</v>
      </c>
      <c r="C546" s="6">
        <v>12</v>
      </c>
      <c r="D546" s="6">
        <v>540</v>
      </c>
      <c r="E546" s="6">
        <v>14</v>
      </c>
      <c r="F546" s="6">
        <v>9</v>
      </c>
      <c r="G546" s="15">
        <v>46084</v>
      </c>
      <c r="H546" s="15" t="str">
        <f t="shared" si="32"/>
        <v>Tuesday</v>
      </c>
      <c r="I546" s="11">
        <v>61</v>
      </c>
      <c r="J546" s="24">
        <f t="shared" si="33"/>
        <v>32940</v>
      </c>
      <c r="K546">
        <f t="shared" si="34"/>
        <v>225</v>
      </c>
      <c r="L546" t="str">
        <f t="shared" si="35"/>
        <v>OK</v>
      </c>
    </row>
    <row r="547" spans="1:12" x14ac:dyDescent="0.45">
      <c r="A547" s="21" t="s">
        <v>589</v>
      </c>
      <c r="B547" s="7">
        <v>10</v>
      </c>
      <c r="C547" s="7">
        <v>15</v>
      </c>
      <c r="D547" s="7">
        <v>20</v>
      </c>
      <c r="E547" s="7">
        <v>1</v>
      </c>
      <c r="F547" s="7">
        <v>1</v>
      </c>
      <c r="G547" s="16">
        <v>46083</v>
      </c>
      <c r="H547" s="16" t="str">
        <f t="shared" si="32"/>
        <v>Monday</v>
      </c>
      <c r="I547" s="12">
        <v>150</v>
      </c>
      <c r="J547" s="9">
        <f t="shared" si="33"/>
        <v>3000</v>
      </c>
      <c r="K547">
        <f t="shared" si="34"/>
        <v>10</v>
      </c>
      <c r="L547" t="str">
        <f t="shared" si="35"/>
        <v>OK</v>
      </c>
    </row>
    <row r="548" spans="1:12" x14ac:dyDescent="0.45">
      <c r="A548" s="20" t="s">
        <v>1067</v>
      </c>
      <c r="B548" s="6">
        <v>30</v>
      </c>
      <c r="C548" s="6">
        <v>22</v>
      </c>
      <c r="D548" s="6">
        <v>40</v>
      </c>
      <c r="E548" s="6">
        <v>4</v>
      </c>
      <c r="F548" s="6">
        <v>4</v>
      </c>
      <c r="G548" s="15">
        <v>46083</v>
      </c>
      <c r="H548" s="15" t="str">
        <f t="shared" si="32"/>
        <v>Monday</v>
      </c>
      <c r="I548" s="11">
        <v>88</v>
      </c>
      <c r="J548" s="24">
        <f t="shared" si="33"/>
        <v>3520</v>
      </c>
      <c r="K548">
        <f t="shared" si="34"/>
        <v>30</v>
      </c>
      <c r="L548" t="str">
        <f t="shared" si="35"/>
        <v>OK</v>
      </c>
    </row>
    <row r="549" spans="1:12" x14ac:dyDescent="0.45">
      <c r="A549" s="21" t="s">
        <v>201</v>
      </c>
      <c r="B549" s="7">
        <v>-3</v>
      </c>
      <c r="C549" s="7">
        <v>0</v>
      </c>
      <c r="D549" s="7">
        <v>1</v>
      </c>
      <c r="E549" s="7">
        <v>1</v>
      </c>
      <c r="F549" s="7">
        <v>1</v>
      </c>
      <c r="G549" s="16">
        <v>46086</v>
      </c>
      <c r="H549" s="16" t="str">
        <f t="shared" si="32"/>
        <v>Thursday</v>
      </c>
      <c r="I549" s="12">
        <v>160</v>
      </c>
      <c r="J549" s="9">
        <f t="shared" si="33"/>
        <v>160</v>
      </c>
      <c r="K549">
        <f t="shared" si="34"/>
        <v>0</v>
      </c>
      <c r="L549" t="str">
        <f t="shared" si="35"/>
        <v>Low Stock</v>
      </c>
    </row>
    <row r="550" spans="1:12" x14ac:dyDescent="0.45">
      <c r="A550" s="20" t="s">
        <v>210</v>
      </c>
      <c r="B550" s="6">
        <v>-5</v>
      </c>
      <c r="C550" s="6">
        <v>0</v>
      </c>
      <c r="D550" s="6">
        <v>1</v>
      </c>
      <c r="E550" s="6">
        <v>1</v>
      </c>
      <c r="F550" s="6">
        <v>1</v>
      </c>
      <c r="G550" s="15">
        <v>46088</v>
      </c>
      <c r="H550" s="15" t="str">
        <f t="shared" si="32"/>
        <v>Saturday</v>
      </c>
      <c r="I550" s="11">
        <v>105</v>
      </c>
      <c r="J550" s="24">
        <f t="shared" si="33"/>
        <v>105</v>
      </c>
      <c r="K550">
        <f t="shared" si="34"/>
        <v>0</v>
      </c>
      <c r="L550" t="str">
        <f t="shared" si="35"/>
        <v>Low Stock</v>
      </c>
    </row>
    <row r="551" spans="1:12" x14ac:dyDescent="0.45">
      <c r="A551" s="21" t="s">
        <v>272</v>
      </c>
      <c r="B551" s="7">
        <v>0</v>
      </c>
      <c r="C551" s="7">
        <v>0</v>
      </c>
      <c r="D551" s="7">
        <v>1</v>
      </c>
      <c r="E551" s="7">
        <v>1</v>
      </c>
      <c r="F551" s="7">
        <v>1</v>
      </c>
      <c r="G551" s="16">
        <v>46087</v>
      </c>
      <c r="H551" s="16" t="str">
        <f t="shared" si="32"/>
        <v>Friday</v>
      </c>
      <c r="I551" s="12">
        <v>166</v>
      </c>
      <c r="J551" s="9">
        <f t="shared" si="33"/>
        <v>166</v>
      </c>
      <c r="K551">
        <f t="shared" si="34"/>
        <v>0</v>
      </c>
      <c r="L551" t="str">
        <f t="shared" si="35"/>
        <v>Low Stock</v>
      </c>
    </row>
    <row r="552" spans="1:12" x14ac:dyDescent="0.45">
      <c r="A552" s="20" t="s">
        <v>289</v>
      </c>
      <c r="B552" s="6">
        <v>-15</v>
      </c>
      <c r="C552" s="6">
        <v>0</v>
      </c>
      <c r="D552" s="6">
        <v>1</v>
      </c>
      <c r="E552" s="6">
        <v>1</v>
      </c>
      <c r="F552" s="6">
        <v>1</v>
      </c>
      <c r="G552" s="15">
        <v>46087</v>
      </c>
      <c r="H552" s="15" t="str">
        <f t="shared" si="32"/>
        <v>Friday</v>
      </c>
      <c r="I552" s="11">
        <v>74</v>
      </c>
      <c r="J552" s="24">
        <f t="shared" si="33"/>
        <v>74</v>
      </c>
      <c r="K552">
        <f t="shared" si="34"/>
        <v>0</v>
      </c>
      <c r="L552" t="str">
        <f t="shared" si="35"/>
        <v>Low Stock</v>
      </c>
    </row>
    <row r="553" spans="1:12" x14ac:dyDescent="0.45">
      <c r="A553" s="21" t="s">
        <v>314</v>
      </c>
      <c r="B553" s="7">
        <v>2</v>
      </c>
      <c r="C553" s="7">
        <v>6</v>
      </c>
      <c r="D553" s="7">
        <v>9</v>
      </c>
      <c r="E553" s="7">
        <v>5</v>
      </c>
      <c r="F553" s="7">
        <v>5</v>
      </c>
      <c r="G553" s="16">
        <v>46088</v>
      </c>
      <c r="H553" s="16" t="str">
        <f t="shared" si="32"/>
        <v>Saturday</v>
      </c>
      <c r="I553" s="12">
        <v>191</v>
      </c>
      <c r="J553" s="9">
        <f t="shared" si="33"/>
        <v>1719</v>
      </c>
      <c r="K553">
        <f t="shared" si="34"/>
        <v>2</v>
      </c>
      <c r="L553" t="str">
        <f t="shared" si="35"/>
        <v>Low Stock</v>
      </c>
    </row>
    <row r="554" spans="1:12" x14ac:dyDescent="0.45">
      <c r="A554" s="20" t="s">
        <v>429</v>
      </c>
      <c r="B554" s="6">
        <v>-9</v>
      </c>
      <c r="C554" s="6">
        <v>0</v>
      </c>
      <c r="D554" s="6">
        <v>2</v>
      </c>
      <c r="E554" s="6">
        <v>2</v>
      </c>
      <c r="F554" s="6">
        <v>2</v>
      </c>
      <c r="G554" s="15">
        <v>46082</v>
      </c>
      <c r="H554" s="15" t="str">
        <f t="shared" si="32"/>
        <v>Sunday</v>
      </c>
      <c r="I554" s="11">
        <v>141</v>
      </c>
      <c r="J554" s="24">
        <f t="shared" si="33"/>
        <v>282</v>
      </c>
      <c r="K554">
        <f t="shared" si="34"/>
        <v>0</v>
      </c>
      <c r="L554" t="str">
        <f t="shared" si="35"/>
        <v>Low Stock</v>
      </c>
    </row>
    <row r="555" spans="1:12" x14ac:dyDescent="0.45">
      <c r="A555" s="21" t="s">
        <v>436</v>
      </c>
      <c r="B555" s="7">
        <v>-11</v>
      </c>
      <c r="C555" s="7">
        <v>0</v>
      </c>
      <c r="D555" s="7">
        <v>5</v>
      </c>
      <c r="E555" s="7">
        <v>5</v>
      </c>
      <c r="F555" s="7">
        <v>5</v>
      </c>
      <c r="G555" s="16">
        <v>46085</v>
      </c>
      <c r="H555" s="16" t="str">
        <f t="shared" si="32"/>
        <v>Wednesday</v>
      </c>
      <c r="I555" s="12">
        <v>194</v>
      </c>
      <c r="J555" s="9">
        <f t="shared" si="33"/>
        <v>970</v>
      </c>
      <c r="K555">
        <f t="shared" si="34"/>
        <v>0</v>
      </c>
      <c r="L555" t="str">
        <f t="shared" si="35"/>
        <v>Low Stock</v>
      </c>
    </row>
    <row r="556" spans="1:12" x14ac:dyDescent="0.45">
      <c r="A556" s="20" t="s">
        <v>465</v>
      </c>
      <c r="B556" s="6">
        <v>0</v>
      </c>
      <c r="C556" s="6">
        <v>0</v>
      </c>
      <c r="D556" s="6">
        <v>1</v>
      </c>
      <c r="E556" s="6">
        <v>1</v>
      </c>
      <c r="F556" s="6">
        <v>1</v>
      </c>
      <c r="G556" s="15">
        <v>46086</v>
      </c>
      <c r="H556" s="15" t="str">
        <f t="shared" si="32"/>
        <v>Thursday</v>
      </c>
      <c r="I556" s="11">
        <v>265</v>
      </c>
      <c r="J556" s="24">
        <f t="shared" si="33"/>
        <v>265</v>
      </c>
      <c r="K556">
        <f t="shared" si="34"/>
        <v>0</v>
      </c>
      <c r="L556" t="str">
        <f t="shared" si="35"/>
        <v>Low Stock</v>
      </c>
    </row>
    <row r="557" spans="1:12" x14ac:dyDescent="0.45">
      <c r="A557" s="21" t="s">
        <v>545</v>
      </c>
      <c r="B557" s="7">
        <v>4</v>
      </c>
      <c r="C557" s="7">
        <v>10</v>
      </c>
      <c r="D557" s="7">
        <v>12</v>
      </c>
      <c r="E557" s="7">
        <v>3</v>
      </c>
      <c r="F557" s="7">
        <v>3</v>
      </c>
      <c r="G557" s="16">
        <v>46085</v>
      </c>
      <c r="H557" s="16" t="str">
        <f t="shared" si="32"/>
        <v>Wednesday</v>
      </c>
      <c r="I557" s="12">
        <v>121</v>
      </c>
      <c r="J557" s="9">
        <f t="shared" si="33"/>
        <v>1452</v>
      </c>
      <c r="K557">
        <f t="shared" si="34"/>
        <v>4</v>
      </c>
      <c r="L557" t="str">
        <f t="shared" si="35"/>
        <v>Low Stock</v>
      </c>
    </row>
    <row r="558" spans="1:12" x14ac:dyDescent="0.45">
      <c r="A558" s="20" t="s">
        <v>627</v>
      </c>
      <c r="B558" s="6">
        <v>15</v>
      </c>
      <c r="C558" s="6">
        <v>15</v>
      </c>
      <c r="D558" s="6">
        <v>30</v>
      </c>
      <c r="E558" s="6">
        <v>1</v>
      </c>
      <c r="F558" s="6">
        <v>1</v>
      </c>
      <c r="G558" s="15">
        <v>46082</v>
      </c>
      <c r="H558" s="15" t="str">
        <f t="shared" si="32"/>
        <v>Sunday</v>
      </c>
      <c r="I558" s="11">
        <v>90</v>
      </c>
      <c r="J558" s="24">
        <f t="shared" si="33"/>
        <v>2700</v>
      </c>
      <c r="K558">
        <f t="shared" si="34"/>
        <v>15</v>
      </c>
      <c r="L558" t="str">
        <f t="shared" si="35"/>
        <v>OK</v>
      </c>
    </row>
    <row r="559" spans="1:12" x14ac:dyDescent="0.45">
      <c r="A559" s="21" t="s">
        <v>645</v>
      </c>
      <c r="B559" s="7">
        <v>4</v>
      </c>
      <c r="C559" s="7">
        <v>10</v>
      </c>
      <c r="D559" s="7">
        <v>11</v>
      </c>
      <c r="E559" s="7">
        <v>4</v>
      </c>
      <c r="F559" s="7">
        <v>4</v>
      </c>
      <c r="G559" s="16">
        <v>46084</v>
      </c>
      <c r="H559" s="16" t="str">
        <f t="shared" si="32"/>
        <v>Tuesday</v>
      </c>
      <c r="I559" s="12">
        <v>174</v>
      </c>
      <c r="J559" s="9">
        <f t="shared" si="33"/>
        <v>1914</v>
      </c>
      <c r="K559">
        <f t="shared" si="34"/>
        <v>4</v>
      </c>
      <c r="L559" t="str">
        <f t="shared" si="35"/>
        <v>Low Stock</v>
      </c>
    </row>
    <row r="560" spans="1:12" x14ac:dyDescent="0.45">
      <c r="A560" s="20" t="s">
        <v>703</v>
      </c>
      <c r="B560" s="6">
        <v>10</v>
      </c>
      <c r="C560" s="6">
        <v>15</v>
      </c>
      <c r="D560" s="6">
        <v>20</v>
      </c>
      <c r="E560" s="6">
        <v>1</v>
      </c>
      <c r="F560" s="6">
        <v>1</v>
      </c>
      <c r="G560" s="15">
        <v>46083</v>
      </c>
      <c r="H560" s="15" t="str">
        <f t="shared" si="32"/>
        <v>Monday</v>
      </c>
      <c r="I560" s="11">
        <v>100</v>
      </c>
      <c r="J560" s="24">
        <f t="shared" si="33"/>
        <v>2000</v>
      </c>
      <c r="K560">
        <f t="shared" si="34"/>
        <v>10</v>
      </c>
      <c r="L560" t="str">
        <f t="shared" si="35"/>
        <v>OK</v>
      </c>
    </row>
    <row r="561" spans="1:12" x14ac:dyDescent="0.45">
      <c r="A561" s="21" t="s">
        <v>818</v>
      </c>
      <c r="B561" s="7">
        <v>60</v>
      </c>
      <c r="C561" s="7">
        <v>30</v>
      </c>
      <c r="D561" s="7">
        <v>60</v>
      </c>
      <c r="E561" s="7">
        <v>2</v>
      </c>
      <c r="F561" s="7">
        <v>2</v>
      </c>
      <c r="G561" s="16">
        <v>46088</v>
      </c>
      <c r="H561" s="16" t="str">
        <f t="shared" si="32"/>
        <v>Saturday</v>
      </c>
      <c r="I561" s="12">
        <v>126</v>
      </c>
      <c r="J561" s="9">
        <f t="shared" si="33"/>
        <v>7560</v>
      </c>
      <c r="K561">
        <f t="shared" si="34"/>
        <v>60</v>
      </c>
      <c r="L561" t="str">
        <f t="shared" si="35"/>
        <v>OK</v>
      </c>
    </row>
    <row r="562" spans="1:12" x14ac:dyDescent="0.45">
      <c r="A562" s="20" t="s">
        <v>973</v>
      </c>
      <c r="B562" s="6">
        <v>1</v>
      </c>
      <c r="C562" s="6">
        <v>30</v>
      </c>
      <c r="D562" s="6">
        <v>1</v>
      </c>
      <c r="E562" s="6">
        <v>1</v>
      </c>
      <c r="F562" s="6">
        <v>1</v>
      </c>
      <c r="G562" s="15">
        <v>46082</v>
      </c>
      <c r="H562" s="15" t="str">
        <f t="shared" si="32"/>
        <v>Sunday</v>
      </c>
      <c r="I562" s="11">
        <v>73</v>
      </c>
      <c r="J562" s="24">
        <f t="shared" si="33"/>
        <v>73</v>
      </c>
      <c r="K562">
        <f t="shared" si="34"/>
        <v>1</v>
      </c>
      <c r="L562" t="str">
        <f t="shared" si="35"/>
        <v>Low Stock</v>
      </c>
    </row>
    <row r="563" spans="1:12" x14ac:dyDescent="0.45">
      <c r="A563" s="21" t="s">
        <v>1070</v>
      </c>
      <c r="B563" s="7">
        <v>1</v>
      </c>
      <c r="C563" s="7">
        <v>30</v>
      </c>
      <c r="D563" s="7">
        <v>1</v>
      </c>
      <c r="E563" s="7">
        <v>1</v>
      </c>
      <c r="F563" s="7">
        <v>1</v>
      </c>
      <c r="G563" s="16">
        <v>46087</v>
      </c>
      <c r="H563" s="16" t="str">
        <f t="shared" si="32"/>
        <v>Friday</v>
      </c>
      <c r="I563" s="12">
        <v>158</v>
      </c>
      <c r="J563" s="9">
        <f t="shared" si="33"/>
        <v>158</v>
      </c>
      <c r="K563">
        <f t="shared" si="34"/>
        <v>1</v>
      </c>
      <c r="L563" t="str">
        <f t="shared" si="35"/>
        <v>Low Stock</v>
      </c>
    </row>
    <row r="564" spans="1:12" x14ac:dyDescent="0.45">
      <c r="A564" s="20" t="s">
        <v>1218</v>
      </c>
      <c r="B564" s="6">
        <v>15</v>
      </c>
      <c r="C564" s="6">
        <v>30</v>
      </c>
      <c r="D564" s="6">
        <v>15</v>
      </c>
      <c r="E564" s="6">
        <v>1</v>
      </c>
      <c r="F564" s="6">
        <v>1</v>
      </c>
      <c r="G564" s="15">
        <v>46083</v>
      </c>
      <c r="H564" s="15" t="str">
        <f t="shared" si="32"/>
        <v>Monday</v>
      </c>
      <c r="I564" s="11">
        <v>136</v>
      </c>
      <c r="J564" s="24">
        <f t="shared" si="33"/>
        <v>2040</v>
      </c>
      <c r="K564">
        <f t="shared" si="34"/>
        <v>15</v>
      </c>
      <c r="L564" t="str">
        <f t="shared" si="35"/>
        <v>OK</v>
      </c>
    </row>
    <row r="565" spans="1:12" x14ac:dyDescent="0.45">
      <c r="A565" s="21" t="s">
        <v>84</v>
      </c>
      <c r="B565" s="7">
        <v>0</v>
      </c>
      <c r="C565" s="7">
        <v>0</v>
      </c>
      <c r="D565" s="7">
        <v>80</v>
      </c>
      <c r="E565" s="7">
        <v>5</v>
      </c>
      <c r="F565" s="7">
        <v>3</v>
      </c>
      <c r="G565" s="16">
        <v>46084</v>
      </c>
      <c r="H565" s="16" t="str">
        <f t="shared" si="32"/>
        <v>Tuesday</v>
      </c>
      <c r="I565" s="12">
        <v>84</v>
      </c>
      <c r="J565" s="9">
        <f t="shared" si="33"/>
        <v>6720</v>
      </c>
      <c r="K565">
        <f t="shared" si="34"/>
        <v>0</v>
      </c>
      <c r="L565" t="str">
        <f t="shared" si="35"/>
        <v>Low Stock</v>
      </c>
    </row>
    <row r="566" spans="1:12" x14ac:dyDescent="0.45">
      <c r="A566" s="20" t="s">
        <v>221</v>
      </c>
      <c r="B566" s="6">
        <v>0</v>
      </c>
      <c r="C566" s="6">
        <v>0</v>
      </c>
      <c r="D566" s="6">
        <v>1</v>
      </c>
      <c r="E566" s="6">
        <v>1</v>
      </c>
      <c r="F566" s="6">
        <v>1</v>
      </c>
      <c r="G566" s="15">
        <v>46083</v>
      </c>
      <c r="H566" s="15" t="str">
        <f t="shared" si="32"/>
        <v>Monday</v>
      </c>
      <c r="I566" s="11">
        <v>281</v>
      </c>
      <c r="J566" s="24">
        <f t="shared" si="33"/>
        <v>281</v>
      </c>
      <c r="K566">
        <f t="shared" si="34"/>
        <v>0</v>
      </c>
      <c r="L566" t="str">
        <f t="shared" si="35"/>
        <v>Low Stock</v>
      </c>
    </row>
    <row r="567" spans="1:12" x14ac:dyDescent="0.45">
      <c r="A567" s="21" t="s">
        <v>533</v>
      </c>
      <c r="B567" s="7">
        <v>220</v>
      </c>
      <c r="C567" s="7">
        <v>12</v>
      </c>
      <c r="D567" s="7">
        <v>550</v>
      </c>
      <c r="E567" s="7">
        <v>11</v>
      </c>
      <c r="F567" s="7">
        <v>11</v>
      </c>
      <c r="G567" s="16">
        <v>46088</v>
      </c>
      <c r="H567" s="16" t="str">
        <f t="shared" si="32"/>
        <v>Saturday</v>
      </c>
      <c r="I567" s="12">
        <v>92</v>
      </c>
      <c r="J567" s="9">
        <f t="shared" si="33"/>
        <v>50600</v>
      </c>
      <c r="K567">
        <f t="shared" si="34"/>
        <v>220</v>
      </c>
      <c r="L567" t="str">
        <f t="shared" si="35"/>
        <v>OK</v>
      </c>
    </row>
    <row r="568" spans="1:12" x14ac:dyDescent="0.45">
      <c r="A568" s="20" t="s">
        <v>565</v>
      </c>
      <c r="B568" s="6">
        <v>20</v>
      </c>
      <c r="C568" s="6">
        <v>15</v>
      </c>
      <c r="D568" s="6">
        <v>40</v>
      </c>
      <c r="E568" s="6">
        <v>2</v>
      </c>
      <c r="F568" s="6">
        <v>2</v>
      </c>
      <c r="G568" s="15">
        <v>46086</v>
      </c>
      <c r="H568" s="15" t="str">
        <f t="shared" si="32"/>
        <v>Thursday</v>
      </c>
      <c r="I568" s="11">
        <v>65</v>
      </c>
      <c r="J568" s="24">
        <f t="shared" si="33"/>
        <v>2600</v>
      </c>
      <c r="K568">
        <f t="shared" si="34"/>
        <v>20</v>
      </c>
      <c r="L568" t="str">
        <f t="shared" si="35"/>
        <v>OK</v>
      </c>
    </row>
    <row r="569" spans="1:12" x14ac:dyDescent="0.45">
      <c r="A569" s="21" t="s">
        <v>628</v>
      </c>
      <c r="B569" s="7">
        <v>20</v>
      </c>
      <c r="C569" s="7">
        <v>15</v>
      </c>
      <c r="D569" s="7">
        <v>40</v>
      </c>
      <c r="E569" s="7">
        <v>2</v>
      </c>
      <c r="F569" s="7">
        <v>2</v>
      </c>
      <c r="G569" s="16">
        <v>46082</v>
      </c>
      <c r="H569" s="16" t="str">
        <f t="shared" si="32"/>
        <v>Sunday</v>
      </c>
      <c r="I569" s="12">
        <v>131</v>
      </c>
      <c r="J569" s="9">
        <f t="shared" si="33"/>
        <v>5240</v>
      </c>
      <c r="K569">
        <f t="shared" si="34"/>
        <v>20</v>
      </c>
      <c r="L569" t="str">
        <f t="shared" si="35"/>
        <v>OK</v>
      </c>
    </row>
    <row r="570" spans="1:12" x14ac:dyDescent="0.45">
      <c r="A570" s="20" t="s">
        <v>682</v>
      </c>
      <c r="B570" s="6">
        <v>15</v>
      </c>
      <c r="C570" s="6">
        <v>15</v>
      </c>
      <c r="D570" s="6">
        <v>30</v>
      </c>
      <c r="E570" s="6">
        <v>2</v>
      </c>
      <c r="F570" s="6">
        <v>2</v>
      </c>
      <c r="G570" s="15">
        <v>46085</v>
      </c>
      <c r="H570" s="15" t="str">
        <f t="shared" si="32"/>
        <v>Wednesday</v>
      </c>
      <c r="I570" s="11">
        <v>104</v>
      </c>
      <c r="J570" s="24">
        <f t="shared" si="33"/>
        <v>3120</v>
      </c>
      <c r="K570">
        <f t="shared" si="34"/>
        <v>15</v>
      </c>
      <c r="L570" t="str">
        <f t="shared" si="35"/>
        <v>OK</v>
      </c>
    </row>
    <row r="571" spans="1:12" x14ac:dyDescent="0.45">
      <c r="A571" s="21" t="s">
        <v>767</v>
      </c>
      <c r="B571" s="7">
        <v>90</v>
      </c>
      <c r="C571" s="7">
        <v>22</v>
      </c>
      <c r="D571" s="7">
        <v>120</v>
      </c>
      <c r="E571" s="7">
        <v>4</v>
      </c>
      <c r="F571" s="7">
        <v>4</v>
      </c>
      <c r="G571" s="16">
        <v>46082</v>
      </c>
      <c r="H571" s="16" t="str">
        <f t="shared" si="32"/>
        <v>Sunday</v>
      </c>
      <c r="I571" s="12">
        <v>106</v>
      </c>
      <c r="J571" s="9">
        <f t="shared" si="33"/>
        <v>12720</v>
      </c>
      <c r="K571">
        <f t="shared" si="34"/>
        <v>90</v>
      </c>
      <c r="L571" t="str">
        <f t="shared" si="35"/>
        <v>OK</v>
      </c>
    </row>
    <row r="572" spans="1:12" x14ac:dyDescent="0.45">
      <c r="A572" s="20" t="s">
        <v>994</v>
      </c>
      <c r="B572" s="6">
        <v>45</v>
      </c>
      <c r="C572" s="6">
        <v>22</v>
      </c>
      <c r="D572" s="6">
        <v>60</v>
      </c>
      <c r="E572" s="6">
        <v>4</v>
      </c>
      <c r="F572" s="6">
        <v>4</v>
      </c>
      <c r="G572" s="15">
        <v>46084</v>
      </c>
      <c r="H572" s="15" t="str">
        <f t="shared" si="32"/>
        <v>Tuesday</v>
      </c>
      <c r="I572" s="11">
        <v>148</v>
      </c>
      <c r="J572" s="24">
        <f t="shared" si="33"/>
        <v>8880</v>
      </c>
      <c r="K572">
        <f t="shared" si="34"/>
        <v>45</v>
      </c>
      <c r="L572" t="str">
        <f t="shared" si="35"/>
        <v>OK</v>
      </c>
    </row>
    <row r="573" spans="1:12" x14ac:dyDescent="0.45">
      <c r="A573" s="21" t="s">
        <v>1020</v>
      </c>
      <c r="B573" s="7">
        <v>1</v>
      </c>
      <c r="C573" s="7">
        <v>30</v>
      </c>
      <c r="D573" s="7">
        <v>1</v>
      </c>
      <c r="E573" s="7">
        <v>1</v>
      </c>
      <c r="F573" s="7">
        <v>1</v>
      </c>
      <c r="G573" s="16">
        <v>46088</v>
      </c>
      <c r="H573" s="16" t="str">
        <f t="shared" si="32"/>
        <v>Saturday</v>
      </c>
      <c r="I573" s="12">
        <v>139</v>
      </c>
      <c r="J573" s="9">
        <f t="shared" si="33"/>
        <v>139</v>
      </c>
      <c r="K573">
        <f t="shared" si="34"/>
        <v>1</v>
      </c>
      <c r="L573" t="str">
        <f t="shared" si="35"/>
        <v>Low Stock</v>
      </c>
    </row>
    <row r="574" spans="1:12" x14ac:dyDescent="0.45">
      <c r="A574" s="20" t="s">
        <v>1115</v>
      </c>
      <c r="B574" s="6">
        <v>15</v>
      </c>
      <c r="C574" s="6">
        <v>30</v>
      </c>
      <c r="D574" s="6">
        <v>15</v>
      </c>
      <c r="E574" s="6">
        <v>1</v>
      </c>
      <c r="F574" s="6">
        <v>1</v>
      </c>
      <c r="G574" s="15">
        <v>46083</v>
      </c>
      <c r="H574" s="15" t="str">
        <f t="shared" si="32"/>
        <v>Monday</v>
      </c>
      <c r="I574" s="11">
        <v>141</v>
      </c>
      <c r="J574" s="24">
        <f t="shared" si="33"/>
        <v>2115</v>
      </c>
      <c r="K574">
        <f t="shared" si="34"/>
        <v>15</v>
      </c>
      <c r="L574" t="str">
        <f t="shared" si="35"/>
        <v>OK</v>
      </c>
    </row>
    <row r="575" spans="1:12" x14ac:dyDescent="0.45">
      <c r="A575" s="21" t="s">
        <v>1140</v>
      </c>
      <c r="B575" s="7">
        <v>10</v>
      </c>
      <c r="C575" s="7">
        <v>30</v>
      </c>
      <c r="D575" s="7">
        <v>10</v>
      </c>
      <c r="E575" s="7">
        <v>1</v>
      </c>
      <c r="F575" s="7">
        <v>1</v>
      </c>
      <c r="G575" s="16">
        <v>46087</v>
      </c>
      <c r="H575" s="16" t="str">
        <f t="shared" si="32"/>
        <v>Friday</v>
      </c>
      <c r="I575" s="12">
        <v>183</v>
      </c>
      <c r="J575" s="9">
        <f t="shared" si="33"/>
        <v>1830</v>
      </c>
      <c r="K575">
        <f t="shared" si="34"/>
        <v>10</v>
      </c>
      <c r="L575" t="str">
        <f t="shared" si="35"/>
        <v>OK</v>
      </c>
    </row>
    <row r="576" spans="1:12" x14ac:dyDescent="0.45">
      <c r="A576" s="20" t="s">
        <v>148</v>
      </c>
      <c r="B576" s="6">
        <v>-3</v>
      </c>
      <c r="C576" s="6">
        <v>0</v>
      </c>
      <c r="D576" s="6">
        <v>1</v>
      </c>
      <c r="E576" s="6">
        <v>1</v>
      </c>
      <c r="F576" s="6">
        <v>1</v>
      </c>
      <c r="G576" s="15">
        <v>46083</v>
      </c>
      <c r="H576" s="15" t="str">
        <f t="shared" si="32"/>
        <v>Monday</v>
      </c>
      <c r="I576" s="11">
        <v>105</v>
      </c>
      <c r="J576" s="24">
        <f t="shared" si="33"/>
        <v>105</v>
      </c>
      <c r="K576">
        <f t="shared" si="34"/>
        <v>0</v>
      </c>
      <c r="L576" t="str">
        <f t="shared" si="35"/>
        <v>Low Stock</v>
      </c>
    </row>
    <row r="577" spans="1:12" x14ac:dyDescent="0.45">
      <c r="A577" s="21" t="s">
        <v>316</v>
      </c>
      <c r="B577" s="7">
        <v>1</v>
      </c>
      <c r="C577" s="7">
        <v>7</v>
      </c>
      <c r="D577" s="7">
        <v>4</v>
      </c>
      <c r="E577" s="7">
        <v>4</v>
      </c>
      <c r="F577" s="7">
        <v>4</v>
      </c>
      <c r="G577" s="16">
        <v>46082</v>
      </c>
      <c r="H577" s="16" t="str">
        <f t="shared" si="32"/>
        <v>Sunday</v>
      </c>
      <c r="I577" s="12">
        <v>119</v>
      </c>
      <c r="J577" s="9">
        <f t="shared" si="33"/>
        <v>476</v>
      </c>
      <c r="K577">
        <f t="shared" si="34"/>
        <v>1</v>
      </c>
      <c r="L577" t="str">
        <f t="shared" si="35"/>
        <v>Low Stock</v>
      </c>
    </row>
    <row r="578" spans="1:12" x14ac:dyDescent="0.45">
      <c r="A578" s="20" t="s">
        <v>503</v>
      </c>
      <c r="B578" s="6">
        <v>382</v>
      </c>
      <c r="C578" s="6">
        <v>14</v>
      </c>
      <c r="D578" s="6">
        <v>790</v>
      </c>
      <c r="E578" s="6">
        <v>72</v>
      </c>
      <c r="F578" s="6">
        <v>24</v>
      </c>
      <c r="G578" s="15">
        <v>46087</v>
      </c>
      <c r="H578" s="15" t="str">
        <f t="shared" ref="H578:H641" si="36">TEXT(G578,"dddd")</f>
        <v>Friday</v>
      </c>
      <c r="I578" s="11">
        <v>192</v>
      </c>
      <c r="J578" s="24">
        <f t="shared" ref="J578:J641" si="37">D578*I578</f>
        <v>151680</v>
      </c>
      <c r="K578">
        <f t="shared" ref="K578:K641" si="38">IF(B578&lt;0,0,B578)</f>
        <v>382</v>
      </c>
      <c r="L578" t="str">
        <f t="shared" ref="L578:L641" si="39">IF(K578&lt;5,"Low Stock","OK")</f>
        <v>OK</v>
      </c>
    </row>
    <row r="579" spans="1:12" x14ac:dyDescent="0.45">
      <c r="A579" s="21" t="s">
        <v>877</v>
      </c>
      <c r="B579" s="7">
        <v>60</v>
      </c>
      <c r="C579" s="7">
        <v>20</v>
      </c>
      <c r="D579" s="7">
        <v>90</v>
      </c>
      <c r="E579" s="7">
        <v>6</v>
      </c>
      <c r="F579" s="7">
        <v>4</v>
      </c>
      <c r="G579" s="16">
        <v>46084</v>
      </c>
      <c r="H579" s="16" t="str">
        <f t="shared" si="36"/>
        <v>Tuesday</v>
      </c>
      <c r="I579" s="12">
        <v>91</v>
      </c>
      <c r="J579" s="9">
        <f t="shared" si="37"/>
        <v>8190</v>
      </c>
      <c r="K579">
        <f t="shared" si="38"/>
        <v>60</v>
      </c>
      <c r="L579" t="str">
        <f t="shared" si="39"/>
        <v>OK</v>
      </c>
    </row>
    <row r="580" spans="1:12" x14ac:dyDescent="0.45">
      <c r="A580" s="20" t="s">
        <v>930</v>
      </c>
      <c r="B580" s="6">
        <v>14</v>
      </c>
      <c r="C580" s="6">
        <v>26</v>
      </c>
      <c r="D580" s="6">
        <v>16</v>
      </c>
      <c r="E580" s="6">
        <v>2</v>
      </c>
      <c r="F580" s="6">
        <v>2</v>
      </c>
      <c r="G580" s="15">
        <v>46082</v>
      </c>
      <c r="H580" s="15" t="str">
        <f t="shared" si="36"/>
        <v>Sunday</v>
      </c>
      <c r="I580" s="11">
        <v>74</v>
      </c>
      <c r="J580" s="24">
        <f t="shared" si="37"/>
        <v>1184</v>
      </c>
      <c r="K580">
        <f t="shared" si="38"/>
        <v>14</v>
      </c>
      <c r="L580" t="str">
        <f t="shared" si="39"/>
        <v>OK</v>
      </c>
    </row>
    <row r="581" spans="1:12" x14ac:dyDescent="0.45">
      <c r="A581" s="21" t="s">
        <v>1004</v>
      </c>
      <c r="B581" s="7">
        <v>16</v>
      </c>
      <c r="C581" s="7">
        <v>24</v>
      </c>
      <c r="D581" s="7">
        <v>20</v>
      </c>
      <c r="E581" s="7">
        <v>2</v>
      </c>
      <c r="F581" s="7">
        <v>2</v>
      </c>
      <c r="G581" s="16">
        <v>46088</v>
      </c>
      <c r="H581" s="16" t="str">
        <f t="shared" si="36"/>
        <v>Saturday</v>
      </c>
      <c r="I581" s="12">
        <v>111</v>
      </c>
      <c r="J581" s="9">
        <f t="shared" si="37"/>
        <v>2220</v>
      </c>
      <c r="K581">
        <f t="shared" si="38"/>
        <v>16</v>
      </c>
      <c r="L581" t="str">
        <f t="shared" si="39"/>
        <v>OK</v>
      </c>
    </row>
    <row r="582" spans="1:12" x14ac:dyDescent="0.45">
      <c r="A582" s="20" t="s">
        <v>1049</v>
      </c>
      <c r="B582" s="6">
        <v>6</v>
      </c>
      <c r="C582" s="6">
        <v>18</v>
      </c>
      <c r="D582" s="6">
        <v>10</v>
      </c>
      <c r="E582" s="6">
        <v>4</v>
      </c>
      <c r="F582" s="6">
        <v>4</v>
      </c>
      <c r="G582" s="15">
        <v>46082</v>
      </c>
      <c r="H582" s="15" t="str">
        <f t="shared" si="36"/>
        <v>Sunday</v>
      </c>
      <c r="I582" s="11">
        <v>103</v>
      </c>
      <c r="J582" s="24">
        <f t="shared" si="37"/>
        <v>1030</v>
      </c>
      <c r="K582">
        <f t="shared" si="38"/>
        <v>6</v>
      </c>
      <c r="L582" t="str">
        <f t="shared" si="39"/>
        <v>OK</v>
      </c>
    </row>
    <row r="583" spans="1:12" x14ac:dyDescent="0.45">
      <c r="A583" s="21" t="s">
        <v>30</v>
      </c>
      <c r="B583" s="7">
        <v>15</v>
      </c>
      <c r="C583" s="7">
        <v>5</v>
      </c>
      <c r="D583" s="7">
        <v>90</v>
      </c>
      <c r="E583" s="7">
        <v>5</v>
      </c>
      <c r="F583" s="7">
        <v>5</v>
      </c>
      <c r="G583" s="16">
        <v>46087</v>
      </c>
      <c r="H583" s="16" t="str">
        <f t="shared" si="36"/>
        <v>Friday</v>
      </c>
      <c r="I583" s="12">
        <v>84</v>
      </c>
      <c r="J583" s="9">
        <f t="shared" si="37"/>
        <v>7560</v>
      </c>
      <c r="K583">
        <f t="shared" si="38"/>
        <v>15</v>
      </c>
      <c r="L583" t="str">
        <f t="shared" si="39"/>
        <v>OK</v>
      </c>
    </row>
    <row r="584" spans="1:12" x14ac:dyDescent="0.45">
      <c r="A584" s="20" t="s">
        <v>68</v>
      </c>
      <c r="B584" s="6">
        <v>0</v>
      </c>
      <c r="C584" s="6">
        <v>0</v>
      </c>
      <c r="D584" s="6">
        <v>2</v>
      </c>
      <c r="E584" s="6">
        <v>2</v>
      </c>
      <c r="F584" s="6">
        <v>2</v>
      </c>
      <c r="G584" s="15">
        <v>46083</v>
      </c>
      <c r="H584" s="15" t="str">
        <f t="shared" si="36"/>
        <v>Monday</v>
      </c>
      <c r="I584" s="11">
        <v>105</v>
      </c>
      <c r="J584" s="24">
        <f t="shared" si="37"/>
        <v>210</v>
      </c>
      <c r="K584">
        <f t="shared" si="38"/>
        <v>0</v>
      </c>
      <c r="L584" t="str">
        <f t="shared" si="39"/>
        <v>Low Stock</v>
      </c>
    </row>
    <row r="585" spans="1:12" x14ac:dyDescent="0.45">
      <c r="A585" s="21" t="s">
        <v>166</v>
      </c>
      <c r="B585" s="7">
        <v>20</v>
      </c>
      <c r="C585" s="7">
        <v>7</v>
      </c>
      <c r="D585" s="7">
        <v>80</v>
      </c>
      <c r="E585" s="7">
        <v>3</v>
      </c>
      <c r="F585" s="7">
        <v>3</v>
      </c>
      <c r="G585" s="16">
        <v>46087</v>
      </c>
      <c r="H585" s="16" t="str">
        <f t="shared" si="36"/>
        <v>Friday</v>
      </c>
      <c r="I585" s="12">
        <v>145</v>
      </c>
      <c r="J585" s="9">
        <f t="shared" si="37"/>
        <v>11600</v>
      </c>
      <c r="K585">
        <f t="shared" si="38"/>
        <v>20</v>
      </c>
      <c r="L585" t="str">
        <f t="shared" si="39"/>
        <v>OK</v>
      </c>
    </row>
    <row r="586" spans="1:12" x14ac:dyDescent="0.45">
      <c r="A586" s="20" t="s">
        <v>246</v>
      </c>
      <c r="B586" s="6">
        <v>0</v>
      </c>
      <c r="C586" s="6">
        <v>0</v>
      </c>
      <c r="D586" s="6">
        <v>1</v>
      </c>
      <c r="E586" s="6">
        <v>1</v>
      </c>
      <c r="F586" s="6">
        <v>1</v>
      </c>
      <c r="G586" s="15">
        <v>46085</v>
      </c>
      <c r="H586" s="15" t="str">
        <f t="shared" si="36"/>
        <v>Wednesday</v>
      </c>
      <c r="I586" s="11">
        <v>144</v>
      </c>
      <c r="J586" s="24">
        <f t="shared" si="37"/>
        <v>144</v>
      </c>
      <c r="K586">
        <f t="shared" si="38"/>
        <v>0</v>
      </c>
      <c r="L586" t="str">
        <f t="shared" si="39"/>
        <v>Low Stock</v>
      </c>
    </row>
    <row r="587" spans="1:12" x14ac:dyDescent="0.45">
      <c r="A587" s="21" t="s">
        <v>284</v>
      </c>
      <c r="B587" s="7">
        <v>-2</v>
      </c>
      <c r="C587" s="7">
        <v>0</v>
      </c>
      <c r="D587" s="7">
        <v>1</v>
      </c>
      <c r="E587" s="7">
        <v>1</v>
      </c>
      <c r="F587" s="7">
        <v>1</v>
      </c>
      <c r="G587" s="16">
        <v>46087</v>
      </c>
      <c r="H587" s="16" t="str">
        <f t="shared" si="36"/>
        <v>Friday</v>
      </c>
      <c r="I587" s="12">
        <v>171</v>
      </c>
      <c r="J587" s="9">
        <f t="shared" si="37"/>
        <v>171</v>
      </c>
      <c r="K587">
        <f t="shared" si="38"/>
        <v>0</v>
      </c>
      <c r="L587" t="str">
        <f t="shared" si="39"/>
        <v>Low Stock</v>
      </c>
    </row>
    <row r="588" spans="1:12" x14ac:dyDescent="0.45">
      <c r="A588" s="20" t="s">
        <v>422</v>
      </c>
      <c r="B588" s="6">
        <v>-2</v>
      </c>
      <c r="C588" s="6">
        <v>0</v>
      </c>
      <c r="D588" s="6">
        <v>36</v>
      </c>
      <c r="E588" s="6">
        <v>9</v>
      </c>
      <c r="F588" s="6">
        <v>7</v>
      </c>
      <c r="G588" s="15">
        <v>46083</v>
      </c>
      <c r="H588" s="15" t="str">
        <f t="shared" si="36"/>
        <v>Monday</v>
      </c>
      <c r="I588" s="11">
        <v>139</v>
      </c>
      <c r="J588" s="24">
        <f t="shared" si="37"/>
        <v>5004</v>
      </c>
      <c r="K588">
        <f t="shared" si="38"/>
        <v>0</v>
      </c>
      <c r="L588" t="str">
        <f t="shared" si="39"/>
        <v>Low Stock</v>
      </c>
    </row>
    <row r="589" spans="1:12" x14ac:dyDescent="0.45">
      <c r="A589" s="21" t="s">
        <v>534</v>
      </c>
      <c r="B589" s="7">
        <v>10</v>
      </c>
      <c r="C589" s="7">
        <v>10</v>
      </c>
      <c r="D589" s="7">
        <v>30</v>
      </c>
      <c r="E589" s="7">
        <v>2</v>
      </c>
      <c r="F589" s="7">
        <v>2</v>
      </c>
      <c r="G589" s="16">
        <v>46082</v>
      </c>
      <c r="H589" s="16" t="str">
        <f t="shared" si="36"/>
        <v>Sunday</v>
      </c>
      <c r="I589" s="12">
        <v>115</v>
      </c>
      <c r="J589" s="9">
        <f t="shared" si="37"/>
        <v>3450</v>
      </c>
      <c r="K589">
        <f t="shared" si="38"/>
        <v>10</v>
      </c>
      <c r="L589" t="str">
        <f t="shared" si="39"/>
        <v>OK</v>
      </c>
    </row>
    <row r="590" spans="1:12" x14ac:dyDescent="0.45">
      <c r="A590" s="20" t="s">
        <v>577</v>
      </c>
      <c r="B590" s="6">
        <v>1</v>
      </c>
      <c r="C590" s="6">
        <v>15</v>
      </c>
      <c r="D590" s="6">
        <v>2</v>
      </c>
      <c r="E590" s="6">
        <v>2</v>
      </c>
      <c r="F590" s="6">
        <v>2</v>
      </c>
      <c r="G590" s="15">
        <v>46088</v>
      </c>
      <c r="H590" s="15" t="str">
        <f t="shared" si="36"/>
        <v>Saturday</v>
      </c>
      <c r="I590" s="11">
        <v>160</v>
      </c>
      <c r="J590" s="24">
        <f t="shared" si="37"/>
        <v>320</v>
      </c>
      <c r="K590">
        <f t="shared" si="38"/>
        <v>1</v>
      </c>
      <c r="L590" t="str">
        <f t="shared" si="39"/>
        <v>Low Stock</v>
      </c>
    </row>
    <row r="591" spans="1:12" x14ac:dyDescent="0.45">
      <c r="A591" s="21" t="s">
        <v>636</v>
      </c>
      <c r="B591" s="7">
        <v>5</v>
      </c>
      <c r="C591" s="7">
        <v>15</v>
      </c>
      <c r="D591" s="7">
        <v>10</v>
      </c>
      <c r="E591" s="7">
        <v>10</v>
      </c>
      <c r="F591" s="7">
        <v>7</v>
      </c>
      <c r="G591" s="16">
        <v>46084</v>
      </c>
      <c r="H591" s="16" t="str">
        <f t="shared" si="36"/>
        <v>Tuesday</v>
      </c>
      <c r="I591" s="12">
        <v>108</v>
      </c>
      <c r="J591" s="9">
        <f t="shared" si="37"/>
        <v>1080</v>
      </c>
      <c r="K591">
        <f t="shared" si="38"/>
        <v>5</v>
      </c>
      <c r="L591" t="str">
        <f t="shared" si="39"/>
        <v>OK</v>
      </c>
    </row>
    <row r="592" spans="1:12" x14ac:dyDescent="0.45">
      <c r="A592" s="20" t="s">
        <v>785</v>
      </c>
      <c r="B592" s="6">
        <v>102</v>
      </c>
      <c r="C592" s="6">
        <v>25</v>
      </c>
      <c r="D592" s="6">
        <v>120</v>
      </c>
      <c r="E592" s="6">
        <v>10</v>
      </c>
      <c r="F592" s="6">
        <v>10</v>
      </c>
      <c r="G592" s="15">
        <v>46086</v>
      </c>
      <c r="H592" s="15" t="str">
        <f t="shared" si="36"/>
        <v>Thursday</v>
      </c>
      <c r="I592" s="11">
        <v>192</v>
      </c>
      <c r="J592" s="24">
        <f t="shared" si="37"/>
        <v>23040</v>
      </c>
      <c r="K592">
        <f t="shared" si="38"/>
        <v>102</v>
      </c>
      <c r="L592" t="str">
        <f t="shared" si="39"/>
        <v>OK</v>
      </c>
    </row>
    <row r="593" spans="1:12" x14ac:dyDescent="0.45">
      <c r="A593" s="21" t="s">
        <v>72</v>
      </c>
      <c r="B593" s="7">
        <v>-3</v>
      </c>
      <c r="C593" s="7">
        <v>0</v>
      </c>
      <c r="D593" s="7">
        <v>2</v>
      </c>
      <c r="E593" s="7">
        <v>2</v>
      </c>
      <c r="F593" s="7">
        <v>2</v>
      </c>
      <c r="G593" s="16">
        <v>46087</v>
      </c>
      <c r="H593" s="16" t="str">
        <f t="shared" si="36"/>
        <v>Friday</v>
      </c>
      <c r="I593" s="12">
        <v>185</v>
      </c>
      <c r="J593" s="9">
        <f t="shared" si="37"/>
        <v>370</v>
      </c>
      <c r="K593">
        <f t="shared" si="38"/>
        <v>0</v>
      </c>
      <c r="L593" t="str">
        <f t="shared" si="39"/>
        <v>Low Stock</v>
      </c>
    </row>
    <row r="594" spans="1:12" x14ac:dyDescent="0.45">
      <c r="A594" s="20" t="s">
        <v>582</v>
      </c>
      <c r="B594" s="6">
        <v>10</v>
      </c>
      <c r="C594" s="6">
        <v>10</v>
      </c>
      <c r="D594" s="6">
        <v>30</v>
      </c>
      <c r="E594" s="6">
        <v>3</v>
      </c>
      <c r="F594" s="6">
        <v>3</v>
      </c>
      <c r="G594" s="15">
        <v>46084</v>
      </c>
      <c r="H594" s="15" t="str">
        <f t="shared" si="36"/>
        <v>Tuesday</v>
      </c>
      <c r="I594" s="11">
        <v>199</v>
      </c>
      <c r="J594" s="24">
        <f t="shared" si="37"/>
        <v>5970</v>
      </c>
      <c r="K594">
        <f t="shared" si="38"/>
        <v>10</v>
      </c>
      <c r="L594" t="str">
        <f t="shared" si="39"/>
        <v>OK</v>
      </c>
    </row>
    <row r="595" spans="1:12" x14ac:dyDescent="0.45">
      <c r="A595" s="21" t="s">
        <v>608</v>
      </c>
      <c r="B595" s="7">
        <v>77</v>
      </c>
      <c r="C595" s="7">
        <v>11</v>
      </c>
      <c r="D595" s="7">
        <v>195</v>
      </c>
      <c r="E595" s="7">
        <v>9</v>
      </c>
      <c r="F595" s="7">
        <v>8</v>
      </c>
      <c r="G595" s="16">
        <v>46088</v>
      </c>
      <c r="H595" s="16" t="str">
        <f t="shared" si="36"/>
        <v>Saturday</v>
      </c>
      <c r="I595" s="12">
        <v>143</v>
      </c>
      <c r="J595" s="9">
        <f t="shared" si="37"/>
        <v>27885</v>
      </c>
      <c r="K595">
        <f t="shared" si="38"/>
        <v>77</v>
      </c>
      <c r="L595" t="str">
        <f t="shared" si="39"/>
        <v>OK</v>
      </c>
    </row>
    <row r="596" spans="1:12" x14ac:dyDescent="0.45">
      <c r="A596" s="20" t="s">
        <v>864</v>
      </c>
      <c r="B596" s="6">
        <v>50</v>
      </c>
      <c r="C596" s="6">
        <v>25</v>
      </c>
      <c r="D596" s="6">
        <v>60</v>
      </c>
      <c r="E596" s="6">
        <v>4</v>
      </c>
      <c r="F596" s="6">
        <v>4</v>
      </c>
      <c r="G596" s="15">
        <v>46085</v>
      </c>
      <c r="H596" s="15" t="str">
        <f t="shared" si="36"/>
        <v>Wednesday</v>
      </c>
      <c r="I596" s="11">
        <v>89</v>
      </c>
      <c r="J596" s="24">
        <f t="shared" si="37"/>
        <v>5340</v>
      </c>
      <c r="K596">
        <f t="shared" si="38"/>
        <v>50</v>
      </c>
      <c r="L596" t="str">
        <f t="shared" si="39"/>
        <v>OK</v>
      </c>
    </row>
    <row r="597" spans="1:12" x14ac:dyDescent="0.45">
      <c r="A597" s="21" t="s">
        <v>878</v>
      </c>
      <c r="B597" s="7">
        <v>40</v>
      </c>
      <c r="C597" s="7">
        <v>24</v>
      </c>
      <c r="D597" s="7">
        <v>50</v>
      </c>
      <c r="E597" s="7">
        <v>5</v>
      </c>
      <c r="F597" s="7">
        <v>5</v>
      </c>
      <c r="G597" s="16">
        <v>46082</v>
      </c>
      <c r="H597" s="16" t="str">
        <f t="shared" si="36"/>
        <v>Sunday</v>
      </c>
      <c r="I597" s="12">
        <v>73</v>
      </c>
      <c r="J597" s="9">
        <f t="shared" si="37"/>
        <v>3650</v>
      </c>
      <c r="K597">
        <f t="shared" si="38"/>
        <v>40</v>
      </c>
      <c r="L597" t="str">
        <f t="shared" si="39"/>
        <v>OK</v>
      </c>
    </row>
    <row r="598" spans="1:12" x14ac:dyDescent="0.45">
      <c r="A598" s="20" t="s">
        <v>981</v>
      </c>
      <c r="B598" s="6">
        <v>1</v>
      </c>
      <c r="C598" s="6">
        <v>30</v>
      </c>
      <c r="D598" s="6">
        <v>1</v>
      </c>
      <c r="E598" s="6">
        <v>1</v>
      </c>
      <c r="F598" s="6">
        <v>1</v>
      </c>
      <c r="G598" s="15">
        <v>46088</v>
      </c>
      <c r="H598" s="15" t="str">
        <f t="shared" si="36"/>
        <v>Saturday</v>
      </c>
      <c r="I598" s="11">
        <v>200</v>
      </c>
      <c r="J598" s="24">
        <f t="shared" si="37"/>
        <v>200</v>
      </c>
      <c r="K598">
        <f t="shared" si="38"/>
        <v>1</v>
      </c>
      <c r="L598" t="str">
        <f t="shared" si="39"/>
        <v>Low Stock</v>
      </c>
    </row>
    <row r="599" spans="1:12" x14ac:dyDescent="0.45">
      <c r="A599" s="21" t="s">
        <v>1041</v>
      </c>
      <c r="B599" s="7">
        <v>1</v>
      </c>
      <c r="C599" s="7">
        <v>30</v>
      </c>
      <c r="D599" s="7">
        <v>1</v>
      </c>
      <c r="E599" s="7">
        <v>1</v>
      </c>
      <c r="F599" s="7">
        <v>1</v>
      </c>
      <c r="G599" s="16">
        <v>46082</v>
      </c>
      <c r="H599" s="16" t="str">
        <f t="shared" si="36"/>
        <v>Sunday</v>
      </c>
      <c r="I599" s="12">
        <v>75</v>
      </c>
      <c r="J599" s="9">
        <f t="shared" si="37"/>
        <v>75</v>
      </c>
      <c r="K599">
        <f t="shared" si="38"/>
        <v>1</v>
      </c>
      <c r="L599" t="str">
        <f t="shared" si="39"/>
        <v>Low Stock</v>
      </c>
    </row>
    <row r="600" spans="1:12" x14ac:dyDescent="0.45">
      <c r="A600" s="20" t="s">
        <v>597</v>
      </c>
      <c r="B600" s="6">
        <v>3</v>
      </c>
      <c r="C600" s="6">
        <v>9</v>
      </c>
      <c r="D600" s="6">
        <v>10</v>
      </c>
      <c r="E600" s="6">
        <v>1</v>
      </c>
      <c r="F600" s="6">
        <v>1</v>
      </c>
      <c r="G600" s="15">
        <v>46086</v>
      </c>
      <c r="H600" s="15" t="str">
        <f t="shared" si="36"/>
        <v>Thursday</v>
      </c>
      <c r="I600" s="11">
        <v>119</v>
      </c>
      <c r="J600" s="24">
        <f t="shared" si="37"/>
        <v>1190</v>
      </c>
      <c r="K600">
        <f t="shared" si="38"/>
        <v>3</v>
      </c>
      <c r="L600" t="str">
        <f t="shared" si="39"/>
        <v>Low Stock</v>
      </c>
    </row>
    <row r="601" spans="1:12" x14ac:dyDescent="0.45">
      <c r="A601" s="21" t="s">
        <v>609</v>
      </c>
      <c r="B601" s="7">
        <v>1</v>
      </c>
      <c r="C601" s="7">
        <v>15</v>
      </c>
      <c r="D601" s="7">
        <v>2</v>
      </c>
      <c r="E601" s="7">
        <v>2</v>
      </c>
      <c r="F601" s="7">
        <v>2</v>
      </c>
      <c r="G601" s="16">
        <v>46083</v>
      </c>
      <c r="H601" s="16" t="str">
        <f t="shared" si="36"/>
        <v>Monday</v>
      </c>
      <c r="I601" s="12">
        <v>93</v>
      </c>
      <c r="J601" s="9">
        <f t="shared" si="37"/>
        <v>186</v>
      </c>
      <c r="K601">
        <f t="shared" si="38"/>
        <v>1</v>
      </c>
      <c r="L601" t="str">
        <f t="shared" si="39"/>
        <v>Low Stock</v>
      </c>
    </row>
    <row r="602" spans="1:12" x14ac:dyDescent="0.45">
      <c r="A602" s="20" t="s">
        <v>672</v>
      </c>
      <c r="B602" s="6">
        <v>20</v>
      </c>
      <c r="C602" s="6">
        <v>15</v>
      </c>
      <c r="D602" s="6">
        <v>40</v>
      </c>
      <c r="E602" s="6">
        <v>2</v>
      </c>
      <c r="F602" s="6">
        <v>2</v>
      </c>
      <c r="G602" s="15">
        <v>46088</v>
      </c>
      <c r="H602" s="15" t="str">
        <f t="shared" si="36"/>
        <v>Saturday</v>
      </c>
      <c r="I602" s="11">
        <v>63</v>
      </c>
      <c r="J602" s="24">
        <f t="shared" si="37"/>
        <v>2520</v>
      </c>
      <c r="K602">
        <f t="shared" si="38"/>
        <v>20</v>
      </c>
      <c r="L602" t="str">
        <f t="shared" si="39"/>
        <v>OK</v>
      </c>
    </row>
    <row r="603" spans="1:12" x14ac:dyDescent="0.45">
      <c r="A603" s="21" t="s">
        <v>690</v>
      </c>
      <c r="B603" s="7">
        <v>10</v>
      </c>
      <c r="C603" s="7">
        <v>15</v>
      </c>
      <c r="D603" s="7">
        <v>20</v>
      </c>
      <c r="E603" s="7">
        <v>4</v>
      </c>
      <c r="F603" s="7">
        <v>4</v>
      </c>
      <c r="G603" s="16">
        <v>46082</v>
      </c>
      <c r="H603" s="16" t="str">
        <f t="shared" si="36"/>
        <v>Sunday</v>
      </c>
      <c r="I603" s="12">
        <v>107</v>
      </c>
      <c r="J603" s="9">
        <f t="shared" si="37"/>
        <v>2140</v>
      </c>
      <c r="K603">
        <f t="shared" si="38"/>
        <v>10</v>
      </c>
      <c r="L603" t="str">
        <f t="shared" si="39"/>
        <v>OK</v>
      </c>
    </row>
    <row r="604" spans="1:12" x14ac:dyDescent="0.45">
      <c r="A604" s="20" t="s">
        <v>702</v>
      </c>
      <c r="B604" s="6">
        <v>2</v>
      </c>
      <c r="C604" s="6">
        <v>15</v>
      </c>
      <c r="D604" s="6">
        <v>4</v>
      </c>
      <c r="E604" s="6">
        <v>3</v>
      </c>
      <c r="F604" s="6">
        <v>1</v>
      </c>
      <c r="G604" s="15">
        <v>46088</v>
      </c>
      <c r="H604" s="15" t="str">
        <f t="shared" si="36"/>
        <v>Saturday</v>
      </c>
      <c r="I604" s="11">
        <v>92</v>
      </c>
      <c r="J604" s="24">
        <f t="shared" si="37"/>
        <v>368</v>
      </c>
      <c r="K604">
        <f t="shared" si="38"/>
        <v>2</v>
      </c>
      <c r="L604" t="str">
        <f t="shared" si="39"/>
        <v>Low Stock</v>
      </c>
    </row>
    <row r="605" spans="1:12" x14ac:dyDescent="0.45">
      <c r="A605" s="21" t="s">
        <v>923</v>
      </c>
      <c r="B605" s="7">
        <v>2</v>
      </c>
      <c r="C605" s="7">
        <v>20</v>
      </c>
      <c r="D605" s="7">
        <v>3</v>
      </c>
      <c r="E605" s="7">
        <v>3</v>
      </c>
      <c r="F605" s="7">
        <v>3</v>
      </c>
      <c r="G605" s="16">
        <v>46084</v>
      </c>
      <c r="H605" s="16" t="str">
        <f t="shared" si="36"/>
        <v>Tuesday</v>
      </c>
      <c r="I605" s="12">
        <v>155</v>
      </c>
      <c r="J605" s="9">
        <f t="shared" si="37"/>
        <v>465</v>
      </c>
      <c r="K605">
        <f t="shared" si="38"/>
        <v>2</v>
      </c>
      <c r="L605" t="str">
        <f t="shared" si="39"/>
        <v>Low Stock</v>
      </c>
    </row>
    <row r="606" spans="1:12" x14ac:dyDescent="0.45">
      <c r="A606" s="20" t="s">
        <v>1071</v>
      </c>
      <c r="B606" s="6">
        <v>30</v>
      </c>
      <c r="C606" s="6">
        <v>30</v>
      </c>
      <c r="D606" s="6">
        <v>30</v>
      </c>
      <c r="E606" s="6">
        <v>3</v>
      </c>
      <c r="F606" s="6">
        <v>3</v>
      </c>
      <c r="G606" s="15">
        <v>46086</v>
      </c>
      <c r="H606" s="15" t="str">
        <f t="shared" si="36"/>
        <v>Thursday</v>
      </c>
      <c r="I606" s="11">
        <v>99</v>
      </c>
      <c r="J606" s="24">
        <f t="shared" si="37"/>
        <v>2970</v>
      </c>
      <c r="K606">
        <f t="shared" si="38"/>
        <v>30</v>
      </c>
      <c r="L606" t="str">
        <f t="shared" si="39"/>
        <v>OK</v>
      </c>
    </row>
    <row r="607" spans="1:12" x14ac:dyDescent="0.45">
      <c r="A607" s="21" t="s">
        <v>1108</v>
      </c>
      <c r="B607" s="7">
        <v>10</v>
      </c>
      <c r="C607" s="7">
        <v>30</v>
      </c>
      <c r="D607" s="7">
        <v>10</v>
      </c>
      <c r="E607" s="7">
        <v>1</v>
      </c>
      <c r="F607" s="7">
        <v>1</v>
      </c>
      <c r="G607" s="16">
        <v>46087</v>
      </c>
      <c r="H607" s="16" t="str">
        <f t="shared" si="36"/>
        <v>Friday</v>
      </c>
      <c r="I607" s="12">
        <v>84</v>
      </c>
      <c r="J607" s="9">
        <f t="shared" si="37"/>
        <v>840</v>
      </c>
      <c r="K607">
        <f t="shared" si="38"/>
        <v>10</v>
      </c>
      <c r="L607" t="str">
        <f t="shared" si="39"/>
        <v>OK</v>
      </c>
    </row>
    <row r="608" spans="1:12" x14ac:dyDescent="0.45">
      <c r="A608" s="20" t="s">
        <v>1215</v>
      </c>
      <c r="B608" s="6">
        <v>30</v>
      </c>
      <c r="C608" s="6">
        <v>22</v>
      </c>
      <c r="D608" s="6">
        <v>40</v>
      </c>
      <c r="E608" s="6">
        <v>2</v>
      </c>
      <c r="F608" s="6">
        <v>1</v>
      </c>
      <c r="G608" s="15">
        <v>46083</v>
      </c>
      <c r="H608" s="15" t="str">
        <f t="shared" si="36"/>
        <v>Monday</v>
      </c>
      <c r="I608" s="11">
        <v>140</v>
      </c>
      <c r="J608" s="24">
        <f t="shared" si="37"/>
        <v>5600</v>
      </c>
      <c r="K608">
        <f t="shared" si="38"/>
        <v>30</v>
      </c>
      <c r="L608" t="str">
        <f t="shared" si="39"/>
        <v>OK</v>
      </c>
    </row>
    <row r="609" spans="1:12" x14ac:dyDescent="0.45">
      <c r="A609" s="21" t="s">
        <v>56</v>
      </c>
      <c r="B609" s="7">
        <v>0</v>
      </c>
      <c r="C609" s="7">
        <v>0</v>
      </c>
      <c r="D609" s="7">
        <v>50</v>
      </c>
      <c r="E609" s="7">
        <v>5</v>
      </c>
      <c r="F609" s="7">
        <v>5</v>
      </c>
      <c r="G609" s="16">
        <v>46086</v>
      </c>
      <c r="H609" s="16" t="str">
        <f t="shared" si="36"/>
        <v>Thursday</v>
      </c>
      <c r="I609" s="12">
        <v>150</v>
      </c>
      <c r="J609" s="9">
        <f t="shared" si="37"/>
        <v>7500</v>
      </c>
      <c r="K609">
        <f t="shared" si="38"/>
        <v>0</v>
      </c>
      <c r="L609" t="str">
        <f t="shared" si="39"/>
        <v>Low Stock</v>
      </c>
    </row>
    <row r="610" spans="1:12" x14ac:dyDescent="0.45">
      <c r="A610" s="20" t="s">
        <v>92</v>
      </c>
      <c r="B610" s="6">
        <v>0</v>
      </c>
      <c r="C610" s="6">
        <v>0</v>
      </c>
      <c r="D610" s="6">
        <v>20</v>
      </c>
      <c r="E610" s="6">
        <v>1</v>
      </c>
      <c r="F610" s="6">
        <v>1</v>
      </c>
      <c r="G610" s="15">
        <v>46082</v>
      </c>
      <c r="H610" s="15" t="str">
        <f t="shared" si="36"/>
        <v>Sunday</v>
      </c>
      <c r="I610" s="11">
        <v>62</v>
      </c>
      <c r="J610" s="24">
        <f t="shared" si="37"/>
        <v>1240</v>
      </c>
      <c r="K610">
        <f t="shared" si="38"/>
        <v>0</v>
      </c>
      <c r="L610" t="str">
        <f t="shared" si="39"/>
        <v>Low Stock</v>
      </c>
    </row>
    <row r="611" spans="1:12" x14ac:dyDescent="0.45">
      <c r="A611" s="21" t="s">
        <v>266</v>
      </c>
      <c r="B611" s="7">
        <v>-3</v>
      </c>
      <c r="C611" s="7">
        <v>0</v>
      </c>
      <c r="D611" s="7">
        <v>1</v>
      </c>
      <c r="E611" s="7">
        <v>1</v>
      </c>
      <c r="F611" s="7">
        <v>1</v>
      </c>
      <c r="G611" s="16">
        <v>46086</v>
      </c>
      <c r="H611" s="16" t="str">
        <f t="shared" si="36"/>
        <v>Thursday</v>
      </c>
      <c r="I611" s="12">
        <v>98</v>
      </c>
      <c r="J611" s="9">
        <f t="shared" si="37"/>
        <v>98</v>
      </c>
      <c r="K611">
        <f t="shared" si="38"/>
        <v>0</v>
      </c>
      <c r="L611" t="str">
        <f t="shared" si="39"/>
        <v>Low Stock</v>
      </c>
    </row>
    <row r="612" spans="1:12" x14ac:dyDescent="0.45">
      <c r="A612" s="20" t="s">
        <v>340</v>
      </c>
      <c r="B612" s="6">
        <v>0</v>
      </c>
      <c r="C612" s="6">
        <v>0</v>
      </c>
      <c r="D612" s="6">
        <v>10</v>
      </c>
      <c r="E612" s="6">
        <v>4</v>
      </c>
      <c r="F612" s="6">
        <v>4</v>
      </c>
      <c r="G612" s="15">
        <v>46088</v>
      </c>
      <c r="H612" s="15" t="str">
        <f t="shared" si="36"/>
        <v>Saturday</v>
      </c>
      <c r="I612" s="11">
        <v>111</v>
      </c>
      <c r="J612" s="24">
        <f t="shared" si="37"/>
        <v>1110</v>
      </c>
      <c r="K612">
        <f t="shared" si="38"/>
        <v>0</v>
      </c>
      <c r="L612" t="str">
        <f t="shared" si="39"/>
        <v>Low Stock</v>
      </c>
    </row>
    <row r="613" spans="1:12" x14ac:dyDescent="0.45">
      <c r="A613" s="21" t="s">
        <v>519</v>
      </c>
      <c r="B613" s="7">
        <v>6</v>
      </c>
      <c r="C613" s="7">
        <v>13</v>
      </c>
      <c r="D613" s="7">
        <v>13</v>
      </c>
      <c r="E613" s="7">
        <v>12</v>
      </c>
      <c r="F613" s="7">
        <v>9</v>
      </c>
      <c r="G613" s="16">
        <v>46086</v>
      </c>
      <c r="H613" s="16" t="str">
        <f t="shared" si="36"/>
        <v>Thursday</v>
      </c>
      <c r="I613" s="12">
        <v>168</v>
      </c>
      <c r="J613" s="9">
        <f t="shared" si="37"/>
        <v>2184</v>
      </c>
      <c r="K613">
        <f t="shared" si="38"/>
        <v>6</v>
      </c>
      <c r="L613" t="str">
        <f t="shared" si="39"/>
        <v>OK</v>
      </c>
    </row>
    <row r="614" spans="1:12" x14ac:dyDescent="0.45">
      <c r="A614" s="20" t="s">
        <v>594</v>
      </c>
      <c r="B614" s="6">
        <v>10</v>
      </c>
      <c r="C614" s="6">
        <v>10</v>
      </c>
      <c r="D614" s="6">
        <v>30</v>
      </c>
      <c r="E614" s="6">
        <v>1</v>
      </c>
      <c r="F614" s="6">
        <v>1</v>
      </c>
      <c r="G614" s="15">
        <v>46084</v>
      </c>
      <c r="H614" s="15" t="str">
        <f t="shared" si="36"/>
        <v>Tuesday</v>
      </c>
      <c r="I614" s="11">
        <v>128</v>
      </c>
      <c r="J614" s="24">
        <f t="shared" si="37"/>
        <v>3840</v>
      </c>
      <c r="K614">
        <f t="shared" si="38"/>
        <v>10</v>
      </c>
      <c r="L614" t="str">
        <f t="shared" si="39"/>
        <v>OK</v>
      </c>
    </row>
    <row r="615" spans="1:12" x14ac:dyDescent="0.45">
      <c r="A615" s="21" t="s">
        <v>625</v>
      </c>
      <c r="B615" s="7">
        <v>14</v>
      </c>
      <c r="C615" s="7">
        <v>15</v>
      </c>
      <c r="D615" s="7">
        <v>28</v>
      </c>
      <c r="E615" s="7">
        <v>1</v>
      </c>
      <c r="F615" s="7">
        <v>1</v>
      </c>
      <c r="G615" s="16">
        <v>46082</v>
      </c>
      <c r="H615" s="16" t="str">
        <f t="shared" si="36"/>
        <v>Sunday</v>
      </c>
      <c r="I615" s="12">
        <v>106</v>
      </c>
      <c r="J615" s="9">
        <f t="shared" si="37"/>
        <v>2968</v>
      </c>
      <c r="K615">
        <f t="shared" si="38"/>
        <v>14</v>
      </c>
      <c r="L615" t="str">
        <f t="shared" si="39"/>
        <v>OK</v>
      </c>
    </row>
    <row r="616" spans="1:12" x14ac:dyDescent="0.45">
      <c r="A616" s="20" t="s">
        <v>655</v>
      </c>
      <c r="B616" s="6">
        <v>10</v>
      </c>
      <c r="C616" s="6">
        <v>15</v>
      </c>
      <c r="D616" s="6">
        <v>20</v>
      </c>
      <c r="E616" s="6">
        <v>1</v>
      </c>
      <c r="F616" s="6">
        <v>1</v>
      </c>
      <c r="G616" s="15">
        <v>46082</v>
      </c>
      <c r="H616" s="15" t="str">
        <f t="shared" si="36"/>
        <v>Sunday</v>
      </c>
      <c r="I616" s="11">
        <v>104</v>
      </c>
      <c r="J616" s="24">
        <f t="shared" si="37"/>
        <v>2080</v>
      </c>
      <c r="K616">
        <f t="shared" si="38"/>
        <v>10</v>
      </c>
      <c r="L616" t="str">
        <f t="shared" si="39"/>
        <v>OK</v>
      </c>
    </row>
    <row r="617" spans="1:12" x14ac:dyDescent="0.45">
      <c r="A617" s="21" t="s">
        <v>854</v>
      </c>
      <c r="B617" s="7">
        <v>100</v>
      </c>
      <c r="C617" s="7">
        <v>20</v>
      </c>
      <c r="D617" s="7">
        <v>150</v>
      </c>
      <c r="E617" s="7">
        <v>9</v>
      </c>
      <c r="F617" s="7">
        <v>9</v>
      </c>
      <c r="G617" s="16">
        <v>46086</v>
      </c>
      <c r="H617" s="16" t="str">
        <f t="shared" si="36"/>
        <v>Thursday</v>
      </c>
      <c r="I617" s="12">
        <v>140</v>
      </c>
      <c r="J617" s="9">
        <f t="shared" si="37"/>
        <v>21000</v>
      </c>
      <c r="K617">
        <f t="shared" si="38"/>
        <v>100</v>
      </c>
      <c r="L617" t="str">
        <f t="shared" si="39"/>
        <v>OK</v>
      </c>
    </row>
    <row r="618" spans="1:12" x14ac:dyDescent="0.45">
      <c r="A618" s="20" t="s">
        <v>1141</v>
      </c>
      <c r="B618" s="6">
        <v>1</v>
      </c>
      <c r="C618" s="6">
        <v>30</v>
      </c>
      <c r="D618" s="6">
        <v>1</v>
      </c>
      <c r="E618" s="6">
        <v>1</v>
      </c>
      <c r="F618" s="6">
        <v>1</v>
      </c>
      <c r="G618" s="15">
        <v>46086</v>
      </c>
      <c r="H618" s="15" t="str">
        <f t="shared" si="36"/>
        <v>Thursday</v>
      </c>
      <c r="I618" s="11">
        <v>72</v>
      </c>
      <c r="J618" s="24">
        <f t="shared" si="37"/>
        <v>72</v>
      </c>
      <c r="K618">
        <f t="shared" si="38"/>
        <v>1</v>
      </c>
      <c r="L618" t="str">
        <f t="shared" si="39"/>
        <v>Low Stock</v>
      </c>
    </row>
    <row r="619" spans="1:12" x14ac:dyDescent="0.45">
      <c r="A619" s="21" t="s">
        <v>117</v>
      </c>
      <c r="B619" s="7">
        <v>10</v>
      </c>
      <c r="C619" s="7">
        <v>3</v>
      </c>
      <c r="D619" s="7">
        <v>80</v>
      </c>
      <c r="E619" s="7">
        <v>6</v>
      </c>
      <c r="F619" s="7">
        <v>5</v>
      </c>
      <c r="G619" s="16">
        <v>46084</v>
      </c>
      <c r="H619" s="16" t="str">
        <f t="shared" si="36"/>
        <v>Tuesday</v>
      </c>
      <c r="I619" s="12">
        <v>144</v>
      </c>
      <c r="J619" s="9">
        <f t="shared" si="37"/>
        <v>11520</v>
      </c>
      <c r="K619">
        <f t="shared" si="38"/>
        <v>10</v>
      </c>
      <c r="L619" t="str">
        <f t="shared" si="39"/>
        <v>OK</v>
      </c>
    </row>
    <row r="620" spans="1:12" x14ac:dyDescent="0.45">
      <c r="A620" s="20" t="s">
        <v>198</v>
      </c>
      <c r="B620" s="6">
        <v>0</v>
      </c>
      <c r="C620" s="6">
        <v>0</v>
      </c>
      <c r="D620" s="6">
        <v>220</v>
      </c>
      <c r="E620" s="6">
        <v>9</v>
      </c>
      <c r="F620" s="6">
        <v>6</v>
      </c>
      <c r="G620" s="15">
        <v>46082</v>
      </c>
      <c r="H620" s="15" t="str">
        <f t="shared" si="36"/>
        <v>Sunday</v>
      </c>
      <c r="I620" s="11">
        <v>101</v>
      </c>
      <c r="J620" s="24">
        <f t="shared" si="37"/>
        <v>22220</v>
      </c>
      <c r="K620">
        <f t="shared" si="38"/>
        <v>0</v>
      </c>
      <c r="L620" t="str">
        <f t="shared" si="39"/>
        <v>Low Stock</v>
      </c>
    </row>
    <row r="621" spans="1:12" x14ac:dyDescent="0.45">
      <c r="A621" s="21" t="s">
        <v>233</v>
      </c>
      <c r="B621" s="7">
        <v>-6</v>
      </c>
      <c r="C621" s="7">
        <v>0</v>
      </c>
      <c r="D621" s="7">
        <v>1</v>
      </c>
      <c r="E621" s="7">
        <v>1</v>
      </c>
      <c r="F621" s="7">
        <v>1</v>
      </c>
      <c r="G621" s="16">
        <v>46085</v>
      </c>
      <c r="H621" s="16" t="str">
        <f t="shared" si="36"/>
        <v>Wednesday</v>
      </c>
      <c r="I621" s="12">
        <v>138</v>
      </c>
      <c r="J621" s="9">
        <f t="shared" si="37"/>
        <v>138</v>
      </c>
      <c r="K621">
        <f t="shared" si="38"/>
        <v>0</v>
      </c>
      <c r="L621" t="str">
        <f t="shared" si="39"/>
        <v>Low Stock</v>
      </c>
    </row>
    <row r="622" spans="1:12" x14ac:dyDescent="0.45">
      <c r="A622" s="20" t="s">
        <v>254</v>
      </c>
      <c r="B622" s="6">
        <v>0</v>
      </c>
      <c r="C622" s="6">
        <v>0</v>
      </c>
      <c r="D622" s="6">
        <v>30</v>
      </c>
      <c r="E622" s="6">
        <v>2</v>
      </c>
      <c r="F622" s="6">
        <v>2</v>
      </c>
      <c r="G622" s="15">
        <v>46086</v>
      </c>
      <c r="H622" s="15" t="str">
        <f t="shared" si="36"/>
        <v>Thursday</v>
      </c>
      <c r="I622" s="11">
        <v>143</v>
      </c>
      <c r="J622" s="24">
        <f t="shared" si="37"/>
        <v>4290</v>
      </c>
      <c r="K622">
        <f t="shared" si="38"/>
        <v>0</v>
      </c>
      <c r="L622" t="str">
        <f t="shared" si="39"/>
        <v>Low Stock</v>
      </c>
    </row>
    <row r="623" spans="1:12" x14ac:dyDescent="0.45">
      <c r="A623" s="21" t="s">
        <v>256</v>
      </c>
      <c r="B623" s="7">
        <v>0</v>
      </c>
      <c r="C623" s="7">
        <v>0</v>
      </c>
      <c r="D623" s="7">
        <v>15</v>
      </c>
      <c r="E623" s="7">
        <v>1</v>
      </c>
      <c r="F623" s="7">
        <v>1</v>
      </c>
      <c r="G623" s="16">
        <v>46088</v>
      </c>
      <c r="H623" s="16" t="str">
        <f t="shared" si="36"/>
        <v>Saturday</v>
      </c>
      <c r="I623" s="12">
        <v>150</v>
      </c>
      <c r="J623" s="9">
        <f t="shared" si="37"/>
        <v>2250</v>
      </c>
      <c r="K623">
        <f t="shared" si="38"/>
        <v>0</v>
      </c>
      <c r="L623" t="str">
        <f t="shared" si="39"/>
        <v>Low Stock</v>
      </c>
    </row>
    <row r="624" spans="1:12" x14ac:dyDescent="0.45">
      <c r="A624" s="20" t="s">
        <v>365</v>
      </c>
      <c r="B624" s="6">
        <v>10</v>
      </c>
      <c r="C624" s="6">
        <v>4</v>
      </c>
      <c r="D624" s="6">
        <v>70</v>
      </c>
      <c r="E624" s="6">
        <v>5</v>
      </c>
      <c r="F624" s="6">
        <v>4</v>
      </c>
      <c r="G624" s="15">
        <v>46086</v>
      </c>
      <c r="H624" s="15" t="str">
        <f t="shared" si="36"/>
        <v>Thursday</v>
      </c>
      <c r="I624" s="11">
        <v>144</v>
      </c>
      <c r="J624" s="24">
        <f t="shared" si="37"/>
        <v>10080</v>
      </c>
      <c r="K624">
        <f t="shared" si="38"/>
        <v>10</v>
      </c>
      <c r="L624" t="str">
        <f t="shared" si="39"/>
        <v>OK</v>
      </c>
    </row>
    <row r="625" spans="1:12" x14ac:dyDescent="0.45">
      <c r="A625" s="21" t="s">
        <v>481</v>
      </c>
      <c r="B625" s="7">
        <v>0</v>
      </c>
      <c r="C625" s="7">
        <v>0</v>
      </c>
      <c r="D625" s="7">
        <v>105</v>
      </c>
      <c r="E625" s="7">
        <v>1</v>
      </c>
      <c r="F625" s="7">
        <v>1</v>
      </c>
      <c r="G625" s="16">
        <v>46082</v>
      </c>
      <c r="H625" s="16" t="str">
        <f t="shared" si="36"/>
        <v>Sunday</v>
      </c>
      <c r="I625" s="12">
        <v>72</v>
      </c>
      <c r="J625" s="9">
        <f t="shared" si="37"/>
        <v>7560</v>
      </c>
      <c r="K625">
        <f t="shared" si="38"/>
        <v>0</v>
      </c>
      <c r="L625" t="str">
        <f t="shared" si="39"/>
        <v>Low Stock</v>
      </c>
    </row>
    <row r="626" spans="1:12" x14ac:dyDescent="0.45">
      <c r="A626" s="20" t="s">
        <v>522</v>
      </c>
      <c r="B626" s="6">
        <v>600</v>
      </c>
      <c r="C626" s="6">
        <v>15</v>
      </c>
      <c r="D626" s="6">
        <v>1200</v>
      </c>
      <c r="E626" s="6">
        <v>10</v>
      </c>
      <c r="F626" s="6">
        <v>8</v>
      </c>
      <c r="G626" s="15">
        <v>46086</v>
      </c>
      <c r="H626" s="15" t="str">
        <f t="shared" si="36"/>
        <v>Thursday</v>
      </c>
      <c r="I626" s="11">
        <v>134</v>
      </c>
      <c r="J626" s="24">
        <f t="shared" si="37"/>
        <v>160800</v>
      </c>
      <c r="K626">
        <f t="shared" si="38"/>
        <v>600</v>
      </c>
      <c r="L626" t="str">
        <f t="shared" si="39"/>
        <v>OK</v>
      </c>
    </row>
    <row r="627" spans="1:12" x14ac:dyDescent="0.45">
      <c r="A627" s="21" t="s">
        <v>541</v>
      </c>
      <c r="B627" s="7">
        <v>20</v>
      </c>
      <c r="C627" s="7">
        <v>15</v>
      </c>
      <c r="D627" s="7">
        <v>40</v>
      </c>
      <c r="E627" s="7">
        <v>2</v>
      </c>
      <c r="F627" s="7">
        <v>2</v>
      </c>
      <c r="G627" s="16">
        <v>46084</v>
      </c>
      <c r="H627" s="16" t="str">
        <f t="shared" si="36"/>
        <v>Tuesday</v>
      </c>
      <c r="I627" s="12">
        <v>114</v>
      </c>
      <c r="J627" s="9">
        <f t="shared" si="37"/>
        <v>4560</v>
      </c>
      <c r="K627">
        <f t="shared" si="38"/>
        <v>20</v>
      </c>
      <c r="L627" t="str">
        <f t="shared" si="39"/>
        <v>OK</v>
      </c>
    </row>
    <row r="628" spans="1:12" x14ac:dyDescent="0.45">
      <c r="A628" s="20" t="s">
        <v>590</v>
      </c>
      <c r="B628" s="6">
        <v>84</v>
      </c>
      <c r="C628" s="6">
        <v>14</v>
      </c>
      <c r="D628" s="6">
        <v>176</v>
      </c>
      <c r="E628" s="6">
        <v>36</v>
      </c>
      <c r="F628" s="6">
        <v>19</v>
      </c>
      <c r="G628" s="15">
        <v>46087</v>
      </c>
      <c r="H628" s="15" t="str">
        <f t="shared" si="36"/>
        <v>Friday</v>
      </c>
      <c r="I628" s="11">
        <v>72</v>
      </c>
      <c r="J628" s="24">
        <f t="shared" si="37"/>
        <v>12672</v>
      </c>
      <c r="K628">
        <f t="shared" si="38"/>
        <v>84</v>
      </c>
      <c r="L628" t="str">
        <f t="shared" si="39"/>
        <v>OK</v>
      </c>
    </row>
    <row r="629" spans="1:12" x14ac:dyDescent="0.45">
      <c r="A629" s="21" t="s">
        <v>688</v>
      </c>
      <c r="B629" s="7">
        <v>1</v>
      </c>
      <c r="C629" s="7">
        <v>10</v>
      </c>
      <c r="D629" s="7">
        <v>3</v>
      </c>
      <c r="E629" s="7">
        <v>2</v>
      </c>
      <c r="F629" s="7">
        <v>2</v>
      </c>
      <c r="G629" s="16">
        <v>46088</v>
      </c>
      <c r="H629" s="16" t="str">
        <f t="shared" si="36"/>
        <v>Saturday</v>
      </c>
      <c r="I629" s="12">
        <v>103</v>
      </c>
      <c r="J629" s="9">
        <f t="shared" si="37"/>
        <v>309</v>
      </c>
      <c r="K629">
        <f t="shared" si="38"/>
        <v>1</v>
      </c>
      <c r="L629" t="str">
        <f t="shared" si="39"/>
        <v>Low Stock</v>
      </c>
    </row>
    <row r="630" spans="1:12" x14ac:dyDescent="0.45">
      <c r="A630" s="20" t="s">
        <v>746</v>
      </c>
      <c r="B630" s="6">
        <v>60</v>
      </c>
      <c r="C630" s="6">
        <v>20</v>
      </c>
      <c r="D630" s="6">
        <v>90</v>
      </c>
      <c r="E630" s="6">
        <v>8</v>
      </c>
      <c r="F630" s="6">
        <v>6</v>
      </c>
      <c r="G630" s="15">
        <v>46086</v>
      </c>
      <c r="H630" s="15" t="str">
        <f t="shared" si="36"/>
        <v>Thursday</v>
      </c>
      <c r="I630" s="11">
        <v>169</v>
      </c>
      <c r="J630" s="24">
        <f t="shared" si="37"/>
        <v>15210</v>
      </c>
      <c r="K630">
        <f t="shared" si="38"/>
        <v>60</v>
      </c>
      <c r="L630" t="str">
        <f t="shared" si="39"/>
        <v>OK</v>
      </c>
    </row>
    <row r="631" spans="1:12" x14ac:dyDescent="0.45">
      <c r="A631" s="21" t="s">
        <v>847</v>
      </c>
      <c r="B631" s="7">
        <v>105</v>
      </c>
      <c r="C631" s="7">
        <v>26</v>
      </c>
      <c r="D631" s="7">
        <v>120</v>
      </c>
      <c r="E631" s="7">
        <v>5</v>
      </c>
      <c r="F631" s="7">
        <v>4</v>
      </c>
      <c r="G631" s="16">
        <v>46082</v>
      </c>
      <c r="H631" s="16" t="str">
        <f t="shared" si="36"/>
        <v>Sunday</v>
      </c>
      <c r="I631" s="12">
        <v>77</v>
      </c>
      <c r="J631" s="9">
        <f t="shared" si="37"/>
        <v>9240</v>
      </c>
      <c r="K631">
        <f t="shared" si="38"/>
        <v>105</v>
      </c>
      <c r="L631" t="str">
        <f t="shared" si="39"/>
        <v>OK</v>
      </c>
    </row>
    <row r="632" spans="1:12" x14ac:dyDescent="0.45">
      <c r="A632" s="20" t="s">
        <v>1176</v>
      </c>
      <c r="B632" s="6">
        <v>1</v>
      </c>
      <c r="C632" s="6">
        <v>30</v>
      </c>
      <c r="D632" s="6">
        <v>1</v>
      </c>
      <c r="E632" s="6">
        <v>1</v>
      </c>
      <c r="F632" s="6">
        <v>1</v>
      </c>
      <c r="G632" s="15">
        <v>46082</v>
      </c>
      <c r="H632" s="15" t="str">
        <f t="shared" si="36"/>
        <v>Sunday</v>
      </c>
      <c r="I632" s="11">
        <v>123</v>
      </c>
      <c r="J632" s="24">
        <f t="shared" si="37"/>
        <v>123</v>
      </c>
      <c r="K632">
        <f t="shared" si="38"/>
        <v>1</v>
      </c>
      <c r="L632" t="str">
        <f t="shared" si="39"/>
        <v>Low Stock</v>
      </c>
    </row>
    <row r="633" spans="1:12" x14ac:dyDescent="0.45">
      <c r="A633" s="21" t="s">
        <v>1192</v>
      </c>
      <c r="B633" s="7">
        <v>74</v>
      </c>
      <c r="C633" s="7">
        <v>24</v>
      </c>
      <c r="D633" s="7">
        <v>90</v>
      </c>
      <c r="E633" s="7">
        <v>2</v>
      </c>
      <c r="F633" s="7">
        <v>2</v>
      </c>
      <c r="G633" s="16">
        <v>46082</v>
      </c>
      <c r="H633" s="16" t="str">
        <f t="shared" si="36"/>
        <v>Sunday</v>
      </c>
      <c r="I633" s="12">
        <v>69</v>
      </c>
      <c r="J633" s="9">
        <f t="shared" si="37"/>
        <v>6210</v>
      </c>
      <c r="K633">
        <f t="shared" si="38"/>
        <v>74</v>
      </c>
      <c r="L633" t="str">
        <f t="shared" si="39"/>
        <v>OK</v>
      </c>
    </row>
    <row r="634" spans="1:12" x14ac:dyDescent="0.45">
      <c r="A634" s="20" t="s">
        <v>1264</v>
      </c>
      <c r="B634" s="6">
        <v>100</v>
      </c>
      <c r="C634" s="6">
        <v>27</v>
      </c>
      <c r="D634" s="6">
        <v>110</v>
      </c>
      <c r="E634" s="6">
        <v>6</v>
      </c>
      <c r="F634" s="6">
        <v>5</v>
      </c>
      <c r="G634" s="15">
        <v>46082</v>
      </c>
      <c r="H634" s="15" t="str">
        <f t="shared" si="36"/>
        <v>Sunday</v>
      </c>
      <c r="I634" s="11">
        <v>133</v>
      </c>
      <c r="J634" s="24">
        <f t="shared" si="37"/>
        <v>14630</v>
      </c>
      <c r="K634">
        <f t="shared" si="38"/>
        <v>100</v>
      </c>
      <c r="L634" t="str">
        <f t="shared" si="39"/>
        <v>OK</v>
      </c>
    </row>
    <row r="635" spans="1:12" x14ac:dyDescent="0.45">
      <c r="A635" s="21" t="s">
        <v>265</v>
      </c>
      <c r="B635" s="7">
        <v>-1</v>
      </c>
      <c r="C635" s="7">
        <v>0</v>
      </c>
      <c r="D635" s="7">
        <v>1</v>
      </c>
      <c r="E635" s="7">
        <v>1</v>
      </c>
      <c r="F635" s="7">
        <v>1</v>
      </c>
      <c r="G635" s="16">
        <v>46082</v>
      </c>
      <c r="H635" s="16" t="str">
        <f t="shared" si="36"/>
        <v>Sunday</v>
      </c>
      <c r="I635" s="12">
        <v>128</v>
      </c>
      <c r="J635" s="9">
        <f t="shared" si="37"/>
        <v>128</v>
      </c>
      <c r="K635">
        <f t="shared" si="38"/>
        <v>0</v>
      </c>
      <c r="L635" t="str">
        <f t="shared" si="39"/>
        <v>Low Stock</v>
      </c>
    </row>
    <row r="636" spans="1:12" x14ac:dyDescent="0.45">
      <c r="A636" s="20" t="s">
        <v>328</v>
      </c>
      <c r="B636" s="6">
        <v>0</v>
      </c>
      <c r="C636" s="6">
        <v>0</v>
      </c>
      <c r="D636" s="6">
        <v>15</v>
      </c>
      <c r="E636" s="6">
        <v>1</v>
      </c>
      <c r="F636" s="6">
        <v>1</v>
      </c>
      <c r="G636" s="15">
        <v>46087</v>
      </c>
      <c r="H636" s="15" t="str">
        <f t="shared" si="36"/>
        <v>Friday</v>
      </c>
      <c r="I636" s="11">
        <v>141</v>
      </c>
      <c r="J636" s="24">
        <f t="shared" si="37"/>
        <v>2115</v>
      </c>
      <c r="K636">
        <f t="shared" si="38"/>
        <v>0</v>
      </c>
      <c r="L636" t="str">
        <f t="shared" si="39"/>
        <v>Low Stock</v>
      </c>
    </row>
    <row r="637" spans="1:12" x14ac:dyDescent="0.45">
      <c r="A637" s="21" t="s">
        <v>386</v>
      </c>
      <c r="B637" s="7">
        <v>-3</v>
      </c>
      <c r="C637" s="7">
        <v>0</v>
      </c>
      <c r="D637" s="7">
        <v>1</v>
      </c>
      <c r="E637" s="7">
        <v>1</v>
      </c>
      <c r="F637" s="7">
        <v>1</v>
      </c>
      <c r="G637" s="16">
        <v>46086</v>
      </c>
      <c r="H637" s="16" t="str">
        <f t="shared" si="36"/>
        <v>Thursday</v>
      </c>
      <c r="I637" s="12">
        <v>154</v>
      </c>
      <c r="J637" s="9">
        <f t="shared" si="37"/>
        <v>154</v>
      </c>
      <c r="K637">
        <f t="shared" si="38"/>
        <v>0</v>
      </c>
      <c r="L637" t="str">
        <f t="shared" si="39"/>
        <v>Low Stock</v>
      </c>
    </row>
    <row r="638" spans="1:12" x14ac:dyDescent="0.45">
      <c r="A638" s="20" t="s">
        <v>492</v>
      </c>
      <c r="B638" s="6">
        <v>-10</v>
      </c>
      <c r="C638" s="6">
        <v>0</v>
      </c>
      <c r="D638" s="6">
        <v>30</v>
      </c>
      <c r="E638" s="6">
        <v>3</v>
      </c>
      <c r="F638" s="6">
        <v>2</v>
      </c>
      <c r="G638" s="15">
        <v>46088</v>
      </c>
      <c r="H638" s="15" t="str">
        <f t="shared" si="36"/>
        <v>Saturday</v>
      </c>
      <c r="I638" s="11">
        <v>87</v>
      </c>
      <c r="J638" s="24">
        <f t="shared" si="37"/>
        <v>2610</v>
      </c>
      <c r="K638">
        <f t="shared" si="38"/>
        <v>0</v>
      </c>
      <c r="L638" t="str">
        <f t="shared" si="39"/>
        <v>Low Stock</v>
      </c>
    </row>
    <row r="639" spans="1:12" x14ac:dyDescent="0.45">
      <c r="A639" s="21" t="s">
        <v>518</v>
      </c>
      <c r="B639" s="7">
        <v>4</v>
      </c>
      <c r="C639" s="7">
        <v>10</v>
      </c>
      <c r="D639" s="7">
        <v>12</v>
      </c>
      <c r="E639" s="7">
        <v>12</v>
      </c>
      <c r="F639" s="7">
        <v>8</v>
      </c>
      <c r="G639" s="16">
        <v>46082</v>
      </c>
      <c r="H639" s="16" t="str">
        <f t="shared" si="36"/>
        <v>Sunday</v>
      </c>
      <c r="I639" s="12">
        <v>153</v>
      </c>
      <c r="J639" s="9">
        <f t="shared" si="37"/>
        <v>1836</v>
      </c>
      <c r="K639">
        <f t="shared" si="38"/>
        <v>4</v>
      </c>
      <c r="L639" t="str">
        <f t="shared" si="39"/>
        <v>Low Stock</v>
      </c>
    </row>
    <row r="640" spans="1:12" x14ac:dyDescent="0.45">
      <c r="A640" s="20" t="s">
        <v>581</v>
      </c>
      <c r="B640" s="6">
        <v>15</v>
      </c>
      <c r="C640" s="6">
        <v>10</v>
      </c>
      <c r="D640" s="6">
        <v>45</v>
      </c>
      <c r="E640" s="6">
        <v>2</v>
      </c>
      <c r="F640" s="6">
        <v>2</v>
      </c>
      <c r="G640" s="15">
        <v>46082</v>
      </c>
      <c r="H640" s="15" t="str">
        <f t="shared" si="36"/>
        <v>Sunday</v>
      </c>
      <c r="I640" s="11">
        <v>128</v>
      </c>
      <c r="J640" s="24">
        <f t="shared" si="37"/>
        <v>5760</v>
      </c>
      <c r="K640">
        <f t="shared" si="38"/>
        <v>15</v>
      </c>
      <c r="L640" t="str">
        <f t="shared" si="39"/>
        <v>OK</v>
      </c>
    </row>
    <row r="641" spans="1:12" x14ac:dyDescent="0.45">
      <c r="A641" s="21" t="s">
        <v>666</v>
      </c>
      <c r="B641" s="7">
        <v>1</v>
      </c>
      <c r="C641" s="7">
        <v>15</v>
      </c>
      <c r="D641" s="7">
        <v>2</v>
      </c>
      <c r="E641" s="7">
        <v>2</v>
      </c>
      <c r="F641" s="7">
        <v>2</v>
      </c>
      <c r="G641" s="16">
        <v>46084</v>
      </c>
      <c r="H641" s="16" t="str">
        <f t="shared" si="36"/>
        <v>Tuesday</v>
      </c>
      <c r="I641" s="12">
        <v>104</v>
      </c>
      <c r="J641" s="9">
        <f t="shared" si="37"/>
        <v>208</v>
      </c>
      <c r="K641">
        <f t="shared" si="38"/>
        <v>1</v>
      </c>
      <c r="L641" t="str">
        <f t="shared" si="39"/>
        <v>Low Stock</v>
      </c>
    </row>
    <row r="642" spans="1:12" x14ac:dyDescent="0.45">
      <c r="A642" s="20" t="s">
        <v>849</v>
      </c>
      <c r="B642" s="6">
        <v>20</v>
      </c>
      <c r="C642" s="6">
        <v>20</v>
      </c>
      <c r="D642" s="6">
        <v>30</v>
      </c>
      <c r="E642" s="6">
        <v>3</v>
      </c>
      <c r="F642" s="6">
        <v>3</v>
      </c>
      <c r="G642" s="15">
        <v>46082</v>
      </c>
      <c r="H642" s="15" t="str">
        <f t="shared" ref="H642:H705" si="40">TEXT(G642,"dddd")</f>
        <v>Sunday</v>
      </c>
      <c r="I642" s="11">
        <v>83</v>
      </c>
      <c r="J642" s="24">
        <f t="shared" ref="J642:J705" si="41">D642*I642</f>
        <v>2490</v>
      </c>
      <c r="K642">
        <f t="shared" ref="K642:K705" si="42">IF(B642&lt;0,0,B642)</f>
        <v>20</v>
      </c>
      <c r="L642" t="str">
        <f t="shared" ref="L642:L705" si="43">IF(K642&lt;5,"Low Stock","OK")</f>
        <v>OK</v>
      </c>
    </row>
    <row r="643" spans="1:12" x14ac:dyDescent="0.45">
      <c r="A643" s="21" t="s">
        <v>882</v>
      </c>
      <c r="B643" s="7">
        <v>2</v>
      </c>
      <c r="C643" s="7">
        <v>30</v>
      </c>
      <c r="D643" s="7">
        <v>2</v>
      </c>
      <c r="E643" s="7">
        <v>2</v>
      </c>
      <c r="F643" s="7">
        <v>2</v>
      </c>
      <c r="G643" s="16">
        <v>46082</v>
      </c>
      <c r="H643" s="16" t="str">
        <f t="shared" si="40"/>
        <v>Sunday</v>
      </c>
      <c r="I643" s="12">
        <v>164</v>
      </c>
      <c r="J643" s="9">
        <f t="shared" si="41"/>
        <v>328</v>
      </c>
      <c r="K643">
        <f t="shared" si="42"/>
        <v>2</v>
      </c>
      <c r="L643" t="str">
        <f t="shared" si="43"/>
        <v>Low Stock</v>
      </c>
    </row>
    <row r="644" spans="1:12" x14ac:dyDescent="0.45">
      <c r="A644" s="20" t="s">
        <v>957</v>
      </c>
      <c r="B644" s="6">
        <v>4</v>
      </c>
      <c r="C644" s="6">
        <v>30</v>
      </c>
      <c r="D644" s="6">
        <v>4</v>
      </c>
      <c r="E644" s="6">
        <v>4</v>
      </c>
      <c r="F644" s="6">
        <v>4</v>
      </c>
      <c r="G644" s="15">
        <v>46085</v>
      </c>
      <c r="H644" s="15" t="str">
        <f t="shared" si="40"/>
        <v>Wednesday</v>
      </c>
      <c r="I644" s="11">
        <v>123</v>
      </c>
      <c r="J644" s="24">
        <f t="shared" si="41"/>
        <v>492</v>
      </c>
      <c r="K644">
        <f t="shared" si="42"/>
        <v>4</v>
      </c>
      <c r="L644" t="str">
        <f t="shared" si="43"/>
        <v>Low Stock</v>
      </c>
    </row>
    <row r="645" spans="1:12" x14ac:dyDescent="0.45">
      <c r="A645" s="21" t="s">
        <v>1142</v>
      </c>
      <c r="B645" s="7">
        <v>10</v>
      </c>
      <c r="C645" s="7">
        <v>30</v>
      </c>
      <c r="D645" s="7">
        <v>10</v>
      </c>
      <c r="E645" s="7">
        <v>1</v>
      </c>
      <c r="F645" s="7">
        <v>1</v>
      </c>
      <c r="G645" s="16">
        <v>46084</v>
      </c>
      <c r="H645" s="16" t="str">
        <f t="shared" si="40"/>
        <v>Tuesday</v>
      </c>
      <c r="I645" s="12">
        <v>72</v>
      </c>
      <c r="J645" s="9">
        <f t="shared" si="41"/>
        <v>720</v>
      </c>
      <c r="K645">
        <f t="shared" si="42"/>
        <v>10</v>
      </c>
      <c r="L645" t="str">
        <f t="shared" si="43"/>
        <v>OK</v>
      </c>
    </row>
    <row r="646" spans="1:12" x14ac:dyDescent="0.45">
      <c r="A646" s="20" t="s">
        <v>1163</v>
      </c>
      <c r="B646" s="6">
        <v>20</v>
      </c>
      <c r="C646" s="6">
        <v>30</v>
      </c>
      <c r="D646" s="6">
        <v>20</v>
      </c>
      <c r="E646" s="6">
        <v>1</v>
      </c>
      <c r="F646" s="6">
        <v>1</v>
      </c>
      <c r="G646" s="15">
        <v>46086</v>
      </c>
      <c r="H646" s="15" t="str">
        <f t="shared" si="40"/>
        <v>Thursday</v>
      </c>
      <c r="I646" s="11">
        <v>62</v>
      </c>
      <c r="J646" s="24">
        <f t="shared" si="41"/>
        <v>1240</v>
      </c>
      <c r="K646">
        <f t="shared" si="42"/>
        <v>20</v>
      </c>
      <c r="L646" t="str">
        <f t="shared" si="43"/>
        <v>OK</v>
      </c>
    </row>
    <row r="647" spans="1:12" x14ac:dyDescent="0.45">
      <c r="A647" s="21" t="s">
        <v>298</v>
      </c>
      <c r="B647" s="7">
        <v>0</v>
      </c>
      <c r="C647" s="7">
        <v>0</v>
      </c>
      <c r="D647" s="7">
        <v>2</v>
      </c>
      <c r="E647" s="7">
        <v>2</v>
      </c>
      <c r="F647" s="7">
        <v>2</v>
      </c>
      <c r="G647" s="16">
        <v>46086</v>
      </c>
      <c r="H647" s="16" t="str">
        <f t="shared" si="40"/>
        <v>Thursday</v>
      </c>
      <c r="I647" s="12">
        <v>196</v>
      </c>
      <c r="J647" s="9">
        <f t="shared" si="41"/>
        <v>392</v>
      </c>
      <c r="K647">
        <f t="shared" si="42"/>
        <v>0</v>
      </c>
      <c r="L647" t="str">
        <f t="shared" si="43"/>
        <v>Low Stock</v>
      </c>
    </row>
    <row r="648" spans="1:12" x14ac:dyDescent="0.45">
      <c r="A648" s="20" t="s">
        <v>559</v>
      </c>
      <c r="B648" s="6">
        <v>25</v>
      </c>
      <c r="C648" s="6">
        <v>8</v>
      </c>
      <c r="D648" s="6">
        <v>90</v>
      </c>
      <c r="E648" s="6">
        <v>5</v>
      </c>
      <c r="F648" s="6">
        <v>5</v>
      </c>
      <c r="G648" s="15">
        <v>46083</v>
      </c>
      <c r="H648" s="15" t="str">
        <f t="shared" si="40"/>
        <v>Monday</v>
      </c>
      <c r="I648" s="11">
        <v>101</v>
      </c>
      <c r="J648" s="24">
        <f t="shared" si="41"/>
        <v>9090</v>
      </c>
      <c r="K648">
        <f t="shared" si="42"/>
        <v>25</v>
      </c>
      <c r="L648" t="str">
        <f t="shared" si="43"/>
        <v>OK</v>
      </c>
    </row>
    <row r="649" spans="1:12" x14ac:dyDescent="0.45">
      <c r="A649" s="21" t="s">
        <v>898</v>
      </c>
      <c r="B649" s="7">
        <v>60</v>
      </c>
      <c r="C649" s="7">
        <v>30</v>
      </c>
      <c r="D649" s="7">
        <v>60</v>
      </c>
      <c r="E649" s="7">
        <v>2</v>
      </c>
      <c r="F649" s="7">
        <v>1</v>
      </c>
      <c r="G649" s="16">
        <v>46086</v>
      </c>
      <c r="H649" s="16" t="str">
        <f t="shared" si="40"/>
        <v>Thursday</v>
      </c>
      <c r="I649" s="12">
        <v>139</v>
      </c>
      <c r="J649" s="9">
        <f t="shared" si="41"/>
        <v>8340</v>
      </c>
      <c r="K649">
        <f t="shared" si="42"/>
        <v>60</v>
      </c>
      <c r="L649" t="str">
        <f t="shared" si="43"/>
        <v>OK</v>
      </c>
    </row>
    <row r="650" spans="1:12" x14ac:dyDescent="0.45">
      <c r="A650" s="20" t="s">
        <v>1007</v>
      </c>
      <c r="B650" s="6">
        <v>30</v>
      </c>
      <c r="C650" s="6">
        <v>30</v>
      </c>
      <c r="D650" s="6">
        <v>30</v>
      </c>
      <c r="E650" s="6">
        <v>2</v>
      </c>
      <c r="F650" s="6">
        <v>2</v>
      </c>
      <c r="G650" s="15">
        <v>46086</v>
      </c>
      <c r="H650" s="15" t="str">
        <f t="shared" si="40"/>
        <v>Thursday</v>
      </c>
      <c r="I650" s="11">
        <v>65</v>
      </c>
      <c r="J650" s="24">
        <f t="shared" si="41"/>
        <v>1950</v>
      </c>
      <c r="K650">
        <f t="shared" si="42"/>
        <v>30</v>
      </c>
      <c r="L650" t="str">
        <f t="shared" si="43"/>
        <v>OK</v>
      </c>
    </row>
    <row r="651" spans="1:12" x14ac:dyDescent="0.45">
      <c r="A651" s="21" t="s">
        <v>1173</v>
      </c>
      <c r="B651" s="7">
        <v>35</v>
      </c>
      <c r="C651" s="7">
        <v>23</v>
      </c>
      <c r="D651" s="7">
        <v>45</v>
      </c>
      <c r="E651" s="7">
        <v>3</v>
      </c>
      <c r="F651" s="7">
        <v>3</v>
      </c>
      <c r="G651" s="16">
        <v>46082</v>
      </c>
      <c r="H651" s="16" t="str">
        <f t="shared" si="40"/>
        <v>Sunday</v>
      </c>
      <c r="I651" s="12">
        <v>196</v>
      </c>
      <c r="J651" s="9">
        <f t="shared" si="41"/>
        <v>8820</v>
      </c>
      <c r="K651">
        <f t="shared" si="42"/>
        <v>35</v>
      </c>
      <c r="L651" t="str">
        <f t="shared" si="43"/>
        <v>OK</v>
      </c>
    </row>
    <row r="652" spans="1:12" x14ac:dyDescent="0.45">
      <c r="A652" s="20" t="s">
        <v>1207</v>
      </c>
      <c r="B652" s="6">
        <v>60</v>
      </c>
      <c r="C652" s="6">
        <v>30</v>
      </c>
      <c r="D652" s="6">
        <v>60</v>
      </c>
      <c r="E652" s="6">
        <v>2</v>
      </c>
      <c r="F652" s="6">
        <v>2</v>
      </c>
      <c r="G652" s="15">
        <v>46086</v>
      </c>
      <c r="H652" s="15" t="str">
        <f t="shared" si="40"/>
        <v>Thursday</v>
      </c>
      <c r="I652" s="11">
        <v>97</v>
      </c>
      <c r="J652" s="24">
        <f t="shared" si="41"/>
        <v>5820</v>
      </c>
      <c r="K652">
        <f t="shared" si="42"/>
        <v>60</v>
      </c>
      <c r="L652" t="str">
        <f t="shared" si="43"/>
        <v>OK</v>
      </c>
    </row>
    <row r="653" spans="1:12" x14ac:dyDescent="0.45">
      <c r="A653" s="21" t="s">
        <v>1238</v>
      </c>
      <c r="B653" s="7">
        <v>40</v>
      </c>
      <c r="C653" s="7">
        <v>24</v>
      </c>
      <c r="D653" s="7">
        <v>50</v>
      </c>
      <c r="E653" s="7">
        <v>3</v>
      </c>
      <c r="F653" s="7">
        <v>3</v>
      </c>
      <c r="G653" s="16">
        <v>46087</v>
      </c>
      <c r="H653" s="16" t="str">
        <f t="shared" si="40"/>
        <v>Friday</v>
      </c>
      <c r="I653" s="12">
        <v>100</v>
      </c>
      <c r="J653" s="9">
        <f t="shared" si="41"/>
        <v>5000</v>
      </c>
      <c r="K653">
        <f t="shared" si="42"/>
        <v>40</v>
      </c>
      <c r="L653" t="str">
        <f t="shared" si="43"/>
        <v>OK</v>
      </c>
    </row>
    <row r="654" spans="1:12" x14ac:dyDescent="0.45">
      <c r="A654" s="20" t="s">
        <v>275</v>
      </c>
      <c r="B654" s="6">
        <v>-9</v>
      </c>
      <c r="C654" s="6">
        <v>0</v>
      </c>
      <c r="D654" s="6">
        <v>2</v>
      </c>
      <c r="E654" s="6">
        <v>2</v>
      </c>
      <c r="F654" s="6">
        <v>2</v>
      </c>
      <c r="G654" s="15">
        <v>46083</v>
      </c>
      <c r="H654" s="15" t="str">
        <f t="shared" si="40"/>
        <v>Monday</v>
      </c>
      <c r="I654" s="11">
        <v>175</v>
      </c>
      <c r="J654" s="24">
        <f t="shared" si="41"/>
        <v>350</v>
      </c>
      <c r="K654">
        <f t="shared" si="42"/>
        <v>0</v>
      </c>
      <c r="L654" t="str">
        <f t="shared" si="43"/>
        <v>Low Stock</v>
      </c>
    </row>
    <row r="655" spans="1:12" x14ac:dyDescent="0.45">
      <c r="A655" s="21" t="s">
        <v>359</v>
      </c>
      <c r="B655" s="7">
        <v>-45</v>
      </c>
      <c r="C655" s="7">
        <v>0</v>
      </c>
      <c r="D655" s="7">
        <v>45</v>
      </c>
      <c r="E655" s="7">
        <v>1</v>
      </c>
      <c r="F655" s="7">
        <v>1</v>
      </c>
      <c r="G655" s="16">
        <v>46085</v>
      </c>
      <c r="H655" s="16" t="str">
        <f t="shared" si="40"/>
        <v>Wednesday</v>
      </c>
      <c r="I655" s="12">
        <v>138</v>
      </c>
      <c r="J655" s="9">
        <f t="shared" si="41"/>
        <v>6210</v>
      </c>
      <c r="K655">
        <f t="shared" si="42"/>
        <v>0</v>
      </c>
      <c r="L655" t="str">
        <f t="shared" si="43"/>
        <v>Low Stock</v>
      </c>
    </row>
    <row r="656" spans="1:12" x14ac:dyDescent="0.45">
      <c r="A656" s="20" t="s">
        <v>543</v>
      </c>
      <c r="B656" s="6">
        <v>1</v>
      </c>
      <c r="C656" s="6">
        <v>10</v>
      </c>
      <c r="D656" s="6">
        <v>3</v>
      </c>
      <c r="E656" s="6">
        <v>3</v>
      </c>
      <c r="F656" s="6">
        <v>3</v>
      </c>
      <c r="G656" s="15">
        <v>46083</v>
      </c>
      <c r="H656" s="15" t="str">
        <f t="shared" si="40"/>
        <v>Monday</v>
      </c>
      <c r="I656" s="11">
        <v>197</v>
      </c>
      <c r="J656" s="24">
        <f t="shared" si="41"/>
        <v>591</v>
      </c>
      <c r="K656">
        <f t="shared" si="42"/>
        <v>1</v>
      </c>
      <c r="L656" t="str">
        <f t="shared" si="43"/>
        <v>Low Stock</v>
      </c>
    </row>
    <row r="657" spans="1:12" x14ac:dyDescent="0.45">
      <c r="A657" s="21" t="s">
        <v>561</v>
      </c>
      <c r="B657" s="7">
        <v>20</v>
      </c>
      <c r="C657" s="7">
        <v>12</v>
      </c>
      <c r="D657" s="7">
        <v>50</v>
      </c>
      <c r="E657" s="7">
        <v>3</v>
      </c>
      <c r="F657" s="7">
        <v>3</v>
      </c>
      <c r="G657" s="16">
        <v>46082</v>
      </c>
      <c r="H657" s="16" t="str">
        <f t="shared" si="40"/>
        <v>Sunday</v>
      </c>
      <c r="I657" s="12">
        <v>105</v>
      </c>
      <c r="J657" s="9">
        <f t="shared" si="41"/>
        <v>5250</v>
      </c>
      <c r="K657">
        <f t="shared" si="42"/>
        <v>20</v>
      </c>
      <c r="L657" t="str">
        <f t="shared" si="43"/>
        <v>OK</v>
      </c>
    </row>
    <row r="658" spans="1:12" x14ac:dyDescent="0.45">
      <c r="A658" s="20" t="s">
        <v>796</v>
      </c>
      <c r="B658" s="6">
        <v>21</v>
      </c>
      <c r="C658" s="6">
        <v>30</v>
      </c>
      <c r="D658" s="6">
        <v>21</v>
      </c>
      <c r="E658" s="6">
        <v>1</v>
      </c>
      <c r="F658" s="6">
        <v>1</v>
      </c>
      <c r="G658" s="15">
        <v>46088</v>
      </c>
      <c r="H658" s="15" t="str">
        <f t="shared" si="40"/>
        <v>Saturday</v>
      </c>
      <c r="I658" s="11">
        <v>84</v>
      </c>
      <c r="J658" s="24">
        <f t="shared" si="41"/>
        <v>1764</v>
      </c>
      <c r="K658">
        <f t="shared" si="42"/>
        <v>21</v>
      </c>
      <c r="L658" t="str">
        <f t="shared" si="43"/>
        <v>OK</v>
      </c>
    </row>
    <row r="659" spans="1:12" x14ac:dyDescent="0.45">
      <c r="A659" s="21" t="s">
        <v>998</v>
      </c>
      <c r="B659" s="7">
        <v>10</v>
      </c>
      <c r="C659" s="7">
        <v>30</v>
      </c>
      <c r="D659" s="7">
        <v>10</v>
      </c>
      <c r="E659" s="7">
        <v>1</v>
      </c>
      <c r="F659" s="7">
        <v>1</v>
      </c>
      <c r="G659" s="16">
        <v>46085</v>
      </c>
      <c r="H659" s="16" t="str">
        <f t="shared" si="40"/>
        <v>Wednesday</v>
      </c>
      <c r="I659" s="12">
        <v>69</v>
      </c>
      <c r="J659" s="9">
        <f t="shared" si="41"/>
        <v>690</v>
      </c>
      <c r="K659">
        <f t="shared" si="42"/>
        <v>10</v>
      </c>
      <c r="L659" t="str">
        <f t="shared" si="43"/>
        <v>OK</v>
      </c>
    </row>
    <row r="660" spans="1:12" x14ac:dyDescent="0.45">
      <c r="A660" s="20" t="s">
        <v>1262</v>
      </c>
      <c r="B660" s="6">
        <v>120</v>
      </c>
      <c r="C660" s="6">
        <v>30</v>
      </c>
      <c r="D660" s="6">
        <v>120</v>
      </c>
      <c r="E660" s="6">
        <v>1</v>
      </c>
      <c r="F660" s="6">
        <v>1</v>
      </c>
      <c r="G660" s="15">
        <v>46083</v>
      </c>
      <c r="H660" s="15" t="str">
        <f t="shared" si="40"/>
        <v>Monday</v>
      </c>
      <c r="I660" s="11">
        <v>99</v>
      </c>
      <c r="J660" s="24">
        <f t="shared" si="41"/>
        <v>11880</v>
      </c>
      <c r="K660">
        <f t="shared" si="42"/>
        <v>120</v>
      </c>
      <c r="L660" t="str">
        <f t="shared" si="43"/>
        <v>OK</v>
      </c>
    </row>
    <row r="661" spans="1:12" x14ac:dyDescent="0.45">
      <c r="A661" s="21" t="s">
        <v>19</v>
      </c>
      <c r="B661" s="7">
        <v>0</v>
      </c>
      <c r="C661" s="7">
        <v>0</v>
      </c>
      <c r="D661" s="7">
        <v>50</v>
      </c>
      <c r="E661" s="7">
        <v>3</v>
      </c>
      <c r="F661" s="7">
        <v>3</v>
      </c>
      <c r="G661" s="16">
        <v>46084</v>
      </c>
      <c r="H661" s="16" t="str">
        <f t="shared" si="40"/>
        <v>Tuesday</v>
      </c>
      <c r="I661" s="12">
        <v>69</v>
      </c>
      <c r="J661" s="9">
        <f t="shared" si="41"/>
        <v>3450</v>
      </c>
      <c r="K661">
        <f t="shared" si="42"/>
        <v>0</v>
      </c>
      <c r="L661" t="str">
        <f t="shared" si="43"/>
        <v>Low Stock</v>
      </c>
    </row>
    <row r="662" spans="1:12" x14ac:dyDescent="0.45">
      <c r="A662" s="20" t="s">
        <v>60</v>
      </c>
      <c r="B662" s="6">
        <v>0</v>
      </c>
      <c r="C662" s="6">
        <v>0</v>
      </c>
      <c r="D662" s="6">
        <v>60</v>
      </c>
      <c r="E662" s="6">
        <v>2</v>
      </c>
      <c r="F662" s="6">
        <v>2</v>
      </c>
      <c r="G662" s="15">
        <v>46086</v>
      </c>
      <c r="H662" s="15" t="str">
        <f t="shared" si="40"/>
        <v>Thursday</v>
      </c>
      <c r="I662" s="11">
        <v>95</v>
      </c>
      <c r="J662" s="24">
        <f t="shared" si="41"/>
        <v>5700</v>
      </c>
      <c r="K662">
        <f t="shared" si="42"/>
        <v>0</v>
      </c>
      <c r="L662" t="str">
        <f t="shared" si="43"/>
        <v>Low Stock</v>
      </c>
    </row>
    <row r="663" spans="1:12" x14ac:dyDescent="0.45">
      <c r="A663" s="21" t="s">
        <v>287</v>
      </c>
      <c r="B663" s="7">
        <v>0</v>
      </c>
      <c r="C663" s="7">
        <v>0</v>
      </c>
      <c r="D663" s="7">
        <v>78</v>
      </c>
      <c r="E663" s="7">
        <v>4</v>
      </c>
      <c r="F663" s="7">
        <v>3</v>
      </c>
      <c r="G663" s="16">
        <v>46083</v>
      </c>
      <c r="H663" s="16" t="str">
        <f t="shared" si="40"/>
        <v>Monday</v>
      </c>
      <c r="I663" s="12">
        <v>73</v>
      </c>
      <c r="J663" s="9">
        <f t="shared" si="41"/>
        <v>5694</v>
      </c>
      <c r="K663">
        <f t="shared" si="42"/>
        <v>0</v>
      </c>
      <c r="L663" t="str">
        <f t="shared" si="43"/>
        <v>Low Stock</v>
      </c>
    </row>
    <row r="664" spans="1:12" x14ac:dyDescent="0.45">
      <c r="A664" s="20" t="s">
        <v>491</v>
      </c>
      <c r="B664" s="6">
        <v>0</v>
      </c>
      <c r="C664" s="6">
        <v>0</v>
      </c>
      <c r="D664" s="6">
        <v>1</v>
      </c>
      <c r="E664" s="6">
        <v>1</v>
      </c>
      <c r="F664" s="6">
        <v>1</v>
      </c>
      <c r="G664" s="15">
        <v>46083</v>
      </c>
      <c r="H664" s="15" t="str">
        <f t="shared" si="40"/>
        <v>Monday</v>
      </c>
      <c r="I664" s="11">
        <v>143</v>
      </c>
      <c r="J664" s="24">
        <f t="shared" si="41"/>
        <v>143</v>
      </c>
      <c r="K664">
        <f t="shared" si="42"/>
        <v>0</v>
      </c>
      <c r="L664" t="str">
        <f t="shared" si="43"/>
        <v>Low Stock</v>
      </c>
    </row>
    <row r="665" spans="1:12" x14ac:dyDescent="0.45">
      <c r="A665" s="21" t="s">
        <v>753</v>
      </c>
      <c r="B665" s="7">
        <v>20</v>
      </c>
      <c r="C665" s="7">
        <v>20</v>
      </c>
      <c r="D665" s="7">
        <v>30</v>
      </c>
      <c r="E665" s="7">
        <v>2</v>
      </c>
      <c r="F665" s="7">
        <v>1</v>
      </c>
      <c r="G665" s="16">
        <v>46083</v>
      </c>
      <c r="H665" s="16" t="str">
        <f t="shared" si="40"/>
        <v>Monday</v>
      </c>
      <c r="I665" s="12">
        <v>88</v>
      </c>
      <c r="J665" s="9">
        <f t="shared" si="41"/>
        <v>2640</v>
      </c>
      <c r="K665">
        <f t="shared" si="42"/>
        <v>20</v>
      </c>
      <c r="L665" t="str">
        <f t="shared" si="43"/>
        <v>OK</v>
      </c>
    </row>
    <row r="666" spans="1:12" x14ac:dyDescent="0.45">
      <c r="A666" s="20" t="s">
        <v>779</v>
      </c>
      <c r="B666" s="6">
        <v>10</v>
      </c>
      <c r="C666" s="6">
        <v>30</v>
      </c>
      <c r="D666" s="6">
        <v>10</v>
      </c>
      <c r="E666" s="6">
        <v>1</v>
      </c>
      <c r="F666" s="6">
        <v>1</v>
      </c>
      <c r="G666" s="15">
        <v>46088</v>
      </c>
      <c r="H666" s="15" t="str">
        <f t="shared" si="40"/>
        <v>Saturday</v>
      </c>
      <c r="I666" s="11">
        <v>85</v>
      </c>
      <c r="J666" s="24">
        <f t="shared" si="41"/>
        <v>850</v>
      </c>
      <c r="K666">
        <f t="shared" si="42"/>
        <v>10</v>
      </c>
      <c r="L666" t="str">
        <f t="shared" si="43"/>
        <v>OK</v>
      </c>
    </row>
    <row r="667" spans="1:12" x14ac:dyDescent="0.45">
      <c r="A667" s="21" t="s">
        <v>867</v>
      </c>
      <c r="B667" s="7">
        <v>60</v>
      </c>
      <c r="C667" s="7">
        <v>30</v>
      </c>
      <c r="D667" s="7">
        <v>60</v>
      </c>
      <c r="E667" s="7">
        <v>2</v>
      </c>
      <c r="F667" s="7">
        <v>2</v>
      </c>
      <c r="G667" s="16">
        <v>46083</v>
      </c>
      <c r="H667" s="16" t="str">
        <f t="shared" si="40"/>
        <v>Monday</v>
      </c>
      <c r="I667" s="12">
        <v>188</v>
      </c>
      <c r="J667" s="9">
        <f t="shared" si="41"/>
        <v>11280</v>
      </c>
      <c r="K667">
        <f t="shared" si="42"/>
        <v>60</v>
      </c>
      <c r="L667" t="str">
        <f t="shared" si="43"/>
        <v>OK</v>
      </c>
    </row>
    <row r="668" spans="1:12" x14ac:dyDescent="0.45">
      <c r="A668" s="20" t="s">
        <v>1109</v>
      </c>
      <c r="B668" s="6">
        <v>30</v>
      </c>
      <c r="C668" s="6">
        <v>30</v>
      </c>
      <c r="D668" s="6">
        <v>30</v>
      </c>
      <c r="E668" s="6">
        <v>1</v>
      </c>
      <c r="F668" s="6">
        <v>1</v>
      </c>
      <c r="G668" s="15">
        <v>46084</v>
      </c>
      <c r="H668" s="15" t="str">
        <f t="shared" si="40"/>
        <v>Tuesday</v>
      </c>
      <c r="I668" s="11">
        <v>144</v>
      </c>
      <c r="J668" s="24">
        <f t="shared" si="41"/>
        <v>4320</v>
      </c>
      <c r="K668">
        <f t="shared" si="42"/>
        <v>30</v>
      </c>
      <c r="L668" t="str">
        <f t="shared" si="43"/>
        <v>OK</v>
      </c>
    </row>
    <row r="669" spans="1:12" x14ac:dyDescent="0.45">
      <c r="A669" s="21" t="s">
        <v>1184</v>
      </c>
      <c r="B669" s="7">
        <v>1</v>
      </c>
      <c r="C669" s="7">
        <v>30</v>
      </c>
      <c r="D669" s="7">
        <v>1</v>
      </c>
      <c r="E669" s="7">
        <v>1</v>
      </c>
      <c r="F669" s="7">
        <v>1</v>
      </c>
      <c r="G669" s="16">
        <v>46088</v>
      </c>
      <c r="H669" s="16" t="str">
        <f t="shared" si="40"/>
        <v>Saturday</v>
      </c>
      <c r="I669" s="12">
        <v>135</v>
      </c>
      <c r="J669" s="9">
        <f t="shared" si="41"/>
        <v>135</v>
      </c>
      <c r="K669">
        <f t="shared" si="42"/>
        <v>1</v>
      </c>
      <c r="L669" t="str">
        <f t="shared" si="43"/>
        <v>Low Stock</v>
      </c>
    </row>
    <row r="670" spans="1:12" x14ac:dyDescent="0.45">
      <c r="A670" s="20" t="s">
        <v>288</v>
      </c>
      <c r="B670" s="6">
        <v>0</v>
      </c>
      <c r="C670" s="6">
        <v>0</v>
      </c>
      <c r="D670" s="6">
        <v>4</v>
      </c>
      <c r="E670" s="6">
        <v>4</v>
      </c>
      <c r="F670" s="6">
        <v>4</v>
      </c>
      <c r="G670" s="15">
        <v>46082</v>
      </c>
      <c r="H670" s="15" t="str">
        <f t="shared" si="40"/>
        <v>Sunday</v>
      </c>
      <c r="I670" s="11">
        <v>84</v>
      </c>
      <c r="J670" s="24">
        <f t="shared" si="41"/>
        <v>336</v>
      </c>
      <c r="K670">
        <f t="shared" si="42"/>
        <v>0</v>
      </c>
      <c r="L670" t="str">
        <f t="shared" si="43"/>
        <v>Low Stock</v>
      </c>
    </row>
    <row r="671" spans="1:12" x14ac:dyDescent="0.45">
      <c r="A671" s="21" t="s">
        <v>330</v>
      </c>
      <c r="B671" s="7">
        <v>0</v>
      </c>
      <c r="C671" s="7">
        <v>0</v>
      </c>
      <c r="D671" s="7">
        <v>1</v>
      </c>
      <c r="E671" s="7">
        <v>1</v>
      </c>
      <c r="F671" s="7">
        <v>1</v>
      </c>
      <c r="G671" s="16">
        <v>46088</v>
      </c>
      <c r="H671" s="16" t="str">
        <f t="shared" si="40"/>
        <v>Saturday</v>
      </c>
      <c r="I671" s="12">
        <v>134</v>
      </c>
      <c r="J671" s="9">
        <f t="shared" si="41"/>
        <v>134</v>
      </c>
      <c r="K671">
        <f t="shared" si="42"/>
        <v>0</v>
      </c>
      <c r="L671" t="str">
        <f t="shared" si="43"/>
        <v>Low Stock</v>
      </c>
    </row>
    <row r="672" spans="1:12" x14ac:dyDescent="0.45">
      <c r="A672" s="20" t="s">
        <v>419</v>
      </c>
      <c r="B672" s="6">
        <v>0</v>
      </c>
      <c r="C672" s="6">
        <v>0</v>
      </c>
      <c r="D672" s="6">
        <v>2</v>
      </c>
      <c r="E672" s="6">
        <v>1</v>
      </c>
      <c r="F672" s="6">
        <v>1</v>
      </c>
      <c r="G672" s="15">
        <v>46082</v>
      </c>
      <c r="H672" s="15" t="str">
        <f t="shared" si="40"/>
        <v>Sunday</v>
      </c>
      <c r="I672" s="11">
        <v>80</v>
      </c>
      <c r="J672" s="24">
        <f t="shared" si="41"/>
        <v>160</v>
      </c>
      <c r="K672">
        <f t="shared" si="42"/>
        <v>0</v>
      </c>
      <c r="L672" t="str">
        <f t="shared" si="43"/>
        <v>Low Stock</v>
      </c>
    </row>
    <row r="673" spans="1:12" x14ac:dyDescent="0.45">
      <c r="A673" s="21" t="s">
        <v>454</v>
      </c>
      <c r="B673" s="7">
        <v>0</v>
      </c>
      <c r="C673" s="7">
        <v>0</v>
      </c>
      <c r="D673" s="7">
        <v>1</v>
      </c>
      <c r="E673" s="7">
        <v>1</v>
      </c>
      <c r="F673" s="7">
        <v>1</v>
      </c>
      <c r="G673" s="16">
        <v>46086</v>
      </c>
      <c r="H673" s="16" t="str">
        <f t="shared" si="40"/>
        <v>Thursday</v>
      </c>
      <c r="I673" s="12">
        <v>128</v>
      </c>
      <c r="J673" s="9">
        <f t="shared" si="41"/>
        <v>128</v>
      </c>
      <c r="K673">
        <f t="shared" si="42"/>
        <v>0</v>
      </c>
      <c r="L673" t="str">
        <f t="shared" si="43"/>
        <v>Low Stock</v>
      </c>
    </row>
    <row r="674" spans="1:12" x14ac:dyDescent="0.45">
      <c r="A674" s="20"/>
      <c r="B674" s="6"/>
      <c r="C674" s="6"/>
      <c r="D674" s="6"/>
      <c r="E674" s="6"/>
      <c r="F674" s="6"/>
      <c r="G674" s="15">
        <v>46083</v>
      </c>
      <c r="H674" s="15" t="str">
        <f t="shared" si="40"/>
        <v>Monday</v>
      </c>
      <c r="I674" s="11">
        <v>85</v>
      </c>
      <c r="J674" s="24">
        <f t="shared" si="41"/>
        <v>0</v>
      </c>
      <c r="K674">
        <f t="shared" si="42"/>
        <v>0</v>
      </c>
      <c r="L674" t="str">
        <f t="shared" si="43"/>
        <v>Low Stock</v>
      </c>
    </row>
    <row r="675" spans="1:12" x14ac:dyDescent="0.45">
      <c r="A675" s="21" t="s">
        <v>528</v>
      </c>
      <c r="B675" s="7">
        <v>135</v>
      </c>
      <c r="C675" s="7">
        <v>11</v>
      </c>
      <c r="D675" s="7">
        <v>345</v>
      </c>
      <c r="E675" s="7">
        <v>17</v>
      </c>
      <c r="F675" s="7">
        <v>12</v>
      </c>
      <c r="G675" s="16">
        <v>46086</v>
      </c>
      <c r="H675" s="16" t="str">
        <f t="shared" si="40"/>
        <v>Thursday</v>
      </c>
      <c r="I675" s="12">
        <v>69</v>
      </c>
      <c r="J675" s="9">
        <f t="shared" si="41"/>
        <v>23805</v>
      </c>
      <c r="K675">
        <f t="shared" si="42"/>
        <v>135</v>
      </c>
      <c r="L675" t="str">
        <f t="shared" si="43"/>
        <v>OK</v>
      </c>
    </row>
    <row r="676" spans="1:12" x14ac:dyDescent="0.45">
      <c r="A676" s="20" t="s">
        <v>777</v>
      </c>
      <c r="B676" s="6">
        <v>20</v>
      </c>
      <c r="C676" s="6">
        <v>20</v>
      </c>
      <c r="D676" s="6">
        <v>30</v>
      </c>
      <c r="E676" s="6">
        <v>3</v>
      </c>
      <c r="F676" s="6">
        <v>3</v>
      </c>
      <c r="G676" s="15">
        <v>46084</v>
      </c>
      <c r="H676" s="15" t="str">
        <f t="shared" si="40"/>
        <v>Tuesday</v>
      </c>
      <c r="I676" s="11">
        <v>150</v>
      </c>
      <c r="J676" s="24">
        <f t="shared" si="41"/>
        <v>4500</v>
      </c>
      <c r="K676">
        <f t="shared" si="42"/>
        <v>20</v>
      </c>
      <c r="L676" t="str">
        <f t="shared" si="43"/>
        <v>OK</v>
      </c>
    </row>
    <row r="677" spans="1:12" x14ac:dyDescent="0.45">
      <c r="A677" s="21" t="s">
        <v>857</v>
      </c>
      <c r="B677" s="7">
        <v>56</v>
      </c>
      <c r="C677" s="7">
        <v>24</v>
      </c>
      <c r="D677" s="7">
        <v>70</v>
      </c>
      <c r="E677" s="7">
        <v>3</v>
      </c>
      <c r="F677" s="7">
        <v>3</v>
      </c>
      <c r="G677" s="16">
        <v>46087</v>
      </c>
      <c r="H677" s="16" t="str">
        <f t="shared" si="40"/>
        <v>Friday</v>
      </c>
      <c r="I677" s="12">
        <v>75</v>
      </c>
      <c r="J677" s="9">
        <f t="shared" si="41"/>
        <v>5250</v>
      </c>
      <c r="K677">
        <f t="shared" si="42"/>
        <v>56</v>
      </c>
      <c r="L677" t="str">
        <f t="shared" si="43"/>
        <v>OK</v>
      </c>
    </row>
    <row r="678" spans="1:12" x14ac:dyDescent="0.45">
      <c r="A678" s="20" t="s">
        <v>917</v>
      </c>
      <c r="B678" s="6">
        <v>2</v>
      </c>
      <c r="C678" s="6">
        <v>30</v>
      </c>
      <c r="D678" s="6">
        <v>2</v>
      </c>
      <c r="E678" s="6">
        <v>2</v>
      </c>
      <c r="F678" s="6">
        <v>2</v>
      </c>
      <c r="G678" s="15">
        <v>46082</v>
      </c>
      <c r="H678" s="15" t="str">
        <f t="shared" si="40"/>
        <v>Sunday</v>
      </c>
      <c r="I678" s="11">
        <v>74</v>
      </c>
      <c r="J678" s="24">
        <f t="shared" si="41"/>
        <v>148</v>
      </c>
      <c r="K678">
        <f t="shared" si="42"/>
        <v>2</v>
      </c>
      <c r="L678" t="str">
        <f t="shared" si="43"/>
        <v>Low Stock</v>
      </c>
    </row>
    <row r="679" spans="1:12" x14ac:dyDescent="0.45">
      <c r="A679" s="21" t="s">
        <v>918</v>
      </c>
      <c r="B679" s="7">
        <v>105</v>
      </c>
      <c r="C679" s="7">
        <v>23</v>
      </c>
      <c r="D679" s="7">
        <v>135</v>
      </c>
      <c r="E679" s="7">
        <v>9</v>
      </c>
      <c r="F679" s="7">
        <v>7</v>
      </c>
      <c r="G679" s="16">
        <v>46088</v>
      </c>
      <c r="H679" s="16" t="str">
        <f t="shared" si="40"/>
        <v>Saturday</v>
      </c>
      <c r="I679" s="12">
        <v>79</v>
      </c>
      <c r="J679" s="9">
        <f t="shared" si="41"/>
        <v>10665</v>
      </c>
      <c r="K679">
        <f t="shared" si="42"/>
        <v>105</v>
      </c>
      <c r="L679" t="str">
        <f t="shared" si="43"/>
        <v>OK</v>
      </c>
    </row>
    <row r="680" spans="1:12" x14ac:dyDescent="0.45">
      <c r="A680" s="20" t="s">
        <v>1068</v>
      </c>
      <c r="B680" s="6">
        <v>6</v>
      </c>
      <c r="C680" s="6">
        <v>30</v>
      </c>
      <c r="D680" s="6">
        <v>6</v>
      </c>
      <c r="E680" s="6">
        <v>1</v>
      </c>
      <c r="F680" s="6">
        <v>1</v>
      </c>
      <c r="G680" s="15">
        <v>46086</v>
      </c>
      <c r="H680" s="15" t="str">
        <f t="shared" si="40"/>
        <v>Thursday</v>
      </c>
      <c r="I680" s="11">
        <v>139</v>
      </c>
      <c r="J680" s="24">
        <f t="shared" si="41"/>
        <v>834</v>
      </c>
      <c r="K680">
        <f t="shared" si="42"/>
        <v>6</v>
      </c>
      <c r="L680" t="str">
        <f t="shared" si="43"/>
        <v>OK</v>
      </c>
    </row>
    <row r="681" spans="1:12" x14ac:dyDescent="0.45">
      <c r="A681" s="21" t="s">
        <v>192</v>
      </c>
      <c r="B681" s="7">
        <v>0</v>
      </c>
      <c r="C681" s="7">
        <v>0</v>
      </c>
      <c r="D681" s="7">
        <v>1</v>
      </c>
      <c r="E681" s="7">
        <v>1</v>
      </c>
      <c r="F681" s="7">
        <v>1</v>
      </c>
      <c r="G681" s="16">
        <v>46084</v>
      </c>
      <c r="H681" s="16" t="str">
        <f t="shared" si="40"/>
        <v>Tuesday</v>
      </c>
      <c r="I681" s="12">
        <v>170</v>
      </c>
      <c r="J681" s="9">
        <f t="shared" si="41"/>
        <v>170</v>
      </c>
      <c r="K681">
        <f t="shared" si="42"/>
        <v>0</v>
      </c>
      <c r="L681" t="str">
        <f t="shared" si="43"/>
        <v>Low Stock</v>
      </c>
    </row>
    <row r="682" spans="1:12" x14ac:dyDescent="0.45">
      <c r="A682" s="20" t="s">
        <v>264</v>
      </c>
      <c r="B682" s="6">
        <v>-2</v>
      </c>
      <c r="C682" s="6">
        <v>0</v>
      </c>
      <c r="D682" s="6">
        <v>2</v>
      </c>
      <c r="E682" s="6">
        <v>2</v>
      </c>
      <c r="F682" s="6">
        <v>2</v>
      </c>
      <c r="G682" s="15">
        <v>46084</v>
      </c>
      <c r="H682" s="15" t="str">
        <f t="shared" si="40"/>
        <v>Tuesday</v>
      </c>
      <c r="I682" s="11">
        <v>168</v>
      </c>
      <c r="J682" s="24">
        <f t="shared" si="41"/>
        <v>336</v>
      </c>
      <c r="K682">
        <f t="shared" si="42"/>
        <v>0</v>
      </c>
      <c r="L682" t="str">
        <f t="shared" si="43"/>
        <v>Low Stock</v>
      </c>
    </row>
    <row r="683" spans="1:12" x14ac:dyDescent="0.45">
      <c r="A683" s="21" t="s">
        <v>1089</v>
      </c>
      <c r="B683" s="7">
        <v>2</v>
      </c>
      <c r="C683" s="7">
        <v>30</v>
      </c>
      <c r="D683" s="7">
        <v>2</v>
      </c>
      <c r="E683" s="7">
        <v>1</v>
      </c>
      <c r="F683" s="7">
        <v>1</v>
      </c>
      <c r="G683" s="16">
        <v>46085</v>
      </c>
      <c r="H683" s="16" t="str">
        <f t="shared" si="40"/>
        <v>Wednesday</v>
      </c>
      <c r="I683" s="12">
        <v>78</v>
      </c>
      <c r="J683" s="9">
        <f t="shared" si="41"/>
        <v>156</v>
      </c>
      <c r="K683">
        <f t="shared" si="42"/>
        <v>2</v>
      </c>
      <c r="L683" t="str">
        <f t="shared" si="43"/>
        <v>Low Stock</v>
      </c>
    </row>
    <row r="684" spans="1:12" x14ac:dyDescent="0.45">
      <c r="A684" s="20" t="s">
        <v>58</v>
      </c>
      <c r="B684" s="6">
        <v>-20</v>
      </c>
      <c r="C684" s="6">
        <v>0</v>
      </c>
      <c r="D684" s="6">
        <v>7</v>
      </c>
      <c r="E684" s="6">
        <v>7</v>
      </c>
      <c r="F684" s="6">
        <v>7</v>
      </c>
      <c r="G684" s="15">
        <v>46085</v>
      </c>
      <c r="H684" s="15" t="str">
        <f t="shared" si="40"/>
        <v>Wednesday</v>
      </c>
      <c r="I684" s="11">
        <v>88</v>
      </c>
      <c r="J684" s="24">
        <f t="shared" si="41"/>
        <v>616</v>
      </c>
      <c r="K684">
        <f t="shared" si="42"/>
        <v>0</v>
      </c>
      <c r="L684" t="str">
        <f t="shared" si="43"/>
        <v>Low Stock</v>
      </c>
    </row>
    <row r="685" spans="1:12" x14ac:dyDescent="0.45">
      <c r="A685" s="21" t="s">
        <v>335</v>
      </c>
      <c r="B685" s="7">
        <v>0</v>
      </c>
      <c r="C685" s="7">
        <v>0</v>
      </c>
      <c r="D685" s="7">
        <v>30</v>
      </c>
      <c r="E685" s="7">
        <v>1</v>
      </c>
      <c r="F685" s="7">
        <v>1</v>
      </c>
      <c r="G685" s="16">
        <v>46086</v>
      </c>
      <c r="H685" s="16" t="str">
        <f t="shared" si="40"/>
        <v>Thursday</v>
      </c>
      <c r="I685" s="12">
        <v>109</v>
      </c>
      <c r="J685" s="9">
        <f t="shared" si="41"/>
        <v>3270</v>
      </c>
      <c r="K685">
        <f t="shared" si="42"/>
        <v>0</v>
      </c>
      <c r="L685" t="str">
        <f t="shared" si="43"/>
        <v>Low Stock</v>
      </c>
    </row>
    <row r="686" spans="1:12" x14ac:dyDescent="0.45">
      <c r="A686" s="20" t="s">
        <v>366</v>
      </c>
      <c r="B686" s="6">
        <v>0</v>
      </c>
      <c r="C686" s="6">
        <v>0</v>
      </c>
      <c r="D686" s="6">
        <v>1</v>
      </c>
      <c r="E686" s="6">
        <v>1</v>
      </c>
      <c r="F686" s="6">
        <v>1</v>
      </c>
      <c r="G686" s="15">
        <v>46084</v>
      </c>
      <c r="H686" s="15" t="str">
        <f t="shared" si="40"/>
        <v>Tuesday</v>
      </c>
      <c r="I686" s="11">
        <v>90</v>
      </c>
      <c r="J686" s="24">
        <f t="shared" si="41"/>
        <v>90</v>
      </c>
      <c r="K686">
        <f t="shared" si="42"/>
        <v>0</v>
      </c>
      <c r="L686" t="str">
        <f t="shared" si="43"/>
        <v>Low Stock</v>
      </c>
    </row>
    <row r="687" spans="1:12" x14ac:dyDescent="0.45">
      <c r="A687" s="21" t="s">
        <v>373</v>
      </c>
      <c r="B687" s="7">
        <v>-155</v>
      </c>
      <c r="C687" s="7">
        <v>0</v>
      </c>
      <c r="D687" s="7">
        <v>15</v>
      </c>
      <c r="E687" s="7">
        <v>3</v>
      </c>
      <c r="F687" s="7">
        <v>2</v>
      </c>
      <c r="G687" s="16">
        <v>46085</v>
      </c>
      <c r="H687" s="16" t="str">
        <f t="shared" si="40"/>
        <v>Wednesday</v>
      </c>
      <c r="I687" s="12">
        <v>144</v>
      </c>
      <c r="J687" s="9">
        <f t="shared" si="41"/>
        <v>2160</v>
      </c>
      <c r="K687">
        <f t="shared" si="42"/>
        <v>0</v>
      </c>
      <c r="L687" t="str">
        <f t="shared" si="43"/>
        <v>Low Stock</v>
      </c>
    </row>
    <row r="688" spans="1:12" x14ac:dyDescent="0.45">
      <c r="A688" s="20" t="s">
        <v>391</v>
      </c>
      <c r="B688" s="6">
        <v>-1</v>
      </c>
      <c r="C688" s="6">
        <v>0</v>
      </c>
      <c r="D688" s="6">
        <v>1</v>
      </c>
      <c r="E688" s="6">
        <v>1</v>
      </c>
      <c r="F688" s="6">
        <v>1</v>
      </c>
      <c r="G688" s="15">
        <v>46085</v>
      </c>
      <c r="H688" s="15" t="str">
        <f t="shared" si="40"/>
        <v>Wednesday</v>
      </c>
      <c r="I688" s="11">
        <v>129</v>
      </c>
      <c r="J688" s="24">
        <f t="shared" si="41"/>
        <v>129</v>
      </c>
      <c r="K688">
        <f t="shared" si="42"/>
        <v>0</v>
      </c>
      <c r="L688" t="str">
        <f t="shared" si="43"/>
        <v>Low Stock</v>
      </c>
    </row>
    <row r="689" spans="1:12" x14ac:dyDescent="0.45">
      <c r="A689" s="21" t="s">
        <v>571</v>
      </c>
      <c r="B689" s="7">
        <v>20</v>
      </c>
      <c r="C689" s="7">
        <v>15</v>
      </c>
      <c r="D689" s="7">
        <v>40</v>
      </c>
      <c r="E689" s="7">
        <v>4</v>
      </c>
      <c r="F689" s="7">
        <v>3</v>
      </c>
      <c r="G689" s="16">
        <v>46084</v>
      </c>
      <c r="H689" s="16" t="str">
        <f t="shared" si="40"/>
        <v>Tuesday</v>
      </c>
      <c r="I689" s="12">
        <v>121</v>
      </c>
      <c r="J689" s="9">
        <f t="shared" si="41"/>
        <v>4840</v>
      </c>
      <c r="K689">
        <f t="shared" si="42"/>
        <v>20</v>
      </c>
      <c r="L689" t="str">
        <f t="shared" si="43"/>
        <v>OK</v>
      </c>
    </row>
    <row r="690" spans="1:12" x14ac:dyDescent="0.45">
      <c r="A690" s="20" t="s">
        <v>602</v>
      </c>
      <c r="B690" s="6">
        <v>14</v>
      </c>
      <c r="C690" s="6">
        <v>15</v>
      </c>
      <c r="D690" s="6">
        <v>28</v>
      </c>
      <c r="E690" s="6">
        <v>2</v>
      </c>
      <c r="F690" s="6">
        <v>2</v>
      </c>
      <c r="G690" s="15">
        <v>46085</v>
      </c>
      <c r="H690" s="15" t="str">
        <f t="shared" si="40"/>
        <v>Wednesday</v>
      </c>
      <c r="I690" s="11">
        <v>133</v>
      </c>
      <c r="J690" s="24">
        <f t="shared" si="41"/>
        <v>3724</v>
      </c>
      <c r="K690">
        <f t="shared" si="42"/>
        <v>14</v>
      </c>
      <c r="L690" t="str">
        <f t="shared" si="43"/>
        <v>OK</v>
      </c>
    </row>
    <row r="691" spans="1:12" x14ac:dyDescent="0.45">
      <c r="A691" s="21" t="s">
        <v>772</v>
      </c>
      <c r="B691" s="7">
        <v>30</v>
      </c>
      <c r="C691" s="7">
        <v>30</v>
      </c>
      <c r="D691" s="7">
        <v>30</v>
      </c>
      <c r="E691" s="7">
        <v>2</v>
      </c>
      <c r="F691" s="7">
        <v>2</v>
      </c>
      <c r="G691" s="16">
        <v>46086</v>
      </c>
      <c r="H691" s="16" t="str">
        <f t="shared" si="40"/>
        <v>Thursday</v>
      </c>
      <c r="I691" s="12">
        <v>122</v>
      </c>
      <c r="J691" s="9">
        <f t="shared" si="41"/>
        <v>3660</v>
      </c>
      <c r="K691">
        <f t="shared" si="42"/>
        <v>30</v>
      </c>
      <c r="L691" t="str">
        <f t="shared" si="43"/>
        <v>OK</v>
      </c>
    </row>
    <row r="692" spans="1:12" x14ac:dyDescent="0.45">
      <c r="A692" s="20" t="s">
        <v>852</v>
      </c>
      <c r="B692" s="6">
        <v>60</v>
      </c>
      <c r="C692" s="6">
        <v>30</v>
      </c>
      <c r="D692" s="6">
        <v>60</v>
      </c>
      <c r="E692" s="6">
        <v>2</v>
      </c>
      <c r="F692" s="6">
        <v>2</v>
      </c>
      <c r="G692" s="15">
        <v>46087</v>
      </c>
      <c r="H692" s="15" t="str">
        <f t="shared" si="40"/>
        <v>Friday</v>
      </c>
      <c r="I692" s="11">
        <v>67</v>
      </c>
      <c r="J692" s="24">
        <f t="shared" si="41"/>
        <v>4020</v>
      </c>
      <c r="K692">
        <f t="shared" si="42"/>
        <v>60</v>
      </c>
      <c r="L692" t="str">
        <f t="shared" si="43"/>
        <v>OK</v>
      </c>
    </row>
    <row r="693" spans="1:12" x14ac:dyDescent="0.45">
      <c r="A693" s="21" t="s">
        <v>909</v>
      </c>
      <c r="B693" s="7">
        <v>50</v>
      </c>
      <c r="C693" s="7">
        <v>30</v>
      </c>
      <c r="D693" s="7">
        <v>50</v>
      </c>
      <c r="E693" s="7">
        <v>3</v>
      </c>
      <c r="F693" s="7">
        <v>3</v>
      </c>
      <c r="G693" s="16">
        <v>46084</v>
      </c>
      <c r="H693" s="16" t="str">
        <f t="shared" si="40"/>
        <v>Tuesday</v>
      </c>
      <c r="I693" s="12">
        <v>126</v>
      </c>
      <c r="J693" s="9">
        <f t="shared" si="41"/>
        <v>6300</v>
      </c>
      <c r="K693">
        <f t="shared" si="42"/>
        <v>50</v>
      </c>
      <c r="L693" t="str">
        <f t="shared" si="43"/>
        <v>OK</v>
      </c>
    </row>
    <row r="694" spans="1:12" x14ac:dyDescent="0.45">
      <c r="A694" s="20" t="s">
        <v>996</v>
      </c>
      <c r="B694" s="6">
        <v>2</v>
      </c>
      <c r="C694" s="6">
        <v>30</v>
      </c>
      <c r="D694" s="6">
        <v>2</v>
      </c>
      <c r="E694" s="6">
        <v>2</v>
      </c>
      <c r="F694" s="6">
        <v>2</v>
      </c>
      <c r="G694" s="15">
        <v>46086</v>
      </c>
      <c r="H694" s="15" t="str">
        <f t="shared" si="40"/>
        <v>Thursday</v>
      </c>
      <c r="I694" s="11">
        <v>78</v>
      </c>
      <c r="J694" s="24">
        <f t="shared" si="41"/>
        <v>156</v>
      </c>
      <c r="K694">
        <f t="shared" si="42"/>
        <v>2</v>
      </c>
      <c r="L694" t="str">
        <f t="shared" si="43"/>
        <v>Low Stock</v>
      </c>
    </row>
    <row r="695" spans="1:12" x14ac:dyDescent="0.45">
      <c r="A695" s="21" t="s">
        <v>1028</v>
      </c>
      <c r="B695" s="7">
        <v>20</v>
      </c>
      <c r="C695" s="7">
        <v>30</v>
      </c>
      <c r="D695" s="7">
        <v>20</v>
      </c>
      <c r="E695" s="7">
        <v>2</v>
      </c>
      <c r="F695" s="7">
        <v>2</v>
      </c>
      <c r="G695" s="16">
        <v>46088</v>
      </c>
      <c r="H695" s="16" t="str">
        <f t="shared" si="40"/>
        <v>Saturday</v>
      </c>
      <c r="I695" s="12">
        <v>144</v>
      </c>
      <c r="J695" s="9">
        <f t="shared" si="41"/>
        <v>2880</v>
      </c>
      <c r="K695">
        <f t="shared" si="42"/>
        <v>20</v>
      </c>
      <c r="L695" t="str">
        <f t="shared" si="43"/>
        <v>OK</v>
      </c>
    </row>
    <row r="696" spans="1:12" x14ac:dyDescent="0.45">
      <c r="A696" s="20" t="s">
        <v>43</v>
      </c>
      <c r="B696" s="6">
        <v>3</v>
      </c>
      <c r="C696" s="6">
        <v>5</v>
      </c>
      <c r="D696" s="6">
        <v>16</v>
      </c>
      <c r="E696" s="6">
        <v>13</v>
      </c>
      <c r="F696" s="6">
        <v>11</v>
      </c>
      <c r="G696" s="15">
        <v>46082</v>
      </c>
      <c r="H696" s="15" t="str">
        <f t="shared" si="40"/>
        <v>Sunday</v>
      </c>
      <c r="I696" s="11">
        <v>132</v>
      </c>
      <c r="J696" s="24">
        <f t="shared" si="41"/>
        <v>2112</v>
      </c>
      <c r="K696">
        <f t="shared" si="42"/>
        <v>3</v>
      </c>
      <c r="L696" t="str">
        <f t="shared" si="43"/>
        <v>Low Stock</v>
      </c>
    </row>
    <row r="697" spans="1:12" x14ac:dyDescent="0.45">
      <c r="A697" s="21" t="s">
        <v>66</v>
      </c>
      <c r="B697" s="7">
        <v>-30</v>
      </c>
      <c r="C697" s="7">
        <v>0</v>
      </c>
      <c r="D697" s="7">
        <v>20</v>
      </c>
      <c r="E697" s="7">
        <v>2</v>
      </c>
      <c r="F697" s="7">
        <v>2</v>
      </c>
      <c r="G697" s="16">
        <v>46088</v>
      </c>
      <c r="H697" s="16" t="str">
        <f t="shared" si="40"/>
        <v>Saturday</v>
      </c>
      <c r="I697" s="12">
        <v>98</v>
      </c>
      <c r="J697" s="9">
        <f t="shared" si="41"/>
        <v>1960</v>
      </c>
      <c r="K697">
        <f t="shared" si="42"/>
        <v>0</v>
      </c>
      <c r="L697" t="str">
        <f t="shared" si="43"/>
        <v>Low Stock</v>
      </c>
    </row>
    <row r="698" spans="1:12" x14ac:dyDescent="0.45">
      <c r="A698" s="20" t="s">
        <v>73</v>
      </c>
      <c r="B698" s="6">
        <v>-2</v>
      </c>
      <c r="C698" s="6">
        <v>0</v>
      </c>
      <c r="D698" s="6">
        <v>1</v>
      </c>
      <c r="E698" s="6">
        <v>1</v>
      </c>
      <c r="F698" s="6">
        <v>1</v>
      </c>
      <c r="G698" s="15">
        <v>46087</v>
      </c>
      <c r="H698" s="15" t="str">
        <f t="shared" si="40"/>
        <v>Friday</v>
      </c>
      <c r="I698" s="11">
        <v>143</v>
      </c>
      <c r="J698" s="24">
        <f t="shared" si="41"/>
        <v>143</v>
      </c>
      <c r="K698">
        <f t="shared" si="42"/>
        <v>0</v>
      </c>
      <c r="L698" t="str">
        <f t="shared" si="43"/>
        <v>Low Stock</v>
      </c>
    </row>
    <row r="699" spans="1:12" x14ac:dyDescent="0.45">
      <c r="A699" s="21" t="s">
        <v>199</v>
      </c>
      <c r="B699" s="7">
        <v>70</v>
      </c>
      <c r="C699" s="7">
        <v>2</v>
      </c>
      <c r="D699" s="7">
        <v>854</v>
      </c>
      <c r="E699" s="7">
        <v>26</v>
      </c>
      <c r="F699" s="7">
        <v>18</v>
      </c>
      <c r="G699" s="16">
        <v>46083</v>
      </c>
      <c r="H699" s="16" t="str">
        <f t="shared" si="40"/>
        <v>Monday</v>
      </c>
      <c r="I699" s="12">
        <v>126</v>
      </c>
      <c r="J699" s="9">
        <f t="shared" si="41"/>
        <v>107604</v>
      </c>
      <c r="K699">
        <f t="shared" si="42"/>
        <v>70</v>
      </c>
      <c r="L699" t="str">
        <f t="shared" si="43"/>
        <v>OK</v>
      </c>
    </row>
    <row r="700" spans="1:12" x14ac:dyDescent="0.45">
      <c r="A700" s="20" t="s">
        <v>350</v>
      </c>
      <c r="B700" s="6">
        <v>-4</v>
      </c>
      <c r="C700" s="6">
        <v>0</v>
      </c>
      <c r="D700" s="6">
        <v>2</v>
      </c>
      <c r="E700" s="6">
        <v>2</v>
      </c>
      <c r="F700" s="6">
        <v>2</v>
      </c>
      <c r="G700" s="15">
        <v>46086</v>
      </c>
      <c r="H700" s="15" t="str">
        <f t="shared" si="40"/>
        <v>Thursday</v>
      </c>
      <c r="I700" s="11">
        <v>156</v>
      </c>
      <c r="J700" s="24">
        <f t="shared" si="41"/>
        <v>312</v>
      </c>
      <c r="K700">
        <f t="shared" si="42"/>
        <v>0</v>
      </c>
      <c r="L700" t="str">
        <f t="shared" si="43"/>
        <v>Low Stock</v>
      </c>
    </row>
    <row r="701" spans="1:12" x14ac:dyDescent="0.45">
      <c r="A701" s="21" t="s">
        <v>434</v>
      </c>
      <c r="B701" s="7">
        <v>0</v>
      </c>
      <c r="C701" s="7">
        <v>0</v>
      </c>
      <c r="D701" s="7">
        <v>1</v>
      </c>
      <c r="E701" s="7">
        <v>1</v>
      </c>
      <c r="F701" s="7">
        <v>1</v>
      </c>
      <c r="G701" s="16">
        <v>46086</v>
      </c>
      <c r="H701" s="16" t="str">
        <f t="shared" si="40"/>
        <v>Thursday</v>
      </c>
      <c r="I701" s="12">
        <v>168</v>
      </c>
      <c r="J701" s="9">
        <f t="shared" si="41"/>
        <v>168</v>
      </c>
      <c r="K701">
        <f t="shared" si="42"/>
        <v>0</v>
      </c>
      <c r="L701" t="str">
        <f t="shared" si="43"/>
        <v>Low Stock</v>
      </c>
    </row>
    <row r="702" spans="1:12" x14ac:dyDescent="0.45">
      <c r="A702" s="20" t="s">
        <v>487</v>
      </c>
      <c r="B702" s="6">
        <v>0</v>
      </c>
      <c r="C702" s="6">
        <v>0</v>
      </c>
      <c r="D702" s="6">
        <v>10</v>
      </c>
      <c r="E702" s="6">
        <v>1</v>
      </c>
      <c r="F702" s="6">
        <v>1</v>
      </c>
      <c r="G702" s="15">
        <v>46084</v>
      </c>
      <c r="H702" s="15" t="str">
        <f t="shared" si="40"/>
        <v>Tuesday</v>
      </c>
      <c r="I702" s="11">
        <v>122</v>
      </c>
      <c r="J702" s="24">
        <f t="shared" si="41"/>
        <v>1220</v>
      </c>
      <c r="K702">
        <f t="shared" si="42"/>
        <v>0</v>
      </c>
      <c r="L702" t="str">
        <f t="shared" si="43"/>
        <v>Low Stock</v>
      </c>
    </row>
    <row r="703" spans="1:12" x14ac:dyDescent="0.45">
      <c r="A703" s="21" t="s">
        <v>584</v>
      </c>
      <c r="B703" s="7">
        <v>15</v>
      </c>
      <c r="C703" s="7">
        <v>10</v>
      </c>
      <c r="D703" s="7">
        <v>45</v>
      </c>
      <c r="E703" s="7">
        <v>2</v>
      </c>
      <c r="F703" s="7">
        <v>2</v>
      </c>
      <c r="G703" s="16">
        <v>46085</v>
      </c>
      <c r="H703" s="16" t="str">
        <f t="shared" si="40"/>
        <v>Wednesday</v>
      </c>
      <c r="I703" s="12">
        <v>74</v>
      </c>
      <c r="J703" s="9">
        <f t="shared" si="41"/>
        <v>3330</v>
      </c>
      <c r="K703">
        <f t="shared" si="42"/>
        <v>15</v>
      </c>
      <c r="L703" t="str">
        <f t="shared" si="43"/>
        <v>OK</v>
      </c>
    </row>
    <row r="704" spans="1:12" x14ac:dyDescent="0.45">
      <c r="A704" s="20" t="s">
        <v>906</v>
      </c>
      <c r="B704" s="6">
        <v>6</v>
      </c>
      <c r="C704" s="6">
        <v>30</v>
      </c>
      <c r="D704" s="6">
        <v>6</v>
      </c>
      <c r="E704" s="6">
        <v>6</v>
      </c>
      <c r="F704" s="6">
        <v>5</v>
      </c>
      <c r="G704" s="15">
        <v>46084</v>
      </c>
      <c r="H704" s="15" t="str">
        <f t="shared" si="40"/>
        <v>Tuesday</v>
      </c>
      <c r="I704" s="11">
        <v>171</v>
      </c>
      <c r="J704" s="24">
        <f t="shared" si="41"/>
        <v>1026</v>
      </c>
      <c r="K704">
        <f t="shared" si="42"/>
        <v>6</v>
      </c>
      <c r="L704" t="str">
        <f t="shared" si="43"/>
        <v>OK</v>
      </c>
    </row>
    <row r="705" spans="1:12" x14ac:dyDescent="0.45">
      <c r="A705" s="21" t="s">
        <v>1018</v>
      </c>
      <c r="B705" s="7">
        <v>120</v>
      </c>
      <c r="C705" s="7">
        <v>20</v>
      </c>
      <c r="D705" s="7">
        <v>180</v>
      </c>
      <c r="E705" s="7">
        <v>5</v>
      </c>
      <c r="F705" s="7">
        <v>4</v>
      </c>
      <c r="G705" s="16">
        <v>46082</v>
      </c>
      <c r="H705" s="16" t="str">
        <f t="shared" si="40"/>
        <v>Sunday</v>
      </c>
      <c r="I705" s="12">
        <v>120</v>
      </c>
      <c r="J705" s="9">
        <f t="shared" si="41"/>
        <v>21600</v>
      </c>
      <c r="K705">
        <f t="shared" si="42"/>
        <v>120</v>
      </c>
      <c r="L705" t="str">
        <f t="shared" si="43"/>
        <v>OK</v>
      </c>
    </row>
    <row r="706" spans="1:12" x14ac:dyDescent="0.45">
      <c r="A706" s="20" t="s">
        <v>1129</v>
      </c>
      <c r="B706" s="6">
        <v>15</v>
      </c>
      <c r="C706" s="6">
        <v>30</v>
      </c>
      <c r="D706" s="6">
        <v>15</v>
      </c>
      <c r="E706" s="6">
        <v>1</v>
      </c>
      <c r="F706" s="6">
        <v>1</v>
      </c>
      <c r="G706" s="15">
        <v>46082</v>
      </c>
      <c r="H706" s="15" t="str">
        <f t="shared" ref="H706:H769" si="44">TEXT(G706,"dddd")</f>
        <v>Sunday</v>
      </c>
      <c r="I706" s="11">
        <v>92</v>
      </c>
      <c r="J706" s="24">
        <f t="shared" ref="J706:J769" si="45">D706*I706</f>
        <v>1380</v>
      </c>
      <c r="K706">
        <f t="shared" ref="K706:K769" si="46">IF(B706&lt;0,0,B706)</f>
        <v>15</v>
      </c>
      <c r="L706" t="str">
        <f t="shared" ref="L706:L769" si="47">IF(K706&lt;5,"Low Stock","OK")</f>
        <v>OK</v>
      </c>
    </row>
    <row r="707" spans="1:12" x14ac:dyDescent="0.45">
      <c r="A707" s="21" t="s">
        <v>306</v>
      </c>
      <c r="B707" s="7">
        <v>0</v>
      </c>
      <c r="C707" s="7">
        <v>0</v>
      </c>
      <c r="D707" s="7">
        <v>4</v>
      </c>
      <c r="E707" s="7">
        <v>1</v>
      </c>
      <c r="F707" s="7">
        <v>1</v>
      </c>
      <c r="G707" s="16">
        <v>46082</v>
      </c>
      <c r="H707" s="16" t="str">
        <f t="shared" si="44"/>
        <v>Sunday</v>
      </c>
      <c r="I707" s="12">
        <v>97</v>
      </c>
      <c r="J707" s="9">
        <f t="shared" si="45"/>
        <v>388</v>
      </c>
      <c r="K707">
        <f t="shared" si="46"/>
        <v>0</v>
      </c>
      <c r="L707" t="str">
        <f t="shared" si="47"/>
        <v>Low Stock</v>
      </c>
    </row>
    <row r="708" spans="1:12" x14ac:dyDescent="0.45">
      <c r="A708" s="20" t="s">
        <v>761</v>
      </c>
      <c r="B708" s="6">
        <v>195</v>
      </c>
      <c r="C708" s="6">
        <v>20</v>
      </c>
      <c r="D708" s="6">
        <v>285</v>
      </c>
      <c r="E708" s="6">
        <v>13</v>
      </c>
      <c r="F708" s="6">
        <v>12</v>
      </c>
      <c r="G708" s="15">
        <v>46087</v>
      </c>
      <c r="H708" s="15" t="str">
        <f t="shared" si="44"/>
        <v>Friday</v>
      </c>
      <c r="I708" s="11">
        <v>78</v>
      </c>
      <c r="J708" s="24">
        <f t="shared" si="45"/>
        <v>22230</v>
      </c>
      <c r="K708">
        <f t="shared" si="46"/>
        <v>195</v>
      </c>
      <c r="L708" t="str">
        <f t="shared" si="47"/>
        <v>OK</v>
      </c>
    </row>
    <row r="709" spans="1:12" x14ac:dyDescent="0.45">
      <c r="A709" s="21" t="s">
        <v>901</v>
      </c>
      <c r="B709" s="7">
        <v>50</v>
      </c>
      <c r="C709" s="7">
        <v>25</v>
      </c>
      <c r="D709" s="7">
        <v>60</v>
      </c>
      <c r="E709" s="7">
        <v>5</v>
      </c>
      <c r="F709" s="7">
        <v>5</v>
      </c>
      <c r="G709" s="16">
        <v>46085</v>
      </c>
      <c r="H709" s="16" t="str">
        <f t="shared" si="44"/>
        <v>Wednesday</v>
      </c>
      <c r="I709" s="12">
        <v>85</v>
      </c>
      <c r="J709" s="9">
        <f t="shared" si="45"/>
        <v>5100</v>
      </c>
      <c r="K709">
        <f t="shared" si="46"/>
        <v>50</v>
      </c>
      <c r="L709" t="str">
        <f t="shared" si="47"/>
        <v>OK</v>
      </c>
    </row>
    <row r="710" spans="1:12" x14ac:dyDescent="0.45">
      <c r="A710" s="20" t="s">
        <v>1008</v>
      </c>
      <c r="B710" s="6">
        <v>41</v>
      </c>
      <c r="C710" s="6">
        <v>18</v>
      </c>
      <c r="D710" s="6">
        <v>66</v>
      </c>
      <c r="E710" s="6">
        <v>10</v>
      </c>
      <c r="F710" s="6">
        <v>8</v>
      </c>
      <c r="G710" s="15">
        <v>46087</v>
      </c>
      <c r="H710" s="15" t="str">
        <f t="shared" si="44"/>
        <v>Friday</v>
      </c>
      <c r="I710" s="11">
        <v>149</v>
      </c>
      <c r="J710" s="24">
        <f t="shared" si="45"/>
        <v>9834</v>
      </c>
      <c r="K710">
        <f t="shared" si="46"/>
        <v>41</v>
      </c>
      <c r="L710" t="str">
        <f t="shared" si="47"/>
        <v>OK</v>
      </c>
    </row>
    <row r="711" spans="1:12" x14ac:dyDescent="0.45">
      <c r="A711" s="21" t="s">
        <v>1118</v>
      </c>
      <c r="B711" s="7">
        <v>30</v>
      </c>
      <c r="C711" s="7">
        <v>30</v>
      </c>
      <c r="D711" s="7">
        <v>30</v>
      </c>
      <c r="E711" s="7">
        <v>2</v>
      </c>
      <c r="F711" s="7">
        <v>2</v>
      </c>
      <c r="G711" s="16">
        <v>46082</v>
      </c>
      <c r="H711" s="16" t="str">
        <f t="shared" si="44"/>
        <v>Sunday</v>
      </c>
      <c r="I711" s="12">
        <v>143</v>
      </c>
      <c r="J711" s="9">
        <f t="shared" si="45"/>
        <v>4290</v>
      </c>
      <c r="K711">
        <f t="shared" si="46"/>
        <v>30</v>
      </c>
      <c r="L711" t="str">
        <f t="shared" si="47"/>
        <v>OK</v>
      </c>
    </row>
    <row r="712" spans="1:12" x14ac:dyDescent="0.45">
      <c r="A712" s="20" t="s">
        <v>1175</v>
      </c>
      <c r="B712" s="6">
        <v>1</v>
      </c>
      <c r="C712" s="6">
        <v>30</v>
      </c>
      <c r="D712" s="6">
        <v>1</v>
      </c>
      <c r="E712" s="6">
        <v>1</v>
      </c>
      <c r="F712" s="6">
        <v>1</v>
      </c>
      <c r="G712" s="15">
        <v>46084</v>
      </c>
      <c r="H712" s="15" t="str">
        <f t="shared" si="44"/>
        <v>Tuesday</v>
      </c>
      <c r="I712" s="11">
        <v>76</v>
      </c>
      <c r="J712" s="24">
        <f t="shared" si="45"/>
        <v>76</v>
      </c>
      <c r="K712">
        <f t="shared" si="46"/>
        <v>1</v>
      </c>
      <c r="L712" t="str">
        <f t="shared" si="47"/>
        <v>Low Stock</v>
      </c>
    </row>
    <row r="713" spans="1:12" x14ac:dyDescent="0.45">
      <c r="A713" s="21" t="s">
        <v>98</v>
      </c>
      <c r="B713" s="7">
        <v>-8</v>
      </c>
      <c r="C713" s="7">
        <v>0</v>
      </c>
      <c r="D713" s="7">
        <v>5</v>
      </c>
      <c r="E713" s="7">
        <v>5</v>
      </c>
      <c r="F713" s="7">
        <v>5</v>
      </c>
      <c r="G713" s="16">
        <v>46082</v>
      </c>
      <c r="H713" s="16" t="str">
        <f t="shared" si="44"/>
        <v>Sunday</v>
      </c>
      <c r="I713" s="12">
        <v>158</v>
      </c>
      <c r="J713" s="9">
        <f t="shared" si="45"/>
        <v>790</v>
      </c>
      <c r="K713">
        <f t="shared" si="46"/>
        <v>0</v>
      </c>
      <c r="L713" t="str">
        <f t="shared" si="47"/>
        <v>Low Stock</v>
      </c>
    </row>
    <row r="714" spans="1:12" x14ac:dyDescent="0.45">
      <c r="A714" s="20" t="s">
        <v>174</v>
      </c>
      <c r="B714" s="6">
        <v>-8</v>
      </c>
      <c r="C714" s="6">
        <v>0</v>
      </c>
      <c r="D714" s="6">
        <v>11</v>
      </c>
      <c r="E714" s="6">
        <v>11</v>
      </c>
      <c r="F714" s="6">
        <v>10</v>
      </c>
      <c r="G714" s="15">
        <v>46085</v>
      </c>
      <c r="H714" s="15" t="str">
        <f t="shared" si="44"/>
        <v>Wednesday</v>
      </c>
      <c r="I714" s="11">
        <v>186</v>
      </c>
      <c r="J714" s="24">
        <f t="shared" si="45"/>
        <v>2046</v>
      </c>
      <c r="K714">
        <f t="shared" si="46"/>
        <v>0</v>
      </c>
      <c r="L714" t="str">
        <f t="shared" si="47"/>
        <v>Low Stock</v>
      </c>
    </row>
    <row r="715" spans="1:12" x14ac:dyDescent="0.45">
      <c r="A715" s="21" t="s">
        <v>259</v>
      </c>
      <c r="B715" s="7">
        <v>-2</v>
      </c>
      <c r="C715" s="7">
        <v>0</v>
      </c>
      <c r="D715" s="7">
        <v>1</v>
      </c>
      <c r="E715" s="7">
        <v>1</v>
      </c>
      <c r="F715" s="7">
        <v>1</v>
      </c>
      <c r="G715" s="16">
        <v>46087</v>
      </c>
      <c r="H715" s="16" t="str">
        <f t="shared" si="44"/>
        <v>Friday</v>
      </c>
      <c r="I715" s="12">
        <v>90</v>
      </c>
      <c r="J715" s="9">
        <f t="shared" si="45"/>
        <v>90</v>
      </c>
      <c r="K715">
        <f t="shared" si="46"/>
        <v>0</v>
      </c>
      <c r="L715" t="str">
        <f t="shared" si="47"/>
        <v>Low Stock</v>
      </c>
    </row>
    <row r="716" spans="1:12" x14ac:dyDescent="0.45">
      <c r="A716" s="20" t="s">
        <v>441</v>
      </c>
      <c r="B716" s="6">
        <v>-15</v>
      </c>
      <c r="C716" s="6">
        <v>0</v>
      </c>
      <c r="D716" s="6">
        <v>1</v>
      </c>
      <c r="E716" s="6">
        <v>1</v>
      </c>
      <c r="F716" s="6">
        <v>1</v>
      </c>
      <c r="G716" s="15">
        <v>46087</v>
      </c>
      <c r="H716" s="15" t="str">
        <f t="shared" si="44"/>
        <v>Friday</v>
      </c>
      <c r="I716" s="11">
        <v>106</v>
      </c>
      <c r="J716" s="24">
        <f t="shared" si="45"/>
        <v>106</v>
      </c>
      <c r="K716">
        <f t="shared" si="46"/>
        <v>0</v>
      </c>
      <c r="L716" t="str">
        <f t="shared" si="47"/>
        <v>Low Stock</v>
      </c>
    </row>
    <row r="717" spans="1:12" x14ac:dyDescent="0.45">
      <c r="A717" s="21" t="s">
        <v>480</v>
      </c>
      <c r="B717" s="7">
        <v>-5</v>
      </c>
      <c r="C717" s="7">
        <v>0</v>
      </c>
      <c r="D717" s="7">
        <v>5</v>
      </c>
      <c r="E717" s="7">
        <v>2</v>
      </c>
      <c r="F717" s="7">
        <v>2</v>
      </c>
      <c r="G717" s="16">
        <v>46086</v>
      </c>
      <c r="H717" s="16" t="str">
        <f t="shared" si="44"/>
        <v>Thursday</v>
      </c>
      <c r="I717" s="12">
        <v>134</v>
      </c>
      <c r="J717" s="9">
        <f t="shared" si="45"/>
        <v>670</v>
      </c>
      <c r="K717">
        <f t="shared" si="46"/>
        <v>0</v>
      </c>
      <c r="L717" t="str">
        <f t="shared" si="47"/>
        <v>Low Stock</v>
      </c>
    </row>
    <row r="718" spans="1:12" x14ac:dyDescent="0.45">
      <c r="A718" s="20" t="s">
        <v>495</v>
      </c>
      <c r="B718" s="6">
        <v>-46</v>
      </c>
      <c r="C718" s="6">
        <v>0</v>
      </c>
      <c r="D718" s="6">
        <v>244</v>
      </c>
      <c r="E718" s="6">
        <v>22</v>
      </c>
      <c r="F718" s="6">
        <v>14</v>
      </c>
      <c r="G718" s="15">
        <v>46083</v>
      </c>
      <c r="H718" s="15" t="str">
        <f t="shared" si="44"/>
        <v>Monday</v>
      </c>
      <c r="I718" s="11">
        <v>77</v>
      </c>
      <c r="J718" s="24">
        <f t="shared" si="45"/>
        <v>18788</v>
      </c>
      <c r="K718">
        <f t="shared" si="46"/>
        <v>0</v>
      </c>
      <c r="L718" t="str">
        <f t="shared" si="47"/>
        <v>Low Stock</v>
      </c>
    </row>
    <row r="719" spans="1:12" x14ac:dyDescent="0.45">
      <c r="A719" s="21" t="s">
        <v>529</v>
      </c>
      <c r="B719" s="7">
        <v>60</v>
      </c>
      <c r="C719" s="7">
        <v>8</v>
      </c>
      <c r="D719" s="7">
        <v>210</v>
      </c>
      <c r="E719" s="7">
        <v>10</v>
      </c>
      <c r="F719" s="7">
        <v>7</v>
      </c>
      <c r="G719" s="16">
        <v>46084</v>
      </c>
      <c r="H719" s="16" t="str">
        <f t="shared" si="44"/>
        <v>Tuesday</v>
      </c>
      <c r="I719" s="12">
        <v>150</v>
      </c>
      <c r="J719" s="9">
        <f t="shared" si="45"/>
        <v>31500</v>
      </c>
      <c r="K719">
        <f t="shared" si="46"/>
        <v>60</v>
      </c>
      <c r="L719" t="str">
        <f t="shared" si="47"/>
        <v>OK</v>
      </c>
    </row>
    <row r="720" spans="1:12" x14ac:dyDescent="0.45">
      <c r="A720" s="20" t="s">
        <v>544</v>
      </c>
      <c r="B720" s="6">
        <v>20</v>
      </c>
      <c r="C720" s="6">
        <v>12</v>
      </c>
      <c r="D720" s="6">
        <v>50</v>
      </c>
      <c r="E720" s="6">
        <v>2</v>
      </c>
      <c r="F720" s="6">
        <v>2</v>
      </c>
      <c r="G720" s="15">
        <v>46082</v>
      </c>
      <c r="H720" s="15" t="str">
        <f t="shared" si="44"/>
        <v>Sunday</v>
      </c>
      <c r="I720" s="11">
        <v>115</v>
      </c>
      <c r="J720" s="24">
        <f t="shared" si="45"/>
        <v>5750</v>
      </c>
      <c r="K720">
        <f t="shared" si="46"/>
        <v>20</v>
      </c>
      <c r="L720" t="str">
        <f t="shared" si="47"/>
        <v>OK</v>
      </c>
    </row>
    <row r="721" spans="1:12" x14ac:dyDescent="0.45">
      <c r="A721" s="21" t="s">
        <v>680</v>
      </c>
      <c r="B721" s="7">
        <v>45</v>
      </c>
      <c r="C721" s="7">
        <v>15</v>
      </c>
      <c r="D721" s="7">
        <v>90</v>
      </c>
      <c r="E721" s="7">
        <v>5</v>
      </c>
      <c r="F721" s="7">
        <v>5</v>
      </c>
      <c r="G721" s="16">
        <v>46085</v>
      </c>
      <c r="H721" s="16" t="str">
        <f t="shared" si="44"/>
        <v>Wednesday</v>
      </c>
      <c r="I721" s="12">
        <v>137</v>
      </c>
      <c r="J721" s="9">
        <f t="shared" si="45"/>
        <v>12330</v>
      </c>
      <c r="K721">
        <f t="shared" si="46"/>
        <v>45</v>
      </c>
      <c r="L721" t="str">
        <f t="shared" si="47"/>
        <v>OK</v>
      </c>
    </row>
    <row r="722" spans="1:12" x14ac:dyDescent="0.45">
      <c r="A722" s="20" t="s">
        <v>874</v>
      </c>
      <c r="B722" s="6">
        <v>45</v>
      </c>
      <c r="C722" s="6">
        <v>30</v>
      </c>
      <c r="D722" s="6">
        <v>45</v>
      </c>
      <c r="E722" s="6">
        <v>2</v>
      </c>
      <c r="F722" s="6">
        <v>2</v>
      </c>
      <c r="G722" s="15">
        <v>46088</v>
      </c>
      <c r="H722" s="15" t="str">
        <f t="shared" si="44"/>
        <v>Saturday</v>
      </c>
      <c r="I722" s="11">
        <v>115</v>
      </c>
      <c r="J722" s="24">
        <f t="shared" si="45"/>
        <v>5175</v>
      </c>
      <c r="K722">
        <f t="shared" si="46"/>
        <v>45</v>
      </c>
      <c r="L722" t="str">
        <f t="shared" si="47"/>
        <v>OK</v>
      </c>
    </row>
    <row r="723" spans="1:12" x14ac:dyDescent="0.45">
      <c r="A723" s="21" t="s">
        <v>1035</v>
      </c>
      <c r="B723" s="7">
        <v>2</v>
      </c>
      <c r="C723" s="7">
        <v>30</v>
      </c>
      <c r="D723" s="7">
        <v>2</v>
      </c>
      <c r="E723" s="7">
        <v>2</v>
      </c>
      <c r="F723" s="7">
        <v>2</v>
      </c>
      <c r="G723" s="16">
        <v>46083</v>
      </c>
      <c r="H723" s="16" t="str">
        <f t="shared" si="44"/>
        <v>Monday</v>
      </c>
      <c r="I723" s="12">
        <v>187</v>
      </c>
      <c r="J723" s="9">
        <f t="shared" si="45"/>
        <v>374</v>
      </c>
      <c r="K723">
        <f t="shared" si="46"/>
        <v>2</v>
      </c>
      <c r="L723" t="str">
        <f t="shared" si="47"/>
        <v>Low Stock</v>
      </c>
    </row>
    <row r="724" spans="1:12" x14ac:dyDescent="0.45">
      <c r="A724" s="20" t="s">
        <v>1051</v>
      </c>
      <c r="B724" s="6">
        <v>1</v>
      </c>
      <c r="C724" s="6">
        <v>30</v>
      </c>
      <c r="D724" s="6">
        <v>1</v>
      </c>
      <c r="E724" s="6">
        <v>1</v>
      </c>
      <c r="F724" s="6">
        <v>1</v>
      </c>
      <c r="G724" s="15">
        <v>46086</v>
      </c>
      <c r="H724" s="15" t="str">
        <f t="shared" si="44"/>
        <v>Thursday</v>
      </c>
      <c r="I724" s="11">
        <v>152</v>
      </c>
      <c r="J724" s="24">
        <f t="shared" si="45"/>
        <v>152</v>
      </c>
      <c r="K724">
        <f t="shared" si="46"/>
        <v>1</v>
      </c>
      <c r="L724" t="str">
        <f t="shared" si="47"/>
        <v>Low Stock</v>
      </c>
    </row>
    <row r="725" spans="1:12" x14ac:dyDescent="0.45">
      <c r="A725" s="21" t="s">
        <v>1110</v>
      </c>
      <c r="B725" s="7">
        <v>30</v>
      </c>
      <c r="C725" s="7">
        <v>18</v>
      </c>
      <c r="D725" s="7">
        <v>50</v>
      </c>
      <c r="E725" s="7">
        <v>2</v>
      </c>
      <c r="F725" s="7">
        <v>2</v>
      </c>
      <c r="G725" s="16">
        <v>46088</v>
      </c>
      <c r="H725" s="16" t="str">
        <f t="shared" si="44"/>
        <v>Saturday</v>
      </c>
      <c r="I725" s="12">
        <v>72</v>
      </c>
      <c r="J725" s="9">
        <f t="shared" si="45"/>
        <v>3600</v>
      </c>
      <c r="K725">
        <f t="shared" si="46"/>
        <v>30</v>
      </c>
      <c r="L725" t="str">
        <f t="shared" si="47"/>
        <v>OK</v>
      </c>
    </row>
    <row r="726" spans="1:12" x14ac:dyDescent="0.45">
      <c r="A726" s="20" t="s">
        <v>132</v>
      </c>
      <c r="B726" s="6">
        <v>0</v>
      </c>
      <c r="C726" s="6">
        <v>0</v>
      </c>
      <c r="D726" s="6">
        <v>45</v>
      </c>
      <c r="E726" s="6">
        <v>2</v>
      </c>
      <c r="F726" s="6">
        <v>1</v>
      </c>
      <c r="G726" s="15">
        <v>46087</v>
      </c>
      <c r="H726" s="15" t="str">
        <f t="shared" si="44"/>
        <v>Friday</v>
      </c>
      <c r="I726" s="11">
        <v>76</v>
      </c>
      <c r="J726" s="24">
        <f t="shared" si="45"/>
        <v>3420</v>
      </c>
      <c r="K726">
        <f t="shared" si="46"/>
        <v>0</v>
      </c>
      <c r="L726" t="str">
        <f t="shared" si="47"/>
        <v>Low Stock</v>
      </c>
    </row>
    <row r="727" spans="1:12" x14ac:dyDescent="0.45">
      <c r="A727" s="21" t="s">
        <v>243</v>
      </c>
      <c r="B727" s="7">
        <v>-30</v>
      </c>
      <c r="C727" s="7">
        <v>0</v>
      </c>
      <c r="D727" s="7">
        <v>20</v>
      </c>
      <c r="E727" s="7">
        <v>2</v>
      </c>
      <c r="F727" s="7">
        <v>2</v>
      </c>
      <c r="G727" s="16">
        <v>46085</v>
      </c>
      <c r="H727" s="16" t="str">
        <f t="shared" si="44"/>
        <v>Wednesday</v>
      </c>
      <c r="I727" s="12">
        <v>169</v>
      </c>
      <c r="J727" s="9">
        <f t="shared" si="45"/>
        <v>3380</v>
      </c>
      <c r="K727">
        <f t="shared" si="46"/>
        <v>0</v>
      </c>
      <c r="L727" t="str">
        <f t="shared" si="47"/>
        <v>Low Stock</v>
      </c>
    </row>
    <row r="728" spans="1:12" x14ac:dyDescent="0.45">
      <c r="A728" s="20" t="s">
        <v>337</v>
      </c>
      <c r="B728" s="6">
        <v>0</v>
      </c>
      <c r="C728" s="6">
        <v>0</v>
      </c>
      <c r="D728" s="6">
        <v>2</v>
      </c>
      <c r="E728" s="6">
        <v>2</v>
      </c>
      <c r="F728" s="6">
        <v>2</v>
      </c>
      <c r="G728" s="15">
        <v>46087</v>
      </c>
      <c r="H728" s="15" t="str">
        <f t="shared" si="44"/>
        <v>Friday</v>
      </c>
      <c r="I728" s="11">
        <v>112</v>
      </c>
      <c r="J728" s="24">
        <f t="shared" si="45"/>
        <v>224</v>
      </c>
      <c r="K728">
        <f t="shared" si="46"/>
        <v>0</v>
      </c>
      <c r="L728" t="str">
        <f t="shared" si="47"/>
        <v>Low Stock</v>
      </c>
    </row>
    <row r="729" spans="1:12" x14ac:dyDescent="0.45">
      <c r="A729" s="21" t="s">
        <v>343</v>
      </c>
      <c r="B729" s="7">
        <v>0</v>
      </c>
      <c r="C729" s="7">
        <v>0</v>
      </c>
      <c r="D729" s="7">
        <v>4</v>
      </c>
      <c r="E729" s="7">
        <v>4</v>
      </c>
      <c r="F729" s="7">
        <v>3</v>
      </c>
      <c r="G729" s="16">
        <v>46084</v>
      </c>
      <c r="H729" s="16" t="str">
        <f t="shared" si="44"/>
        <v>Tuesday</v>
      </c>
      <c r="I729" s="12">
        <v>76</v>
      </c>
      <c r="J729" s="9">
        <f t="shared" si="45"/>
        <v>304</v>
      </c>
      <c r="K729">
        <f t="shared" si="46"/>
        <v>0</v>
      </c>
      <c r="L729" t="str">
        <f t="shared" si="47"/>
        <v>Low Stock</v>
      </c>
    </row>
    <row r="730" spans="1:12" x14ac:dyDescent="0.45">
      <c r="A730" s="20" t="s">
        <v>633</v>
      </c>
      <c r="B730" s="6">
        <v>30</v>
      </c>
      <c r="C730" s="6">
        <v>15</v>
      </c>
      <c r="D730" s="6">
        <v>60</v>
      </c>
      <c r="E730" s="6">
        <v>2</v>
      </c>
      <c r="F730" s="6">
        <v>2</v>
      </c>
      <c r="G730" s="15">
        <v>46084</v>
      </c>
      <c r="H730" s="15" t="str">
        <f t="shared" si="44"/>
        <v>Tuesday</v>
      </c>
      <c r="I730" s="11">
        <v>94</v>
      </c>
      <c r="J730" s="24">
        <f t="shared" si="45"/>
        <v>5640</v>
      </c>
      <c r="K730">
        <f t="shared" si="46"/>
        <v>30</v>
      </c>
      <c r="L730" t="str">
        <f t="shared" si="47"/>
        <v>OK</v>
      </c>
    </row>
    <row r="731" spans="1:12" x14ac:dyDescent="0.45">
      <c r="A731" s="21" t="s">
        <v>678</v>
      </c>
      <c r="B731" s="7">
        <v>15</v>
      </c>
      <c r="C731" s="7">
        <v>15</v>
      </c>
      <c r="D731" s="7">
        <v>30</v>
      </c>
      <c r="E731" s="7">
        <v>1</v>
      </c>
      <c r="F731" s="7">
        <v>1</v>
      </c>
      <c r="G731" s="16">
        <v>46086</v>
      </c>
      <c r="H731" s="16" t="str">
        <f t="shared" si="44"/>
        <v>Thursday</v>
      </c>
      <c r="I731" s="12">
        <v>141</v>
      </c>
      <c r="J731" s="9">
        <f t="shared" si="45"/>
        <v>4230</v>
      </c>
      <c r="K731">
        <f t="shared" si="46"/>
        <v>15</v>
      </c>
      <c r="L731" t="str">
        <f t="shared" si="47"/>
        <v>OK</v>
      </c>
    </row>
    <row r="732" spans="1:12" x14ac:dyDescent="0.45">
      <c r="A732" s="20" t="s">
        <v>745</v>
      </c>
      <c r="B732" s="6">
        <v>130</v>
      </c>
      <c r="C732" s="6">
        <v>20</v>
      </c>
      <c r="D732" s="6">
        <v>190</v>
      </c>
      <c r="E732" s="6">
        <v>10</v>
      </c>
      <c r="F732" s="6">
        <v>8</v>
      </c>
      <c r="G732" s="15">
        <v>46085</v>
      </c>
      <c r="H732" s="15" t="str">
        <f t="shared" si="44"/>
        <v>Wednesday</v>
      </c>
      <c r="I732" s="11">
        <v>136</v>
      </c>
      <c r="J732" s="24">
        <f t="shared" si="45"/>
        <v>25840</v>
      </c>
      <c r="K732">
        <f t="shared" si="46"/>
        <v>130</v>
      </c>
      <c r="L732" t="str">
        <f t="shared" si="47"/>
        <v>OK</v>
      </c>
    </row>
    <row r="733" spans="1:12" x14ac:dyDescent="0.45">
      <c r="A733" s="21" t="s">
        <v>794</v>
      </c>
      <c r="B733" s="7">
        <v>30</v>
      </c>
      <c r="C733" s="7">
        <v>22</v>
      </c>
      <c r="D733" s="7">
        <v>40</v>
      </c>
      <c r="E733" s="7">
        <v>3</v>
      </c>
      <c r="F733" s="7">
        <v>2</v>
      </c>
      <c r="G733" s="16">
        <v>46088</v>
      </c>
      <c r="H733" s="16" t="str">
        <f t="shared" si="44"/>
        <v>Saturday</v>
      </c>
      <c r="I733" s="12">
        <v>111</v>
      </c>
      <c r="J733" s="9">
        <f t="shared" si="45"/>
        <v>4440</v>
      </c>
      <c r="K733">
        <f t="shared" si="46"/>
        <v>30</v>
      </c>
      <c r="L733" t="str">
        <f t="shared" si="47"/>
        <v>OK</v>
      </c>
    </row>
    <row r="734" spans="1:12" x14ac:dyDescent="0.45">
      <c r="A734" s="20" t="s">
        <v>971</v>
      </c>
      <c r="B734" s="6">
        <v>20</v>
      </c>
      <c r="C734" s="6">
        <v>30</v>
      </c>
      <c r="D734" s="6">
        <v>20</v>
      </c>
      <c r="E734" s="6">
        <v>1</v>
      </c>
      <c r="F734" s="6">
        <v>1</v>
      </c>
      <c r="G734" s="15">
        <v>46082</v>
      </c>
      <c r="H734" s="15" t="str">
        <f t="shared" si="44"/>
        <v>Sunday</v>
      </c>
      <c r="I734" s="11">
        <v>98</v>
      </c>
      <c r="J734" s="24">
        <f t="shared" si="45"/>
        <v>1960</v>
      </c>
      <c r="K734">
        <f t="shared" si="46"/>
        <v>20</v>
      </c>
      <c r="L734" t="str">
        <f t="shared" si="47"/>
        <v>OK</v>
      </c>
    </row>
    <row r="735" spans="1:12" x14ac:dyDescent="0.45">
      <c r="A735" s="21" t="s">
        <v>1135</v>
      </c>
      <c r="B735" s="7">
        <v>30</v>
      </c>
      <c r="C735" s="7">
        <v>30</v>
      </c>
      <c r="D735" s="7">
        <v>30</v>
      </c>
      <c r="E735" s="7">
        <v>2</v>
      </c>
      <c r="F735" s="7">
        <v>2</v>
      </c>
      <c r="G735" s="16">
        <v>46088</v>
      </c>
      <c r="H735" s="16" t="str">
        <f t="shared" si="44"/>
        <v>Saturday</v>
      </c>
      <c r="I735" s="12">
        <v>86</v>
      </c>
      <c r="J735" s="9">
        <f t="shared" si="45"/>
        <v>2580</v>
      </c>
      <c r="K735">
        <f t="shared" si="46"/>
        <v>30</v>
      </c>
      <c r="L735" t="str">
        <f t="shared" si="47"/>
        <v>OK</v>
      </c>
    </row>
    <row r="736" spans="1:12" x14ac:dyDescent="0.45">
      <c r="A736" s="20" t="s">
        <v>378</v>
      </c>
      <c r="B736" s="6">
        <v>-5</v>
      </c>
      <c r="C736" s="6">
        <v>0</v>
      </c>
      <c r="D736" s="6">
        <v>1</v>
      </c>
      <c r="E736" s="6">
        <v>1</v>
      </c>
      <c r="F736" s="6">
        <v>1</v>
      </c>
      <c r="G736" s="15">
        <v>46083</v>
      </c>
      <c r="H736" s="15" t="str">
        <f t="shared" si="44"/>
        <v>Monday</v>
      </c>
      <c r="I736" s="11">
        <v>100</v>
      </c>
      <c r="J736" s="24">
        <f t="shared" si="45"/>
        <v>100</v>
      </c>
      <c r="K736">
        <f t="shared" si="46"/>
        <v>0</v>
      </c>
      <c r="L736" t="str">
        <f t="shared" si="47"/>
        <v>Low Stock</v>
      </c>
    </row>
    <row r="737" spans="1:12" x14ac:dyDescent="0.45">
      <c r="A737" s="21" t="s">
        <v>498</v>
      </c>
      <c r="B737" s="7">
        <v>0</v>
      </c>
      <c r="C737" s="7">
        <v>0</v>
      </c>
      <c r="D737" s="7">
        <v>2</v>
      </c>
      <c r="E737" s="7">
        <v>2</v>
      </c>
      <c r="F737" s="7">
        <v>2</v>
      </c>
      <c r="G737" s="16">
        <v>46082</v>
      </c>
      <c r="H737" s="16" t="str">
        <f t="shared" si="44"/>
        <v>Sunday</v>
      </c>
      <c r="I737" s="12">
        <v>118</v>
      </c>
      <c r="J737" s="9">
        <f t="shared" si="45"/>
        <v>236</v>
      </c>
      <c r="K737">
        <f t="shared" si="46"/>
        <v>0</v>
      </c>
      <c r="L737" t="str">
        <f t="shared" si="47"/>
        <v>Low Stock</v>
      </c>
    </row>
    <row r="738" spans="1:12" x14ac:dyDescent="0.45">
      <c r="A738" s="20" t="s">
        <v>747</v>
      </c>
      <c r="B738" s="6">
        <v>70</v>
      </c>
      <c r="C738" s="6">
        <v>19</v>
      </c>
      <c r="D738" s="6">
        <v>110</v>
      </c>
      <c r="E738" s="6">
        <v>7</v>
      </c>
      <c r="F738" s="6">
        <v>6</v>
      </c>
      <c r="G738" s="15">
        <v>46082</v>
      </c>
      <c r="H738" s="15" t="str">
        <f t="shared" si="44"/>
        <v>Sunday</v>
      </c>
      <c r="I738" s="11">
        <v>72</v>
      </c>
      <c r="J738" s="24">
        <f t="shared" si="45"/>
        <v>7920</v>
      </c>
      <c r="K738">
        <f t="shared" si="46"/>
        <v>70</v>
      </c>
      <c r="L738" t="str">
        <f t="shared" si="47"/>
        <v>OK</v>
      </c>
    </row>
    <row r="739" spans="1:12" x14ac:dyDescent="0.45">
      <c r="A739" s="21" t="s">
        <v>1047</v>
      </c>
      <c r="B739" s="7">
        <v>20</v>
      </c>
      <c r="C739" s="7">
        <v>30</v>
      </c>
      <c r="D739" s="7">
        <v>20</v>
      </c>
      <c r="E739" s="7">
        <v>2</v>
      </c>
      <c r="F739" s="7">
        <v>2</v>
      </c>
      <c r="G739" s="16">
        <v>46083</v>
      </c>
      <c r="H739" s="16" t="str">
        <f t="shared" si="44"/>
        <v>Monday</v>
      </c>
      <c r="I739" s="12">
        <v>136</v>
      </c>
      <c r="J739" s="9">
        <f t="shared" si="45"/>
        <v>2720</v>
      </c>
      <c r="K739">
        <f t="shared" si="46"/>
        <v>20</v>
      </c>
      <c r="L739" t="str">
        <f t="shared" si="47"/>
        <v>OK</v>
      </c>
    </row>
    <row r="740" spans="1:12" x14ac:dyDescent="0.45">
      <c r="A740" s="20" t="s">
        <v>13</v>
      </c>
      <c r="B740" s="6">
        <v>0</v>
      </c>
      <c r="C740" s="6">
        <v>0</v>
      </c>
      <c r="D740" s="6">
        <v>9</v>
      </c>
      <c r="E740" s="6">
        <v>6</v>
      </c>
      <c r="F740" s="6">
        <v>5</v>
      </c>
      <c r="G740" s="15">
        <v>46087</v>
      </c>
      <c r="H740" s="15" t="str">
        <f t="shared" si="44"/>
        <v>Friday</v>
      </c>
      <c r="I740" s="11">
        <v>85</v>
      </c>
      <c r="J740" s="24">
        <f t="shared" si="45"/>
        <v>765</v>
      </c>
      <c r="K740">
        <f t="shared" si="46"/>
        <v>0</v>
      </c>
      <c r="L740" t="str">
        <f t="shared" si="47"/>
        <v>Low Stock</v>
      </c>
    </row>
    <row r="741" spans="1:12" x14ac:dyDescent="0.45">
      <c r="A741" s="21" t="s">
        <v>21</v>
      </c>
      <c r="B741" s="7">
        <v>-28</v>
      </c>
      <c r="C741" s="7">
        <v>0</v>
      </c>
      <c r="D741" s="7">
        <v>18</v>
      </c>
      <c r="E741" s="7">
        <v>17</v>
      </c>
      <c r="F741" s="7">
        <v>11</v>
      </c>
      <c r="G741" s="16">
        <v>46082</v>
      </c>
      <c r="H741" s="16" t="str">
        <f t="shared" si="44"/>
        <v>Sunday</v>
      </c>
      <c r="I741" s="12">
        <v>160</v>
      </c>
      <c r="J741" s="9">
        <f t="shared" si="45"/>
        <v>2880</v>
      </c>
      <c r="K741">
        <f t="shared" si="46"/>
        <v>0</v>
      </c>
      <c r="L741" t="str">
        <f t="shared" si="47"/>
        <v>Low Stock</v>
      </c>
    </row>
    <row r="742" spans="1:12" x14ac:dyDescent="0.45">
      <c r="A742" s="20" t="s">
        <v>45</v>
      </c>
      <c r="B742" s="6">
        <v>-10</v>
      </c>
      <c r="C742" s="6">
        <v>0</v>
      </c>
      <c r="D742" s="6">
        <v>60</v>
      </c>
      <c r="E742" s="6">
        <v>5</v>
      </c>
      <c r="F742" s="6">
        <v>5</v>
      </c>
      <c r="G742" s="15">
        <v>46086</v>
      </c>
      <c r="H742" s="15" t="str">
        <f t="shared" si="44"/>
        <v>Thursday</v>
      </c>
      <c r="I742" s="11">
        <v>99</v>
      </c>
      <c r="J742" s="24">
        <f t="shared" si="45"/>
        <v>5940</v>
      </c>
      <c r="K742">
        <f t="shared" si="46"/>
        <v>0</v>
      </c>
      <c r="L742" t="str">
        <f t="shared" si="47"/>
        <v>Low Stock</v>
      </c>
    </row>
    <row r="743" spans="1:12" x14ac:dyDescent="0.45">
      <c r="A743" s="21" t="s">
        <v>70</v>
      </c>
      <c r="B743" s="7">
        <v>-8</v>
      </c>
      <c r="C743" s="7">
        <v>0</v>
      </c>
      <c r="D743" s="7">
        <v>5</v>
      </c>
      <c r="E743" s="7">
        <v>5</v>
      </c>
      <c r="F743" s="7">
        <v>5</v>
      </c>
      <c r="G743" s="16">
        <v>46085</v>
      </c>
      <c r="H743" s="16" t="str">
        <f t="shared" si="44"/>
        <v>Wednesday</v>
      </c>
      <c r="I743" s="12">
        <v>130</v>
      </c>
      <c r="J743" s="9">
        <f t="shared" si="45"/>
        <v>650</v>
      </c>
      <c r="K743">
        <f t="shared" si="46"/>
        <v>0</v>
      </c>
      <c r="L743" t="str">
        <f t="shared" si="47"/>
        <v>Low Stock</v>
      </c>
    </row>
    <row r="744" spans="1:12" x14ac:dyDescent="0.45">
      <c r="A744" s="20" t="s">
        <v>109</v>
      </c>
      <c r="B744" s="6">
        <v>1</v>
      </c>
      <c r="C744" s="6">
        <v>6</v>
      </c>
      <c r="D744" s="6">
        <v>5</v>
      </c>
      <c r="E744" s="6">
        <v>5</v>
      </c>
      <c r="F744" s="6">
        <v>5</v>
      </c>
      <c r="G744" s="15">
        <v>46085</v>
      </c>
      <c r="H744" s="15" t="str">
        <f t="shared" si="44"/>
        <v>Wednesday</v>
      </c>
      <c r="I744" s="11">
        <v>175</v>
      </c>
      <c r="J744" s="24">
        <f t="shared" si="45"/>
        <v>875</v>
      </c>
      <c r="K744">
        <f t="shared" si="46"/>
        <v>1</v>
      </c>
      <c r="L744" t="str">
        <f t="shared" si="47"/>
        <v>Low Stock</v>
      </c>
    </row>
    <row r="745" spans="1:12" x14ac:dyDescent="0.45">
      <c r="A745" s="21" t="s">
        <v>277</v>
      </c>
      <c r="B745" s="7">
        <v>-120</v>
      </c>
      <c r="C745" s="7">
        <v>0</v>
      </c>
      <c r="D745" s="7">
        <v>120</v>
      </c>
      <c r="E745" s="7">
        <v>3</v>
      </c>
      <c r="F745" s="7">
        <v>3</v>
      </c>
      <c r="G745" s="16">
        <v>46084</v>
      </c>
      <c r="H745" s="16" t="str">
        <f t="shared" si="44"/>
        <v>Tuesday</v>
      </c>
      <c r="I745" s="12">
        <v>142</v>
      </c>
      <c r="J745" s="9">
        <f t="shared" si="45"/>
        <v>17040</v>
      </c>
      <c r="K745">
        <f t="shared" si="46"/>
        <v>0</v>
      </c>
      <c r="L745" t="str">
        <f t="shared" si="47"/>
        <v>Low Stock</v>
      </c>
    </row>
    <row r="746" spans="1:12" x14ac:dyDescent="0.45">
      <c r="A746" s="20" t="s">
        <v>407</v>
      </c>
      <c r="B746" s="6">
        <v>-20</v>
      </c>
      <c r="C746" s="6">
        <v>0</v>
      </c>
      <c r="D746" s="6">
        <v>4</v>
      </c>
      <c r="E746" s="6">
        <v>2</v>
      </c>
      <c r="F746" s="6">
        <v>2</v>
      </c>
      <c r="G746" s="15">
        <v>46082</v>
      </c>
      <c r="H746" s="15" t="str">
        <f t="shared" si="44"/>
        <v>Sunday</v>
      </c>
      <c r="I746" s="11">
        <v>151</v>
      </c>
      <c r="J746" s="24">
        <f t="shared" si="45"/>
        <v>604</v>
      </c>
      <c r="K746">
        <f t="shared" si="46"/>
        <v>0</v>
      </c>
      <c r="L746" t="str">
        <f t="shared" si="47"/>
        <v>Low Stock</v>
      </c>
    </row>
    <row r="747" spans="1:12" x14ac:dyDescent="0.45">
      <c r="A747" s="21" t="s">
        <v>651</v>
      </c>
      <c r="B747" s="7">
        <v>1</v>
      </c>
      <c r="C747" s="7">
        <v>15</v>
      </c>
      <c r="D747" s="7">
        <v>2</v>
      </c>
      <c r="E747" s="7">
        <v>2</v>
      </c>
      <c r="F747" s="7">
        <v>2</v>
      </c>
      <c r="G747" s="16">
        <v>46083</v>
      </c>
      <c r="H747" s="16" t="str">
        <f t="shared" si="44"/>
        <v>Monday</v>
      </c>
      <c r="I747" s="12">
        <v>104</v>
      </c>
      <c r="J747" s="9">
        <f t="shared" si="45"/>
        <v>208</v>
      </c>
      <c r="K747">
        <f t="shared" si="46"/>
        <v>1</v>
      </c>
      <c r="L747" t="str">
        <f t="shared" si="47"/>
        <v>Low Stock</v>
      </c>
    </row>
    <row r="748" spans="1:12" x14ac:dyDescent="0.45">
      <c r="A748" s="20" t="s">
        <v>839</v>
      </c>
      <c r="B748" s="6">
        <v>97</v>
      </c>
      <c r="C748" s="6">
        <v>27</v>
      </c>
      <c r="D748" s="6">
        <v>106</v>
      </c>
      <c r="E748" s="6">
        <v>10</v>
      </c>
      <c r="F748" s="6">
        <v>9</v>
      </c>
      <c r="G748" s="15">
        <v>46082</v>
      </c>
      <c r="H748" s="15" t="str">
        <f t="shared" si="44"/>
        <v>Sunday</v>
      </c>
      <c r="I748" s="11">
        <v>135</v>
      </c>
      <c r="J748" s="24">
        <f t="shared" si="45"/>
        <v>14310</v>
      </c>
      <c r="K748">
        <f t="shared" si="46"/>
        <v>97</v>
      </c>
      <c r="L748" t="str">
        <f t="shared" si="47"/>
        <v>OK</v>
      </c>
    </row>
    <row r="749" spans="1:12" x14ac:dyDescent="0.45">
      <c r="A749" s="21" t="s">
        <v>863</v>
      </c>
      <c r="B749" s="7">
        <v>90</v>
      </c>
      <c r="C749" s="7">
        <v>16</v>
      </c>
      <c r="D749" s="7">
        <v>165</v>
      </c>
      <c r="E749" s="7">
        <v>9</v>
      </c>
      <c r="F749" s="7">
        <v>6</v>
      </c>
      <c r="G749" s="16">
        <v>46086</v>
      </c>
      <c r="H749" s="16" t="str">
        <f t="shared" si="44"/>
        <v>Thursday</v>
      </c>
      <c r="I749" s="12">
        <v>106</v>
      </c>
      <c r="J749" s="9">
        <f t="shared" si="45"/>
        <v>17490</v>
      </c>
      <c r="K749">
        <f t="shared" si="46"/>
        <v>90</v>
      </c>
      <c r="L749" t="str">
        <f t="shared" si="47"/>
        <v>OK</v>
      </c>
    </row>
    <row r="750" spans="1:12" x14ac:dyDescent="0.45">
      <c r="A750" s="20" t="s">
        <v>1099</v>
      </c>
      <c r="B750" s="6">
        <v>20</v>
      </c>
      <c r="C750" s="6">
        <v>20</v>
      </c>
      <c r="D750" s="6">
        <v>30</v>
      </c>
      <c r="E750" s="6">
        <v>2</v>
      </c>
      <c r="F750" s="6">
        <v>2</v>
      </c>
      <c r="G750" s="15">
        <v>46082</v>
      </c>
      <c r="H750" s="15" t="str">
        <f t="shared" si="44"/>
        <v>Sunday</v>
      </c>
      <c r="I750" s="11">
        <v>122</v>
      </c>
      <c r="J750" s="24">
        <f t="shared" si="45"/>
        <v>3660</v>
      </c>
      <c r="K750">
        <f t="shared" si="46"/>
        <v>20</v>
      </c>
      <c r="L750" t="str">
        <f t="shared" si="47"/>
        <v>OK</v>
      </c>
    </row>
    <row r="751" spans="1:12" x14ac:dyDescent="0.45">
      <c r="A751" s="21" t="s">
        <v>219</v>
      </c>
      <c r="B751" s="7">
        <v>0</v>
      </c>
      <c r="C751" s="7">
        <v>0</v>
      </c>
      <c r="D751" s="7">
        <v>30</v>
      </c>
      <c r="E751" s="7">
        <v>2</v>
      </c>
      <c r="F751" s="7">
        <v>2</v>
      </c>
      <c r="G751" s="16">
        <v>46086</v>
      </c>
      <c r="H751" s="16" t="str">
        <f t="shared" si="44"/>
        <v>Thursday</v>
      </c>
      <c r="I751" s="12">
        <v>117</v>
      </c>
      <c r="J751" s="9">
        <f t="shared" si="45"/>
        <v>3510</v>
      </c>
      <c r="K751">
        <f t="shared" si="46"/>
        <v>0</v>
      </c>
      <c r="L751" t="str">
        <f t="shared" si="47"/>
        <v>Low Stock</v>
      </c>
    </row>
    <row r="752" spans="1:12" x14ac:dyDescent="0.45">
      <c r="A752" s="20" t="s">
        <v>248</v>
      </c>
      <c r="B752" s="6">
        <v>0</v>
      </c>
      <c r="C752" s="6">
        <v>0</v>
      </c>
      <c r="D752" s="6">
        <v>15</v>
      </c>
      <c r="E752" s="6">
        <v>1</v>
      </c>
      <c r="F752" s="6">
        <v>1</v>
      </c>
      <c r="G752" s="15">
        <v>46088</v>
      </c>
      <c r="H752" s="15" t="str">
        <f t="shared" si="44"/>
        <v>Saturday</v>
      </c>
      <c r="I752" s="11">
        <v>119</v>
      </c>
      <c r="J752" s="24">
        <f t="shared" si="45"/>
        <v>1785</v>
      </c>
      <c r="K752">
        <f t="shared" si="46"/>
        <v>0</v>
      </c>
      <c r="L752" t="str">
        <f t="shared" si="47"/>
        <v>Low Stock</v>
      </c>
    </row>
    <row r="753" spans="1:12" x14ac:dyDescent="0.45">
      <c r="A753" s="21" t="s">
        <v>410</v>
      </c>
      <c r="B753" s="7">
        <v>0</v>
      </c>
      <c r="C753" s="7">
        <v>0</v>
      </c>
      <c r="D753" s="7">
        <v>1</v>
      </c>
      <c r="E753" s="7">
        <v>1</v>
      </c>
      <c r="F753" s="7">
        <v>1</v>
      </c>
      <c r="G753" s="16">
        <v>46084</v>
      </c>
      <c r="H753" s="16" t="str">
        <f t="shared" si="44"/>
        <v>Tuesday</v>
      </c>
      <c r="I753" s="12">
        <v>193</v>
      </c>
      <c r="J753" s="9">
        <f t="shared" si="45"/>
        <v>193</v>
      </c>
      <c r="K753">
        <f t="shared" si="46"/>
        <v>0</v>
      </c>
      <c r="L753" t="str">
        <f t="shared" si="47"/>
        <v>Low Stock</v>
      </c>
    </row>
    <row r="754" spans="1:12" x14ac:dyDescent="0.45">
      <c r="A754" s="20" t="s">
        <v>485</v>
      </c>
      <c r="B754" s="6">
        <v>0</v>
      </c>
      <c r="C754" s="6">
        <v>0</v>
      </c>
      <c r="D754" s="6">
        <v>2</v>
      </c>
      <c r="E754" s="6">
        <v>1</v>
      </c>
      <c r="F754" s="6">
        <v>1</v>
      </c>
      <c r="G754" s="15">
        <v>46083</v>
      </c>
      <c r="H754" s="15" t="str">
        <f t="shared" si="44"/>
        <v>Monday</v>
      </c>
      <c r="I754" s="11">
        <v>135</v>
      </c>
      <c r="J754" s="24">
        <f t="shared" si="45"/>
        <v>270</v>
      </c>
      <c r="K754">
        <f t="shared" si="46"/>
        <v>0</v>
      </c>
      <c r="L754" t="str">
        <f t="shared" si="47"/>
        <v>Low Stock</v>
      </c>
    </row>
    <row r="755" spans="1:12" x14ac:dyDescent="0.45">
      <c r="A755" s="21" t="s">
        <v>656</v>
      </c>
      <c r="B755" s="7">
        <v>1</v>
      </c>
      <c r="C755" s="7">
        <v>15</v>
      </c>
      <c r="D755" s="7">
        <v>2</v>
      </c>
      <c r="E755" s="7">
        <v>1</v>
      </c>
      <c r="F755" s="7">
        <v>1</v>
      </c>
      <c r="G755" s="16">
        <v>46087</v>
      </c>
      <c r="H755" s="16" t="str">
        <f t="shared" si="44"/>
        <v>Friday</v>
      </c>
      <c r="I755" s="12">
        <v>162</v>
      </c>
      <c r="J755" s="9">
        <f t="shared" si="45"/>
        <v>324</v>
      </c>
      <c r="K755">
        <f t="shared" si="46"/>
        <v>1</v>
      </c>
      <c r="L755" t="str">
        <f t="shared" si="47"/>
        <v>Low Stock</v>
      </c>
    </row>
    <row r="756" spans="1:12" x14ac:dyDescent="0.45">
      <c r="A756" s="20" t="s">
        <v>706</v>
      </c>
      <c r="B756" s="6">
        <v>15</v>
      </c>
      <c r="C756" s="6">
        <v>15</v>
      </c>
      <c r="D756" s="6">
        <v>30</v>
      </c>
      <c r="E756" s="6">
        <v>2</v>
      </c>
      <c r="F756" s="6">
        <v>2</v>
      </c>
      <c r="G756" s="15">
        <v>46082</v>
      </c>
      <c r="H756" s="15" t="str">
        <f t="shared" si="44"/>
        <v>Sunday</v>
      </c>
      <c r="I756" s="11">
        <v>147</v>
      </c>
      <c r="J756" s="24">
        <f t="shared" si="45"/>
        <v>4410</v>
      </c>
      <c r="K756">
        <f t="shared" si="46"/>
        <v>15</v>
      </c>
      <c r="L756" t="str">
        <f t="shared" si="47"/>
        <v>OK</v>
      </c>
    </row>
    <row r="757" spans="1:12" x14ac:dyDescent="0.45">
      <c r="A757" s="21" t="s">
        <v>824</v>
      </c>
      <c r="B757" s="7">
        <v>70</v>
      </c>
      <c r="C757" s="7">
        <v>21</v>
      </c>
      <c r="D757" s="7">
        <v>100</v>
      </c>
      <c r="E757" s="7">
        <v>4</v>
      </c>
      <c r="F757" s="7">
        <v>4</v>
      </c>
      <c r="G757" s="16">
        <v>46088</v>
      </c>
      <c r="H757" s="16" t="str">
        <f t="shared" si="44"/>
        <v>Saturday</v>
      </c>
      <c r="I757" s="12">
        <v>81</v>
      </c>
      <c r="J757" s="9">
        <f t="shared" si="45"/>
        <v>8100</v>
      </c>
      <c r="K757">
        <f t="shared" si="46"/>
        <v>70</v>
      </c>
      <c r="L757" t="str">
        <f t="shared" si="47"/>
        <v>OK</v>
      </c>
    </row>
    <row r="758" spans="1:12" x14ac:dyDescent="0.45">
      <c r="A758" s="20" t="s">
        <v>1016</v>
      </c>
      <c r="B758" s="6">
        <v>14</v>
      </c>
      <c r="C758" s="6">
        <v>28</v>
      </c>
      <c r="D758" s="6">
        <v>15</v>
      </c>
      <c r="E758" s="6">
        <v>1</v>
      </c>
      <c r="F758" s="6">
        <v>1</v>
      </c>
      <c r="G758" s="15">
        <v>46087</v>
      </c>
      <c r="H758" s="15" t="str">
        <f t="shared" si="44"/>
        <v>Friday</v>
      </c>
      <c r="I758" s="11">
        <v>134</v>
      </c>
      <c r="J758" s="24">
        <f t="shared" si="45"/>
        <v>2010</v>
      </c>
      <c r="K758">
        <f t="shared" si="46"/>
        <v>14</v>
      </c>
      <c r="L758" t="str">
        <f t="shared" si="47"/>
        <v>OK</v>
      </c>
    </row>
    <row r="759" spans="1:12" x14ac:dyDescent="0.45">
      <c r="A759" s="21" t="s">
        <v>1100</v>
      </c>
      <c r="B759" s="7">
        <v>63</v>
      </c>
      <c r="C759" s="7">
        <v>17</v>
      </c>
      <c r="D759" s="7">
        <v>110</v>
      </c>
      <c r="E759" s="7">
        <v>4</v>
      </c>
      <c r="F759" s="7">
        <v>4</v>
      </c>
      <c r="G759" s="16">
        <v>46084</v>
      </c>
      <c r="H759" s="16" t="str">
        <f t="shared" si="44"/>
        <v>Tuesday</v>
      </c>
      <c r="I759" s="12">
        <v>71</v>
      </c>
      <c r="J759" s="9">
        <f t="shared" si="45"/>
        <v>7810</v>
      </c>
      <c r="K759">
        <f t="shared" si="46"/>
        <v>63</v>
      </c>
      <c r="L759" t="str">
        <f t="shared" si="47"/>
        <v>OK</v>
      </c>
    </row>
    <row r="760" spans="1:12" x14ac:dyDescent="0.45">
      <c r="A760" s="20" t="s">
        <v>1205</v>
      </c>
      <c r="B760" s="6">
        <v>30</v>
      </c>
      <c r="C760" s="6">
        <v>30</v>
      </c>
      <c r="D760" s="6">
        <v>30</v>
      </c>
      <c r="E760" s="6">
        <v>1</v>
      </c>
      <c r="F760" s="6">
        <v>1</v>
      </c>
      <c r="G760" s="15">
        <v>46087</v>
      </c>
      <c r="H760" s="15" t="str">
        <f t="shared" si="44"/>
        <v>Friday</v>
      </c>
      <c r="I760" s="11">
        <v>66</v>
      </c>
      <c r="J760" s="24">
        <f t="shared" si="45"/>
        <v>1980</v>
      </c>
      <c r="K760">
        <f t="shared" si="46"/>
        <v>30</v>
      </c>
      <c r="L760" t="str">
        <f t="shared" si="47"/>
        <v>OK</v>
      </c>
    </row>
    <row r="761" spans="1:12" x14ac:dyDescent="0.45">
      <c r="A761" s="21" t="s">
        <v>1225</v>
      </c>
      <c r="B761" s="7">
        <v>30</v>
      </c>
      <c r="C761" s="7">
        <v>30</v>
      </c>
      <c r="D761" s="7">
        <v>30</v>
      </c>
      <c r="E761" s="7">
        <v>2</v>
      </c>
      <c r="F761" s="7">
        <v>2</v>
      </c>
      <c r="G761" s="16">
        <v>46084</v>
      </c>
      <c r="H761" s="16" t="str">
        <f t="shared" si="44"/>
        <v>Tuesday</v>
      </c>
      <c r="I761" s="12">
        <v>148</v>
      </c>
      <c r="J761" s="9">
        <f t="shared" si="45"/>
        <v>4440</v>
      </c>
      <c r="K761">
        <f t="shared" si="46"/>
        <v>30</v>
      </c>
      <c r="L761" t="str">
        <f t="shared" si="47"/>
        <v>OK</v>
      </c>
    </row>
    <row r="762" spans="1:12" x14ac:dyDescent="0.45">
      <c r="A762" s="20" t="s">
        <v>1248</v>
      </c>
      <c r="B762" s="6">
        <v>20</v>
      </c>
      <c r="C762" s="6">
        <v>20</v>
      </c>
      <c r="D762" s="6">
        <v>30</v>
      </c>
      <c r="E762" s="6">
        <v>3</v>
      </c>
      <c r="F762" s="6">
        <v>3</v>
      </c>
      <c r="G762" s="15">
        <v>46082</v>
      </c>
      <c r="H762" s="15" t="str">
        <f t="shared" si="44"/>
        <v>Sunday</v>
      </c>
      <c r="I762" s="11">
        <v>120</v>
      </c>
      <c r="J762" s="24">
        <f t="shared" si="45"/>
        <v>3600</v>
      </c>
      <c r="K762">
        <f t="shared" si="46"/>
        <v>20</v>
      </c>
      <c r="L762" t="str">
        <f t="shared" si="47"/>
        <v>OK</v>
      </c>
    </row>
    <row r="763" spans="1:12" x14ac:dyDescent="0.45">
      <c r="A763" s="21" t="s">
        <v>74</v>
      </c>
      <c r="B763" s="7">
        <v>0</v>
      </c>
      <c r="C763" s="7">
        <v>0</v>
      </c>
      <c r="D763" s="7">
        <v>1</v>
      </c>
      <c r="E763" s="7">
        <v>1</v>
      </c>
      <c r="F763" s="7">
        <v>1</v>
      </c>
      <c r="G763" s="16">
        <v>46084</v>
      </c>
      <c r="H763" s="16" t="str">
        <f t="shared" si="44"/>
        <v>Tuesday</v>
      </c>
      <c r="I763" s="12">
        <v>72</v>
      </c>
      <c r="J763" s="9">
        <f t="shared" si="45"/>
        <v>72</v>
      </c>
      <c r="K763">
        <f t="shared" si="46"/>
        <v>0</v>
      </c>
      <c r="L763" t="str">
        <f t="shared" si="47"/>
        <v>Low Stock</v>
      </c>
    </row>
    <row r="764" spans="1:12" x14ac:dyDescent="0.45">
      <c r="A764" s="20" t="s">
        <v>110</v>
      </c>
      <c r="B764" s="6">
        <v>13</v>
      </c>
      <c r="C764" s="6">
        <v>6</v>
      </c>
      <c r="D764" s="6">
        <v>60</v>
      </c>
      <c r="E764" s="6">
        <v>6</v>
      </c>
      <c r="F764" s="6">
        <v>6</v>
      </c>
      <c r="G764" s="15">
        <v>46084</v>
      </c>
      <c r="H764" s="15" t="str">
        <f t="shared" si="44"/>
        <v>Tuesday</v>
      </c>
      <c r="I764" s="11">
        <v>98</v>
      </c>
      <c r="J764" s="24">
        <f t="shared" si="45"/>
        <v>5880</v>
      </c>
      <c r="K764">
        <f t="shared" si="46"/>
        <v>13</v>
      </c>
      <c r="L764" t="str">
        <f t="shared" si="47"/>
        <v>OK</v>
      </c>
    </row>
    <row r="765" spans="1:12" x14ac:dyDescent="0.45">
      <c r="A765" s="21" t="s">
        <v>329</v>
      </c>
      <c r="B765" s="7">
        <v>15</v>
      </c>
      <c r="C765" s="7">
        <v>7</v>
      </c>
      <c r="D765" s="7">
        <v>60</v>
      </c>
      <c r="E765" s="7">
        <v>2</v>
      </c>
      <c r="F765" s="7">
        <v>2</v>
      </c>
      <c r="G765" s="16">
        <v>46083</v>
      </c>
      <c r="H765" s="16" t="str">
        <f t="shared" si="44"/>
        <v>Monday</v>
      </c>
      <c r="I765" s="12">
        <v>101</v>
      </c>
      <c r="J765" s="9">
        <f t="shared" si="45"/>
        <v>6060</v>
      </c>
      <c r="K765">
        <f t="shared" si="46"/>
        <v>15</v>
      </c>
      <c r="L765" t="str">
        <f t="shared" si="47"/>
        <v>OK</v>
      </c>
    </row>
    <row r="766" spans="1:12" x14ac:dyDescent="0.45">
      <c r="A766" s="20" t="s">
        <v>418</v>
      </c>
      <c r="B766" s="6">
        <v>-1</v>
      </c>
      <c r="C766" s="6">
        <v>0</v>
      </c>
      <c r="D766" s="6">
        <v>1</v>
      </c>
      <c r="E766" s="6">
        <v>1</v>
      </c>
      <c r="F766" s="6">
        <v>1</v>
      </c>
      <c r="G766" s="15">
        <v>46087</v>
      </c>
      <c r="H766" s="15" t="str">
        <f t="shared" si="44"/>
        <v>Friday</v>
      </c>
      <c r="I766" s="11">
        <v>167</v>
      </c>
      <c r="J766" s="24">
        <f t="shared" si="45"/>
        <v>167</v>
      </c>
      <c r="K766">
        <f t="shared" si="46"/>
        <v>0</v>
      </c>
      <c r="L766" t="str">
        <f t="shared" si="47"/>
        <v>Low Stock</v>
      </c>
    </row>
    <row r="767" spans="1:12" x14ac:dyDescent="0.45">
      <c r="A767" s="21" t="s">
        <v>489</v>
      </c>
      <c r="B767" s="7">
        <v>0</v>
      </c>
      <c r="C767" s="7">
        <v>0</v>
      </c>
      <c r="D767" s="7">
        <v>2</v>
      </c>
      <c r="E767" s="7">
        <v>2</v>
      </c>
      <c r="F767" s="7">
        <v>2</v>
      </c>
      <c r="G767" s="16">
        <v>46086</v>
      </c>
      <c r="H767" s="16" t="str">
        <f t="shared" si="44"/>
        <v>Thursday</v>
      </c>
      <c r="I767" s="12">
        <v>117</v>
      </c>
      <c r="J767" s="9">
        <f t="shared" si="45"/>
        <v>234</v>
      </c>
      <c r="K767">
        <f t="shared" si="46"/>
        <v>0</v>
      </c>
      <c r="L767" t="str">
        <f t="shared" si="47"/>
        <v>Low Stock</v>
      </c>
    </row>
    <row r="768" spans="1:12" x14ac:dyDescent="0.45">
      <c r="A768" s="20" t="s">
        <v>700</v>
      </c>
      <c r="B768" s="6">
        <v>15</v>
      </c>
      <c r="C768" s="6">
        <v>15</v>
      </c>
      <c r="D768" s="6">
        <v>30</v>
      </c>
      <c r="E768" s="6">
        <v>2</v>
      </c>
      <c r="F768" s="6">
        <v>2</v>
      </c>
      <c r="G768" s="15">
        <v>46086</v>
      </c>
      <c r="H768" s="15" t="str">
        <f t="shared" si="44"/>
        <v>Thursday</v>
      </c>
      <c r="I768" s="11">
        <v>65</v>
      </c>
      <c r="J768" s="24">
        <f t="shared" si="45"/>
        <v>1950</v>
      </c>
      <c r="K768">
        <f t="shared" si="46"/>
        <v>15</v>
      </c>
      <c r="L768" t="str">
        <f t="shared" si="47"/>
        <v>OK</v>
      </c>
    </row>
    <row r="769" spans="1:12" x14ac:dyDescent="0.45">
      <c r="A769" s="21" t="s">
        <v>733</v>
      </c>
      <c r="B769" s="7">
        <v>40</v>
      </c>
      <c r="C769" s="7">
        <v>20</v>
      </c>
      <c r="D769" s="7">
        <v>60</v>
      </c>
      <c r="E769" s="7">
        <v>6</v>
      </c>
      <c r="F769" s="7">
        <v>5</v>
      </c>
      <c r="G769" s="16">
        <v>46083</v>
      </c>
      <c r="H769" s="16" t="str">
        <f t="shared" si="44"/>
        <v>Monday</v>
      </c>
      <c r="I769" s="12">
        <v>134</v>
      </c>
      <c r="J769" s="9">
        <f t="shared" si="45"/>
        <v>8040</v>
      </c>
      <c r="K769">
        <f t="shared" si="46"/>
        <v>40</v>
      </c>
      <c r="L769" t="str">
        <f t="shared" si="47"/>
        <v>OK</v>
      </c>
    </row>
    <row r="770" spans="1:12" x14ac:dyDescent="0.45">
      <c r="A770" s="20" t="s">
        <v>764</v>
      </c>
      <c r="B770" s="6">
        <v>50</v>
      </c>
      <c r="C770" s="6">
        <v>25</v>
      </c>
      <c r="D770" s="6">
        <v>60</v>
      </c>
      <c r="E770" s="6">
        <v>4</v>
      </c>
      <c r="F770" s="6">
        <v>4</v>
      </c>
      <c r="G770" s="15">
        <v>46088</v>
      </c>
      <c r="H770" s="15" t="str">
        <f t="shared" ref="H770:H833" si="48">TEXT(G770,"dddd")</f>
        <v>Saturday</v>
      </c>
      <c r="I770" s="11">
        <v>110</v>
      </c>
      <c r="J770" s="24">
        <f t="shared" ref="J770:J833" si="49">D770*I770</f>
        <v>6600</v>
      </c>
      <c r="K770">
        <f t="shared" ref="K770:K833" si="50">IF(B770&lt;0,0,B770)</f>
        <v>50</v>
      </c>
      <c r="L770" t="str">
        <f t="shared" ref="L770:L833" si="51">IF(K770&lt;5,"Low Stock","OK")</f>
        <v>OK</v>
      </c>
    </row>
    <row r="771" spans="1:12" x14ac:dyDescent="0.45">
      <c r="A771" s="21" t="s">
        <v>931</v>
      </c>
      <c r="B771" s="7">
        <v>20</v>
      </c>
      <c r="C771" s="7">
        <v>30</v>
      </c>
      <c r="D771" s="7">
        <v>20</v>
      </c>
      <c r="E771" s="7">
        <v>1</v>
      </c>
      <c r="F771" s="7">
        <v>1</v>
      </c>
      <c r="G771" s="16">
        <v>46088</v>
      </c>
      <c r="H771" s="16" t="str">
        <f t="shared" si="48"/>
        <v>Saturday</v>
      </c>
      <c r="I771" s="12">
        <v>73</v>
      </c>
      <c r="J771" s="9">
        <f t="shared" si="49"/>
        <v>1460</v>
      </c>
      <c r="K771">
        <f t="shared" si="50"/>
        <v>20</v>
      </c>
      <c r="L771" t="str">
        <f t="shared" si="51"/>
        <v>OK</v>
      </c>
    </row>
    <row r="772" spans="1:12" x14ac:dyDescent="0.45">
      <c r="A772" s="20" t="s">
        <v>1196</v>
      </c>
      <c r="B772" s="6">
        <v>20</v>
      </c>
      <c r="C772" s="6">
        <v>30</v>
      </c>
      <c r="D772" s="6">
        <v>20</v>
      </c>
      <c r="E772" s="6">
        <v>2</v>
      </c>
      <c r="F772" s="6">
        <v>2</v>
      </c>
      <c r="G772" s="15">
        <v>46087</v>
      </c>
      <c r="H772" s="15" t="str">
        <f t="shared" si="48"/>
        <v>Friday</v>
      </c>
      <c r="I772" s="11">
        <v>94</v>
      </c>
      <c r="J772" s="24">
        <f t="shared" si="49"/>
        <v>1880</v>
      </c>
      <c r="K772">
        <f t="shared" si="50"/>
        <v>20</v>
      </c>
      <c r="L772" t="str">
        <f t="shared" si="51"/>
        <v>OK</v>
      </c>
    </row>
    <row r="773" spans="1:12" x14ac:dyDescent="0.45">
      <c r="A773" s="21" t="s">
        <v>22</v>
      </c>
      <c r="B773" s="7">
        <v>0</v>
      </c>
      <c r="C773" s="7">
        <v>0</v>
      </c>
      <c r="D773" s="7">
        <v>80</v>
      </c>
      <c r="E773" s="7">
        <v>7</v>
      </c>
      <c r="F773" s="7">
        <v>7</v>
      </c>
      <c r="G773" s="16">
        <v>46083</v>
      </c>
      <c r="H773" s="16" t="str">
        <f t="shared" si="48"/>
        <v>Monday</v>
      </c>
      <c r="I773" s="12">
        <v>166</v>
      </c>
      <c r="J773" s="9">
        <f t="shared" si="49"/>
        <v>13280</v>
      </c>
      <c r="K773">
        <f t="shared" si="50"/>
        <v>0</v>
      </c>
      <c r="L773" t="str">
        <f t="shared" si="51"/>
        <v>Low Stock</v>
      </c>
    </row>
    <row r="774" spans="1:12" x14ac:dyDescent="0.45">
      <c r="A774" s="20" t="s">
        <v>51</v>
      </c>
      <c r="B774" s="6">
        <v>0</v>
      </c>
      <c r="C774" s="6">
        <v>0</v>
      </c>
      <c r="D774" s="6">
        <v>50</v>
      </c>
      <c r="E774" s="6">
        <v>4</v>
      </c>
      <c r="F774" s="6">
        <v>4</v>
      </c>
      <c r="G774" s="15">
        <v>46082</v>
      </c>
      <c r="H774" s="15" t="str">
        <f t="shared" si="48"/>
        <v>Sunday</v>
      </c>
      <c r="I774" s="11">
        <v>134</v>
      </c>
      <c r="J774" s="24">
        <f t="shared" si="49"/>
        <v>6700</v>
      </c>
      <c r="K774">
        <f t="shared" si="50"/>
        <v>0</v>
      </c>
      <c r="L774" t="str">
        <f t="shared" si="51"/>
        <v>Low Stock</v>
      </c>
    </row>
    <row r="775" spans="1:12" x14ac:dyDescent="0.45">
      <c r="A775" s="21" t="s">
        <v>71</v>
      </c>
      <c r="B775" s="7">
        <v>0</v>
      </c>
      <c r="C775" s="7">
        <v>0</v>
      </c>
      <c r="D775" s="7">
        <v>5</v>
      </c>
      <c r="E775" s="7">
        <v>3</v>
      </c>
      <c r="F775" s="7">
        <v>3</v>
      </c>
      <c r="G775" s="16">
        <v>46086</v>
      </c>
      <c r="H775" s="16" t="str">
        <f t="shared" si="48"/>
        <v>Thursday</v>
      </c>
      <c r="I775" s="12">
        <v>157</v>
      </c>
      <c r="J775" s="9">
        <f t="shared" si="49"/>
        <v>785</v>
      </c>
      <c r="K775">
        <f t="shared" si="50"/>
        <v>0</v>
      </c>
      <c r="L775" t="str">
        <f t="shared" si="51"/>
        <v>Low Stock</v>
      </c>
    </row>
    <row r="776" spans="1:12" x14ac:dyDescent="0.45">
      <c r="A776" s="20" t="s">
        <v>91</v>
      </c>
      <c r="B776" s="6">
        <v>-30</v>
      </c>
      <c r="C776" s="6">
        <v>0</v>
      </c>
      <c r="D776" s="6">
        <v>90</v>
      </c>
      <c r="E776" s="6">
        <v>4</v>
      </c>
      <c r="F776" s="6">
        <v>3</v>
      </c>
      <c r="G776" s="15">
        <v>46083</v>
      </c>
      <c r="H776" s="15" t="str">
        <f t="shared" si="48"/>
        <v>Monday</v>
      </c>
      <c r="I776" s="11">
        <v>62</v>
      </c>
      <c r="J776" s="24">
        <f t="shared" si="49"/>
        <v>5580</v>
      </c>
      <c r="K776">
        <f t="shared" si="50"/>
        <v>0</v>
      </c>
      <c r="L776" t="str">
        <f t="shared" si="51"/>
        <v>Low Stock</v>
      </c>
    </row>
    <row r="777" spans="1:12" x14ac:dyDescent="0.45">
      <c r="A777" s="21" t="s">
        <v>179</v>
      </c>
      <c r="B777" s="7">
        <v>0</v>
      </c>
      <c r="C777" s="7">
        <v>0</v>
      </c>
      <c r="D777" s="7">
        <v>1</v>
      </c>
      <c r="E777" s="7">
        <v>1</v>
      </c>
      <c r="F777" s="7">
        <v>1</v>
      </c>
      <c r="G777" s="16">
        <v>46087</v>
      </c>
      <c r="H777" s="16" t="str">
        <f t="shared" si="48"/>
        <v>Friday</v>
      </c>
      <c r="I777" s="12">
        <v>74</v>
      </c>
      <c r="J777" s="9">
        <f t="shared" si="49"/>
        <v>74</v>
      </c>
      <c r="K777">
        <f t="shared" si="50"/>
        <v>0</v>
      </c>
      <c r="L777" t="str">
        <f t="shared" si="51"/>
        <v>Low Stock</v>
      </c>
    </row>
    <row r="778" spans="1:12" x14ac:dyDescent="0.45">
      <c r="A778" s="20" t="s">
        <v>224</v>
      </c>
      <c r="B778" s="6">
        <v>-3</v>
      </c>
      <c r="C778" s="6">
        <v>0</v>
      </c>
      <c r="D778" s="6">
        <v>1</v>
      </c>
      <c r="E778" s="6">
        <v>1</v>
      </c>
      <c r="F778" s="6">
        <v>1</v>
      </c>
      <c r="G778" s="15">
        <v>46085</v>
      </c>
      <c r="H778" s="15" t="str">
        <f t="shared" si="48"/>
        <v>Wednesday</v>
      </c>
      <c r="I778" s="11">
        <v>154</v>
      </c>
      <c r="J778" s="24">
        <f t="shared" si="49"/>
        <v>154</v>
      </c>
      <c r="K778">
        <f t="shared" si="50"/>
        <v>0</v>
      </c>
      <c r="L778" t="str">
        <f t="shared" si="51"/>
        <v>Low Stock</v>
      </c>
    </row>
    <row r="779" spans="1:12" x14ac:dyDescent="0.45">
      <c r="A779" s="21" t="s">
        <v>232</v>
      </c>
      <c r="B779" s="7">
        <v>-112</v>
      </c>
      <c r="C779" s="7">
        <v>0</v>
      </c>
      <c r="D779" s="7">
        <v>140</v>
      </c>
      <c r="E779" s="7">
        <v>3</v>
      </c>
      <c r="F779" s="7">
        <v>3</v>
      </c>
      <c r="G779" s="16">
        <v>46086</v>
      </c>
      <c r="H779" s="16" t="str">
        <f t="shared" si="48"/>
        <v>Thursday</v>
      </c>
      <c r="I779" s="12">
        <v>79</v>
      </c>
      <c r="J779" s="9">
        <f t="shared" si="49"/>
        <v>11060</v>
      </c>
      <c r="K779">
        <f t="shared" si="50"/>
        <v>0</v>
      </c>
      <c r="L779" t="str">
        <f t="shared" si="51"/>
        <v>Low Stock</v>
      </c>
    </row>
    <row r="780" spans="1:12" x14ac:dyDescent="0.45">
      <c r="A780" s="20" t="s">
        <v>411</v>
      </c>
      <c r="B780" s="6">
        <v>-30</v>
      </c>
      <c r="C780" s="6">
        <v>0</v>
      </c>
      <c r="D780" s="6">
        <v>45</v>
      </c>
      <c r="E780" s="6">
        <v>3</v>
      </c>
      <c r="F780" s="6">
        <v>3</v>
      </c>
      <c r="G780" s="15">
        <v>46085</v>
      </c>
      <c r="H780" s="15" t="str">
        <f t="shared" si="48"/>
        <v>Wednesday</v>
      </c>
      <c r="I780" s="11">
        <v>77</v>
      </c>
      <c r="J780" s="24">
        <f t="shared" si="49"/>
        <v>3465</v>
      </c>
      <c r="K780">
        <f t="shared" si="50"/>
        <v>0</v>
      </c>
      <c r="L780" t="str">
        <f t="shared" si="51"/>
        <v>Low Stock</v>
      </c>
    </row>
    <row r="781" spans="1:12" x14ac:dyDescent="0.45">
      <c r="A781" s="21" t="s">
        <v>466</v>
      </c>
      <c r="B781" s="7">
        <v>0</v>
      </c>
      <c r="C781" s="7">
        <v>0</v>
      </c>
      <c r="D781" s="7">
        <v>1</v>
      </c>
      <c r="E781" s="7">
        <v>1</v>
      </c>
      <c r="F781" s="7">
        <v>1</v>
      </c>
      <c r="G781" s="16">
        <v>46087</v>
      </c>
      <c r="H781" s="16" t="str">
        <f t="shared" si="48"/>
        <v>Friday</v>
      </c>
      <c r="I781" s="12">
        <v>172</v>
      </c>
      <c r="J781" s="9">
        <f t="shared" si="49"/>
        <v>172</v>
      </c>
      <c r="K781">
        <f t="shared" si="50"/>
        <v>0</v>
      </c>
      <c r="L781" t="str">
        <f t="shared" si="51"/>
        <v>Low Stock</v>
      </c>
    </row>
    <row r="782" spans="1:12" x14ac:dyDescent="0.45">
      <c r="A782" s="20" t="s">
        <v>601</v>
      </c>
      <c r="B782" s="6">
        <v>15</v>
      </c>
      <c r="C782" s="6">
        <v>9</v>
      </c>
      <c r="D782" s="6">
        <v>50</v>
      </c>
      <c r="E782" s="6">
        <v>5</v>
      </c>
      <c r="F782" s="6">
        <v>4</v>
      </c>
      <c r="G782" s="15">
        <v>46083</v>
      </c>
      <c r="H782" s="15" t="str">
        <f t="shared" si="48"/>
        <v>Monday</v>
      </c>
      <c r="I782" s="11">
        <v>86</v>
      </c>
      <c r="J782" s="24">
        <f t="shared" si="49"/>
        <v>4300</v>
      </c>
      <c r="K782">
        <f t="shared" si="50"/>
        <v>15</v>
      </c>
      <c r="L782" t="str">
        <f t="shared" si="51"/>
        <v>OK</v>
      </c>
    </row>
    <row r="783" spans="1:12" x14ac:dyDescent="0.45">
      <c r="A783" s="21" t="s">
        <v>808</v>
      </c>
      <c r="B783" s="7">
        <v>1</v>
      </c>
      <c r="C783" s="7">
        <v>30</v>
      </c>
      <c r="D783" s="7">
        <v>1</v>
      </c>
      <c r="E783" s="7">
        <v>1</v>
      </c>
      <c r="F783" s="7">
        <v>1</v>
      </c>
      <c r="G783" s="16">
        <v>46087</v>
      </c>
      <c r="H783" s="16" t="str">
        <f t="shared" si="48"/>
        <v>Friday</v>
      </c>
      <c r="I783" s="12">
        <v>104</v>
      </c>
      <c r="J783" s="9">
        <f t="shared" si="49"/>
        <v>104</v>
      </c>
      <c r="K783">
        <f t="shared" si="50"/>
        <v>1</v>
      </c>
      <c r="L783" t="str">
        <f t="shared" si="51"/>
        <v>Low Stock</v>
      </c>
    </row>
    <row r="784" spans="1:12" x14ac:dyDescent="0.45">
      <c r="A784" s="20" t="s">
        <v>934</v>
      </c>
      <c r="B784" s="6">
        <v>30</v>
      </c>
      <c r="C784" s="6">
        <v>22</v>
      </c>
      <c r="D784" s="6">
        <v>40</v>
      </c>
      <c r="E784" s="6">
        <v>2</v>
      </c>
      <c r="F784" s="6">
        <v>2</v>
      </c>
      <c r="G784" s="15">
        <v>46086</v>
      </c>
      <c r="H784" s="15" t="str">
        <f t="shared" si="48"/>
        <v>Thursday</v>
      </c>
      <c r="I784" s="11">
        <v>103</v>
      </c>
      <c r="J784" s="24">
        <f t="shared" si="49"/>
        <v>4120</v>
      </c>
      <c r="K784">
        <f t="shared" si="50"/>
        <v>30</v>
      </c>
      <c r="L784" t="str">
        <f t="shared" si="51"/>
        <v>OK</v>
      </c>
    </row>
    <row r="785" spans="1:12" x14ac:dyDescent="0.45">
      <c r="A785" s="21" t="s">
        <v>1005</v>
      </c>
      <c r="B785" s="7">
        <v>1</v>
      </c>
      <c r="C785" s="7">
        <v>30</v>
      </c>
      <c r="D785" s="7">
        <v>1</v>
      </c>
      <c r="E785" s="7">
        <v>1</v>
      </c>
      <c r="F785" s="7">
        <v>1</v>
      </c>
      <c r="G785" s="16">
        <v>46082</v>
      </c>
      <c r="H785" s="16" t="str">
        <f t="shared" si="48"/>
        <v>Sunday</v>
      </c>
      <c r="I785" s="12">
        <v>189</v>
      </c>
      <c r="J785" s="9">
        <f t="shared" si="49"/>
        <v>189</v>
      </c>
      <c r="K785">
        <f t="shared" si="50"/>
        <v>1</v>
      </c>
      <c r="L785" t="str">
        <f t="shared" si="51"/>
        <v>Low Stock</v>
      </c>
    </row>
    <row r="786" spans="1:12" x14ac:dyDescent="0.45">
      <c r="A786" s="20" t="s">
        <v>1246</v>
      </c>
      <c r="B786" s="6">
        <v>10</v>
      </c>
      <c r="C786" s="6">
        <v>30</v>
      </c>
      <c r="D786" s="6">
        <v>10</v>
      </c>
      <c r="E786" s="6">
        <v>1</v>
      </c>
      <c r="F786" s="6">
        <v>1</v>
      </c>
      <c r="G786" s="15">
        <v>46085</v>
      </c>
      <c r="H786" s="15" t="str">
        <f t="shared" si="48"/>
        <v>Wednesday</v>
      </c>
      <c r="I786" s="11">
        <v>139</v>
      </c>
      <c r="J786" s="24">
        <f t="shared" si="49"/>
        <v>1390</v>
      </c>
      <c r="K786">
        <f t="shared" si="50"/>
        <v>10</v>
      </c>
      <c r="L786" t="str">
        <f t="shared" si="51"/>
        <v>OK</v>
      </c>
    </row>
    <row r="787" spans="1:12" x14ac:dyDescent="0.45">
      <c r="A787" s="21" t="s">
        <v>7</v>
      </c>
      <c r="B787" s="7">
        <v>0</v>
      </c>
      <c r="C787" s="7">
        <v>0</v>
      </c>
      <c r="D787" s="7">
        <v>12</v>
      </c>
      <c r="E787" s="7">
        <v>7</v>
      </c>
      <c r="F787" s="7">
        <v>6</v>
      </c>
      <c r="G787" s="16">
        <v>46083</v>
      </c>
      <c r="H787" s="16" t="str">
        <f t="shared" si="48"/>
        <v>Monday</v>
      </c>
      <c r="I787" s="12">
        <v>83</v>
      </c>
      <c r="J787" s="9">
        <f t="shared" si="49"/>
        <v>996</v>
      </c>
      <c r="K787">
        <f t="shared" si="50"/>
        <v>0</v>
      </c>
      <c r="L787" t="str">
        <f t="shared" si="51"/>
        <v>Low Stock</v>
      </c>
    </row>
    <row r="788" spans="1:12" x14ac:dyDescent="0.45">
      <c r="A788" s="20" t="s">
        <v>100</v>
      </c>
      <c r="B788" s="6">
        <v>0</v>
      </c>
      <c r="C788" s="6">
        <v>0</v>
      </c>
      <c r="D788" s="6">
        <v>3</v>
      </c>
      <c r="E788" s="6">
        <v>3</v>
      </c>
      <c r="F788" s="6">
        <v>3</v>
      </c>
      <c r="G788" s="15">
        <v>46083</v>
      </c>
      <c r="H788" s="15" t="str">
        <f t="shared" si="48"/>
        <v>Monday</v>
      </c>
      <c r="I788" s="11">
        <v>79</v>
      </c>
      <c r="J788" s="24">
        <f t="shared" si="49"/>
        <v>237</v>
      </c>
      <c r="K788">
        <f t="shared" si="50"/>
        <v>0</v>
      </c>
      <c r="L788" t="str">
        <f t="shared" si="51"/>
        <v>Low Stock</v>
      </c>
    </row>
    <row r="789" spans="1:12" x14ac:dyDescent="0.45">
      <c r="A789" s="21" t="s">
        <v>140</v>
      </c>
      <c r="B789" s="7">
        <v>0</v>
      </c>
      <c r="C789" s="7">
        <v>0</v>
      </c>
      <c r="D789" s="7">
        <v>3</v>
      </c>
      <c r="E789" s="7">
        <v>3</v>
      </c>
      <c r="F789" s="7">
        <v>3</v>
      </c>
      <c r="G789" s="16">
        <v>46083</v>
      </c>
      <c r="H789" s="16" t="str">
        <f t="shared" si="48"/>
        <v>Monday</v>
      </c>
      <c r="I789" s="12">
        <v>144</v>
      </c>
      <c r="J789" s="9">
        <f t="shared" si="49"/>
        <v>432</v>
      </c>
      <c r="K789">
        <f t="shared" si="50"/>
        <v>0</v>
      </c>
      <c r="L789" t="str">
        <f t="shared" si="51"/>
        <v>Low Stock</v>
      </c>
    </row>
    <row r="790" spans="1:12" x14ac:dyDescent="0.45">
      <c r="A790" s="20" t="s">
        <v>195</v>
      </c>
      <c r="B790" s="6">
        <v>0</v>
      </c>
      <c r="C790" s="6">
        <v>0</v>
      </c>
      <c r="D790" s="6">
        <v>20</v>
      </c>
      <c r="E790" s="6">
        <v>1</v>
      </c>
      <c r="F790" s="6">
        <v>1</v>
      </c>
      <c r="G790" s="15">
        <v>46086</v>
      </c>
      <c r="H790" s="15" t="str">
        <f t="shared" si="48"/>
        <v>Thursday</v>
      </c>
      <c r="I790" s="11">
        <v>113</v>
      </c>
      <c r="J790" s="24">
        <f t="shared" si="49"/>
        <v>2260</v>
      </c>
      <c r="K790">
        <f t="shared" si="50"/>
        <v>0</v>
      </c>
      <c r="L790" t="str">
        <f t="shared" si="51"/>
        <v>Low Stock</v>
      </c>
    </row>
    <row r="791" spans="1:12" x14ac:dyDescent="0.45">
      <c r="A791" s="21" t="s">
        <v>354</v>
      </c>
      <c r="B791" s="7">
        <v>-3</v>
      </c>
      <c r="C791" s="7">
        <v>0</v>
      </c>
      <c r="D791" s="7">
        <v>1</v>
      </c>
      <c r="E791" s="7">
        <v>1</v>
      </c>
      <c r="F791" s="7">
        <v>1</v>
      </c>
      <c r="G791" s="16">
        <v>46082</v>
      </c>
      <c r="H791" s="16" t="str">
        <f t="shared" si="48"/>
        <v>Sunday</v>
      </c>
      <c r="I791" s="12">
        <v>87</v>
      </c>
      <c r="J791" s="9">
        <f t="shared" si="49"/>
        <v>87</v>
      </c>
      <c r="K791">
        <f t="shared" si="50"/>
        <v>0</v>
      </c>
      <c r="L791" t="str">
        <f t="shared" si="51"/>
        <v>Low Stock</v>
      </c>
    </row>
    <row r="792" spans="1:12" x14ac:dyDescent="0.45">
      <c r="A792" s="20" t="s">
        <v>361</v>
      </c>
      <c r="B792" s="6">
        <v>0</v>
      </c>
      <c r="C792" s="6">
        <v>0</v>
      </c>
      <c r="D792" s="6">
        <v>20</v>
      </c>
      <c r="E792" s="6">
        <v>2</v>
      </c>
      <c r="F792" s="6">
        <v>2</v>
      </c>
      <c r="G792" s="15">
        <v>46085</v>
      </c>
      <c r="H792" s="15" t="str">
        <f t="shared" si="48"/>
        <v>Wednesday</v>
      </c>
      <c r="I792" s="11">
        <v>70</v>
      </c>
      <c r="J792" s="24">
        <f t="shared" si="49"/>
        <v>1400</v>
      </c>
      <c r="K792">
        <f t="shared" si="50"/>
        <v>0</v>
      </c>
      <c r="L792" t="str">
        <f t="shared" si="51"/>
        <v>Low Stock</v>
      </c>
    </row>
    <row r="793" spans="1:12" x14ac:dyDescent="0.45">
      <c r="A793" s="21" t="s">
        <v>642</v>
      </c>
      <c r="B793" s="7">
        <v>1</v>
      </c>
      <c r="C793" s="7">
        <v>15</v>
      </c>
      <c r="D793" s="7">
        <v>2</v>
      </c>
      <c r="E793" s="7">
        <v>2</v>
      </c>
      <c r="F793" s="7">
        <v>2</v>
      </c>
      <c r="G793" s="16">
        <v>46086</v>
      </c>
      <c r="H793" s="16" t="str">
        <f t="shared" si="48"/>
        <v>Thursday</v>
      </c>
      <c r="I793" s="12">
        <v>132</v>
      </c>
      <c r="J793" s="9">
        <f t="shared" si="49"/>
        <v>264</v>
      </c>
      <c r="K793">
        <f t="shared" si="50"/>
        <v>1</v>
      </c>
      <c r="L793" t="str">
        <f t="shared" si="51"/>
        <v>Low Stock</v>
      </c>
    </row>
    <row r="794" spans="1:12" x14ac:dyDescent="0.45">
      <c r="A794" s="20" t="s">
        <v>660</v>
      </c>
      <c r="B794" s="6">
        <v>1</v>
      </c>
      <c r="C794" s="6">
        <v>15</v>
      </c>
      <c r="D794" s="6">
        <v>2</v>
      </c>
      <c r="E794" s="6">
        <v>2</v>
      </c>
      <c r="F794" s="6">
        <v>2</v>
      </c>
      <c r="G794" s="15">
        <v>46087</v>
      </c>
      <c r="H794" s="15" t="str">
        <f t="shared" si="48"/>
        <v>Friday</v>
      </c>
      <c r="I794" s="11">
        <v>73</v>
      </c>
      <c r="J794" s="24">
        <f t="shared" si="49"/>
        <v>146</v>
      </c>
      <c r="K794">
        <f t="shared" si="50"/>
        <v>1</v>
      </c>
      <c r="L794" t="str">
        <f t="shared" si="51"/>
        <v>Low Stock</v>
      </c>
    </row>
    <row r="795" spans="1:12" x14ac:dyDescent="0.45">
      <c r="A795" s="21" t="s">
        <v>662</v>
      </c>
      <c r="B795" s="7">
        <v>30</v>
      </c>
      <c r="C795" s="7">
        <v>15</v>
      </c>
      <c r="D795" s="7">
        <v>60</v>
      </c>
      <c r="E795" s="7">
        <v>2</v>
      </c>
      <c r="F795" s="7">
        <v>2</v>
      </c>
      <c r="G795" s="16">
        <v>46085</v>
      </c>
      <c r="H795" s="16" t="str">
        <f t="shared" si="48"/>
        <v>Wednesday</v>
      </c>
      <c r="I795" s="12">
        <v>83</v>
      </c>
      <c r="J795" s="9">
        <f t="shared" si="49"/>
        <v>4980</v>
      </c>
      <c r="K795">
        <f t="shared" si="50"/>
        <v>30</v>
      </c>
      <c r="L795" t="str">
        <f t="shared" si="51"/>
        <v>OK</v>
      </c>
    </row>
    <row r="796" spans="1:12" x14ac:dyDescent="0.45">
      <c r="A796" s="20" t="s">
        <v>991</v>
      </c>
      <c r="B796" s="6">
        <v>1</v>
      </c>
      <c r="C796" s="6">
        <v>30</v>
      </c>
      <c r="D796" s="6">
        <v>1</v>
      </c>
      <c r="E796" s="6">
        <v>1</v>
      </c>
      <c r="F796" s="6">
        <v>1</v>
      </c>
      <c r="G796" s="15">
        <v>46088</v>
      </c>
      <c r="H796" s="15" t="str">
        <f t="shared" si="48"/>
        <v>Saturday</v>
      </c>
      <c r="I796" s="11">
        <v>105</v>
      </c>
      <c r="J796" s="24">
        <f t="shared" si="49"/>
        <v>105</v>
      </c>
      <c r="K796">
        <f t="shared" si="50"/>
        <v>1</v>
      </c>
      <c r="L796" t="str">
        <f t="shared" si="51"/>
        <v>Low Stock</v>
      </c>
    </row>
    <row r="797" spans="1:12" x14ac:dyDescent="0.45">
      <c r="A797" s="21" t="s">
        <v>1066</v>
      </c>
      <c r="B797" s="7">
        <v>3</v>
      </c>
      <c r="C797" s="7">
        <v>30</v>
      </c>
      <c r="D797" s="7">
        <v>3</v>
      </c>
      <c r="E797" s="7">
        <v>3</v>
      </c>
      <c r="F797" s="7">
        <v>3</v>
      </c>
      <c r="G797" s="16">
        <v>46085</v>
      </c>
      <c r="H797" s="16" t="str">
        <f t="shared" si="48"/>
        <v>Wednesday</v>
      </c>
      <c r="I797" s="12">
        <v>134</v>
      </c>
      <c r="J797" s="9">
        <f t="shared" si="49"/>
        <v>402</v>
      </c>
      <c r="K797">
        <f t="shared" si="50"/>
        <v>3</v>
      </c>
      <c r="L797" t="str">
        <f t="shared" si="51"/>
        <v>Low Stock</v>
      </c>
    </row>
    <row r="798" spans="1:12" x14ac:dyDescent="0.45">
      <c r="A798" s="20" t="s">
        <v>1216</v>
      </c>
      <c r="B798" s="6">
        <v>10</v>
      </c>
      <c r="C798" s="6">
        <v>30</v>
      </c>
      <c r="D798" s="6">
        <v>10</v>
      </c>
      <c r="E798" s="6">
        <v>1</v>
      </c>
      <c r="F798" s="6">
        <v>1</v>
      </c>
      <c r="G798" s="15">
        <v>46085</v>
      </c>
      <c r="H798" s="15" t="str">
        <f t="shared" si="48"/>
        <v>Wednesday</v>
      </c>
      <c r="I798" s="11">
        <v>76</v>
      </c>
      <c r="J798" s="24">
        <f t="shared" si="49"/>
        <v>760</v>
      </c>
      <c r="K798">
        <f t="shared" si="50"/>
        <v>10</v>
      </c>
      <c r="L798" t="str">
        <f t="shared" si="51"/>
        <v>OK</v>
      </c>
    </row>
    <row r="799" spans="1:12" x14ac:dyDescent="0.45">
      <c r="A799" s="21" t="s">
        <v>1221</v>
      </c>
      <c r="B799" s="7">
        <v>40</v>
      </c>
      <c r="C799" s="7">
        <v>30</v>
      </c>
      <c r="D799" s="7">
        <v>40</v>
      </c>
      <c r="E799" s="7">
        <v>3</v>
      </c>
      <c r="F799" s="7">
        <v>3</v>
      </c>
      <c r="G799" s="16">
        <v>46082</v>
      </c>
      <c r="H799" s="16" t="str">
        <f t="shared" si="48"/>
        <v>Sunday</v>
      </c>
      <c r="I799" s="12">
        <v>97</v>
      </c>
      <c r="J799" s="9">
        <f t="shared" si="49"/>
        <v>3880</v>
      </c>
      <c r="K799">
        <f t="shared" si="50"/>
        <v>40</v>
      </c>
      <c r="L799" t="str">
        <f t="shared" si="51"/>
        <v>OK</v>
      </c>
    </row>
    <row r="800" spans="1:12" x14ac:dyDescent="0.45">
      <c r="A800" s="20" t="s">
        <v>49</v>
      </c>
      <c r="B800" s="6">
        <v>-60</v>
      </c>
      <c r="C800" s="6">
        <v>0</v>
      </c>
      <c r="D800" s="6">
        <v>90</v>
      </c>
      <c r="E800" s="6">
        <v>3</v>
      </c>
      <c r="F800" s="6">
        <v>3</v>
      </c>
      <c r="G800" s="15">
        <v>46084</v>
      </c>
      <c r="H800" s="15" t="str">
        <f t="shared" si="48"/>
        <v>Tuesday</v>
      </c>
      <c r="I800" s="11">
        <v>123</v>
      </c>
      <c r="J800" s="24">
        <f t="shared" si="49"/>
        <v>11070</v>
      </c>
      <c r="K800">
        <f t="shared" si="50"/>
        <v>0</v>
      </c>
      <c r="L800" t="str">
        <f t="shared" si="51"/>
        <v>Low Stock</v>
      </c>
    </row>
    <row r="801" spans="1:12" x14ac:dyDescent="0.45">
      <c r="A801" s="21" t="s">
        <v>55</v>
      </c>
      <c r="B801" s="7">
        <v>0</v>
      </c>
      <c r="C801" s="7">
        <v>0</v>
      </c>
      <c r="D801" s="7">
        <v>4</v>
      </c>
      <c r="E801" s="7">
        <v>4</v>
      </c>
      <c r="F801" s="7">
        <v>4</v>
      </c>
      <c r="G801" s="16">
        <v>46082</v>
      </c>
      <c r="H801" s="16" t="str">
        <f t="shared" si="48"/>
        <v>Sunday</v>
      </c>
      <c r="I801" s="12">
        <v>171</v>
      </c>
      <c r="J801" s="9">
        <f t="shared" si="49"/>
        <v>684</v>
      </c>
      <c r="K801">
        <f t="shared" si="50"/>
        <v>0</v>
      </c>
      <c r="L801" t="str">
        <f t="shared" si="51"/>
        <v>Low Stock</v>
      </c>
    </row>
    <row r="802" spans="1:12" x14ac:dyDescent="0.45">
      <c r="A802" s="20" t="s">
        <v>89</v>
      </c>
      <c r="B802" s="6">
        <v>-5</v>
      </c>
      <c r="C802" s="6">
        <v>0</v>
      </c>
      <c r="D802" s="6">
        <v>3</v>
      </c>
      <c r="E802" s="6">
        <v>3</v>
      </c>
      <c r="F802" s="6">
        <v>2</v>
      </c>
      <c r="G802" s="15">
        <v>46085</v>
      </c>
      <c r="H802" s="15" t="str">
        <f t="shared" si="48"/>
        <v>Wednesday</v>
      </c>
      <c r="I802" s="11">
        <v>150</v>
      </c>
      <c r="J802" s="24">
        <f t="shared" si="49"/>
        <v>450</v>
      </c>
      <c r="K802">
        <f t="shared" si="50"/>
        <v>0</v>
      </c>
      <c r="L802" t="str">
        <f t="shared" si="51"/>
        <v>Low Stock</v>
      </c>
    </row>
    <row r="803" spans="1:12" x14ac:dyDescent="0.45">
      <c r="A803" s="21" t="s">
        <v>338</v>
      </c>
      <c r="B803" s="7">
        <v>-1</v>
      </c>
      <c r="C803" s="7">
        <v>0</v>
      </c>
      <c r="D803" s="7">
        <v>2</v>
      </c>
      <c r="E803" s="7">
        <v>1</v>
      </c>
      <c r="F803" s="7">
        <v>1</v>
      </c>
      <c r="G803" s="16">
        <v>46087</v>
      </c>
      <c r="H803" s="16" t="str">
        <f t="shared" si="48"/>
        <v>Friday</v>
      </c>
      <c r="I803" s="12">
        <v>87</v>
      </c>
      <c r="J803" s="9">
        <f t="shared" si="49"/>
        <v>174</v>
      </c>
      <c r="K803">
        <f t="shared" si="50"/>
        <v>0</v>
      </c>
      <c r="L803" t="str">
        <f t="shared" si="51"/>
        <v>Low Stock</v>
      </c>
    </row>
    <row r="804" spans="1:12" x14ac:dyDescent="0.45">
      <c r="A804" s="20" t="s">
        <v>392</v>
      </c>
      <c r="B804" s="6">
        <v>-30</v>
      </c>
      <c r="C804" s="6">
        <v>0</v>
      </c>
      <c r="D804" s="6">
        <v>30</v>
      </c>
      <c r="E804" s="6">
        <v>3</v>
      </c>
      <c r="F804" s="6">
        <v>3</v>
      </c>
      <c r="G804" s="15">
        <v>46086</v>
      </c>
      <c r="H804" s="15" t="str">
        <f t="shared" si="48"/>
        <v>Thursday</v>
      </c>
      <c r="I804" s="11">
        <v>132</v>
      </c>
      <c r="J804" s="24">
        <f t="shared" si="49"/>
        <v>3960</v>
      </c>
      <c r="K804">
        <f t="shared" si="50"/>
        <v>0</v>
      </c>
      <c r="L804" t="str">
        <f t="shared" si="51"/>
        <v>Low Stock</v>
      </c>
    </row>
    <row r="805" spans="1:12" x14ac:dyDescent="0.45">
      <c r="A805" s="21" t="s">
        <v>894</v>
      </c>
      <c r="B805" s="7">
        <v>134</v>
      </c>
      <c r="C805" s="7">
        <v>28</v>
      </c>
      <c r="D805" s="7">
        <v>140</v>
      </c>
      <c r="E805" s="7">
        <v>49</v>
      </c>
      <c r="F805" s="7">
        <v>23</v>
      </c>
      <c r="G805" s="16">
        <v>46083</v>
      </c>
      <c r="H805" s="16" t="str">
        <f t="shared" si="48"/>
        <v>Monday</v>
      </c>
      <c r="I805" s="12">
        <v>103</v>
      </c>
      <c r="J805" s="9">
        <f t="shared" si="49"/>
        <v>14420</v>
      </c>
      <c r="K805">
        <f t="shared" si="50"/>
        <v>134</v>
      </c>
      <c r="L805" t="str">
        <f t="shared" si="51"/>
        <v>OK</v>
      </c>
    </row>
    <row r="806" spans="1:12" x14ac:dyDescent="0.45">
      <c r="A806" s="20" t="s">
        <v>952</v>
      </c>
      <c r="B806" s="6">
        <v>480</v>
      </c>
      <c r="C806" s="6">
        <v>20</v>
      </c>
      <c r="D806" s="6">
        <v>720</v>
      </c>
      <c r="E806" s="6">
        <v>6</v>
      </c>
      <c r="F806" s="6">
        <v>6</v>
      </c>
      <c r="G806" s="15">
        <v>46087</v>
      </c>
      <c r="H806" s="15" t="str">
        <f t="shared" si="48"/>
        <v>Friday</v>
      </c>
      <c r="I806" s="11">
        <v>106</v>
      </c>
      <c r="J806" s="24">
        <f t="shared" si="49"/>
        <v>76320</v>
      </c>
      <c r="K806">
        <f t="shared" si="50"/>
        <v>480</v>
      </c>
      <c r="L806" t="str">
        <f t="shared" si="51"/>
        <v>OK</v>
      </c>
    </row>
    <row r="807" spans="1:12" x14ac:dyDescent="0.45">
      <c r="A807" s="21" t="s">
        <v>1031</v>
      </c>
      <c r="B807" s="7">
        <v>30</v>
      </c>
      <c r="C807" s="7">
        <v>30</v>
      </c>
      <c r="D807" s="7">
        <v>30</v>
      </c>
      <c r="E807" s="7">
        <v>1</v>
      </c>
      <c r="F807" s="7">
        <v>1</v>
      </c>
      <c r="G807" s="16">
        <v>46082</v>
      </c>
      <c r="H807" s="16" t="str">
        <f t="shared" si="48"/>
        <v>Sunday</v>
      </c>
      <c r="I807" s="12">
        <v>109</v>
      </c>
      <c r="J807" s="9">
        <f t="shared" si="49"/>
        <v>3270</v>
      </c>
      <c r="K807">
        <f t="shared" si="50"/>
        <v>30</v>
      </c>
      <c r="L807" t="str">
        <f t="shared" si="51"/>
        <v>OK</v>
      </c>
    </row>
    <row r="808" spans="1:12" x14ac:dyDescent="0.45">
      <c r="A808" s="20" t="s">
        <v>107</v>
      </c>
      <c r="B808" s="6">
        <v>-70</v>
      </c>
      <c r="C808" s="6">
        <v>0</v>
      </c>
      <c r="D808" s="6">
        <v>170</v>
      </c>
      <c r="E808" s="6">
        <v>11</v>
      </c>
      <c r="F808" s="6">
        <v>9</v>
      </c>
      <c r="G808" s="15">
        <v>46082</v>
      </c>
      <c r="H808" s="15" t="str">
        <f t="shared" si="48"/>
        <v>Sunday</v>
      </c>
      <c r="I808" s="11">
        <v>77</v>
      </c>
      <c r="J808" s="24">
        <f t="shared" si="49"/>
        <v>13090</v>
      </c>
      <c r="K808">
        <f t="shared" si="50"/>
        <v>0</v>
      </c>
      <c r="L808" t="str">
        <f t="shared" si="51"/>
        <v>Low Stock</v>
      </c>
    </row>
    <row r="809" spans="1:12" x14ac:dyDescent="0.45">
      <c r="A809" s="21" t="s">
        <v>326</v>
      </c>
      <c r="B809" s="7">
        <v>0</v>
      </c>
      <c r="C809" s="7">
        <v>0</v>
      </c>
      <c r="D809" s="7">
        <v>10</v>
      </c>
      <c r="E809" s="7">
        <v>1</v>
      </c>
      <c r="F809" s="7">
        <v>1</v>
      </c>
      <c r="G809" s="16">
        <v>46086</v>
      </c>
      <c r="H809" s="16" t="str">
        <f t="shared" si="48"/>
        <v>Thursday</v>
      </c>
      <c r="I809" s="12">
        <v>108</v>
      </c>
      <c r="J809" s="9">
        <f t="shared" si="49"/>
        <v>1080</v>
      </c>
      <c r="K809">
        <f t="shared" si="50"/>
        <v>0</v>
      </c>
      <c r="L809" t="str">
        <f t="shared" si="51"/>
        <v>Low Stock</v>
      </c>
    </row>
    <row r="810" spans="1:12" x14ac:dyDescent="0.45">
      <c r="A810" s="20" t="s">
        <v>342</v>
      </c>
      <c r="B810" s="6">
        <v>-4</v>
      </c>
      <c r="C810" s="6">
        <v>0</v>
      </c>
      <c r="D810" s="6">
        <v>1</v>
      </c>
      <c r="E810" s="6">
        <v>1</v>
      </c>
      <c r="F810" s="6">
        <v>1</v>
      </c>
      <c r="G810" s="15">
        <v>46085</v>
      </c>
      <c r="H810" s="15" t="str">
        <f t="shared" si="48"/>
        <v>Wednesday</v>
      </c>
      <c r="I810" s="11">
        <v>139</v>
      </c>
      <c r="J810" s="24">
        <f t="shared" si="49"/>
        <v>139</v>
      </c>
      <c r="K810">
        <f t="shared" si="50"/>
        <v>0</v>
      </c>
      <c r="L810" t="str">
        <f t="shared" si="51"/>
        <v>Low Stock</v>
      </c>
    </row>
    <row r="811" spans="1:12" x14ac:dyDescent="0.45">
      <c r="A811" s="21" t="s">
        <v>393</v>
      </c>
      <c r="B811" s="7">
        <v>1</v>
      </c>
      <c r="C811" s="7">
        <v>7</v>
      </c>
      <c r="D811" s="7">
        <v>4</v>
      </c>
      <c r="E811" s="7">
        <v>4</v>
      </c>
      <c r="F811" s="7">
        <v>4</v>
      </c>
      <c r="G811" s="16">
        <v>46083</v>
      </c>
      <c r="H811" s="16" t="str">
        <f t="shared" si="48"/>
        <v>Monday</v>
      </c>
      <c r="I811" s="12">
        <v>150</v>
      </c>
      <c r="J811" s="9">
        <f t="shared" si="49"/>
        <v>600</v>
      </c>
      <c r="K811">
        <f t="shared" si="50"/>
        <v>1</v>
      </c>
      <c r="L811" t="str">
        <f t="shared" si="51"/>
        <v>Low Stock</v>
      </c>
    </row>
    <row r="812" spans="1:12" x14ac:dyDescent="0.45">
      <c r="A812" s="20" t="s">
        <v>494</v>
      </c>
      <c r="B812" s="6">
        <v>0</v>
      </c>
      <c r="C812" s="6">
        <v>0</v>
      </c>
      <c r="D812" s="6">
        <v>30</v>
      </c>
      <c r="E812" s="6">
        <v>2</v>
      </c>
      <c r="F812" s="6">
        <v>1</v>
      </c>
      <c r="G812" s="15">
        <v>46084</v>
      </c>
      <c r="H812" s="15" t="str">
        <f t="shared" si="48"/>
        <v>Tuesday</v>
      </c>
      <c r="I812" s="11">
        <v>115</v>
      </c>
      <c r="J812" s="24">
        <f t="shared" si="49"/>
        <v>3450</v>
      </c>
      <c r="K812">
        <f t="shared" si="50"/>
        <v>0</v>
      </c>
      <c r="L812" t="str">
        <f t="shared" si="51"/>
        <v>Low Stock</v>
      </c>
    </row>
    <row r="813" spans="1:12" x14ac:dyDescent="0.45">
      <c r="A813" s="21" t="s">
        <v>663</v>
      </c>
      <c r="B813" s="7">
        <v>15</v>
      </c>
      <c r="C813" s="7">
        <v>15</v>
      </c>
      <c r="D813" s="7">
        <v>30</v>
      </c>
      <c r="E813" s="7">
        <v>2</v>
      </c>
      <c r="F813" s="7">
        <v>2</v>
      </c>
      <c r="G813" s="16">
        <v>46085</v>
      </c>
      <c r="H813" s="16" t="str">
        <f t="shared" si="48"/>
        <v>Wednesday</v>
      </c>
      <c r="I813" s="12">
        <v>60</v>
      </c>
      <c r="J813" s="9">
        <f t="shared" si="49"/>
        <v>1800</v>
      </c>
      <c r="K813">
        <f t="shared" si="50"/>
        <v>15</v>
      </c>
      <c r="L813" t="str">
        <f t="shared" si="51"/>
        <v>OK</v>
      </c>
    </row>
    <row r="814" spans="1:12" x14ac:dyDescent="0.45">
      <c r="A814" s="20" t="s">
        <v>855</v>
      </c>
      <c r="B814" s="6">
        <v>9</v>
      </c>
      <c r="C814" s="6">
        <v>30</v>
      </c>
      <c r="D814" s="6">
        <v>9</v>
      </c>
      <c r="E814" s="6">
        <v>9</v>
      </c>
      <c r="F814" s="6">
        <v>8</v>
      </c>
      <c r="G814" s="15">
        <v>46085</v>
      </c>
      <c r="H814" s="15" t="str">
        <f t="shared" si="48"/>
        <v>Wednesday</v>
      </c>
      <c r="I814" s="11">
        <v>193</v>
      </c>
      <c r="J814" s="24">
        <f t="shared" si="49"/>
        <v>1737</v>
      </c>
      <c r="K814">
        <f t="shared" si="50"/>
        <v>9</v>
      </c>
      <c r="L814" t="str">
        <f t="shared" si="51"/>
        <v>OK</v>
      </c>
    </row>
    <row r="815" spans="1:12" x14ac:dyDescent="0.45">
      <c r="A815" s="21" t="s">
        <v>907</v>
      </c>
      <c r="B815" s="7">
        <v>45</v>
      </c>
      <c r="C815" s="7">
        <v>18</v>
      </c>
      <c r="D815" s="7">
        <v>75</v>
      </c>
      <c r="E815" s="7">
        <v>4</v>
      </c>
      <c r="F815" s="7">
        <v>4</v>
      </c>
      <c r="G815" s="16">
        <v>46082</v>
      </c>
      <c r="H815" s="16" t="str">
        <f t="shared" si="48"/>
        <v>Sunday</v>
      </c>
      <c r="I815" s="12">
        <v>126</v>
      </c>
      <c r="J815" s="9">
        <f t="shared" si="49"/>
        <v>9450</v>
      </c>
      <c r="K815">
        <f t="shared" si="50"/>
        <v>45</v>
      </c>
      <c r="L815" t="str">
        <f t="shared" si="51"/>
        <v>OK</v>
      </c>
    </row>
    <row r="816" spans="1:12" x14ac:dyDescent="0.45">
      <c r="A816" s="20" t="s">
        <v>943</v>
      </c>
      <c r="B816" s="6">
        <v>2</v>
      </c>
      <c r="C816" s="6">
        <v>20</v>
      </c>
      <c r="D816" s="6">
        <v>3</v>
      </c>
      <c r="E816" s="6">
        <v>2</v>
      </c>
      <c r="F816" s="6">
        <v>2</v>
      </c>
      <c r="G816" s="15">
        <v>46084</v>
      </c>
      <c r="H816" s="15" t="str">
        <f t="shared" si="48"/>
        <v>Tuesday</v>
      </c>
      <c r="I816" s="11">
        <v>190</v>
      </c>
      <c r="J816" s="24">
        <f t="shared" si="49"/>
        <v>570</v>
      </c>
      <c r="K816">
        <f t="shared" si="50"/>
        <v>2</v>
      </c>
      <c r="L816" t="str">
        <f t="shared" si="51"/>
        <v>Low Stock</v>
      </c>
    </row>
    <row r="817" spans="1:12" x14ac:dyDescent="0.45">
      <c r="A817" s="21" t="s">
        <v>1012</v>
      </c>
      <c r="B817" s="7">
        <v>70</v>
      </c>
      <c r="C817" s="7">
        <v>30</v>
      </c>
      <c r="D817" s="7">
        <v>70</v>
      </c>
      <c r="E817" s="7">
        <v>4</v>
      </c>
      <c r="F817" s="7">
        <v>3</v>
      </c>
      <c r="G817" s="16">
        <v>46086</v>
      </c>
      <c r="H817" s="16" t="str">
        <f t="shared" si="48"/>
        <v>Thursday</v>
      </c>
      <c r="I817" s="12">
        <v>91</v>
      </c>
      <c r="J817" s="9">
        <f t="shared" si="49"/>
        <v>6370</v>
      </c>
      <c r="K817">
        <f t="shared" si="50"/>
        <v>70</v>
      </c>
      <c r="L817" t="str">
        <f t="shared" si="51"/>
        <v>OK</v>
      </c>
    </row>
    <row r="818" spans="1:12" x14ac:dyDescent="0.45">
      <c r="A818" s="20" t="s">
        <v>33</v>
      </c>
      <c r="B818" s="6">
        <v>-45</v>
      </c>
      <c r="C818" s="6">
        <v>0</v>
      </c>
      <c r="D818" s="6">
        <v>120</v>
      </c>
      <c r="E818" s="6">
        <v>6</v>
      </c>
      <c r="F818" s="6">
        <v>6</v>
      </c>
      <c r="G818" s="15">
        <v>46086</v>
      </c>
      <c r="H818" s="15" t="str">
        <f t="shared" si="48"/>
        <v>Thursday</v>
      </c>
      <c r="I818" s="11">
        <v>146</v>
      </c>
      <c r="J818" s="24">
        <f t="shared" si="49"/>
        <v>17520</v>
      </c>
      <c r="K818">
        <f t="shared" si="50"/>
        <v>0</v>
      </c>
      <c r="L818" t="str">
        <f t="shared" si="51"/>
        <v>Low Stock</v>
      </c>
    </row>
    <row r="819" spans="1:12" x14ac:dyDescent="0.45">
      <c r="A819" s="21" t="s">
        <v>48</v>
      </c>
      <c r="B819" s="7">
        <v>-10</v>
      </c>
      <c r="C819" s="7">
        <v>0</v>
      </c>
      <c r="D819" s="7">
        <v>110</v>
      </c>
      <c r="E819" s="7">
        <v>10</v>
      </c>
      <c r="F819" s="7">
        <v>10</v>
      </c>
      <c r="G819" s="16">
        <v>46083</v>
      </c>
      <c r="H819" s="16" t="str">
        <f t="shared" si="48"/>
        <v>Monday</v>
      </c>
      <c r="I819" s="12">
        <v>122</v>
      </c>
      <c r="J819" s="9">
        <f t="shared" si="49"/>
        <v>13420</v>
      </c>
      <c r="K819">
        <f t="shared" si="50"/>
        <v>0</v>
      </c>
      <c r="L819" t="str">
        <f t="shared" si="51"/>
        <v>Low Stock</v>
      </c>
    </row>
    <row r="820" spans="1:12" x14ac:dyDescent="0.45">
      <c r="A820" s="20" t="s">
        <v>139</v>
      </c>
      <c r="B820" s="6">
        <v>-1</v>
      </c>
      <c r="C820" s="6">
        <v>0</v>
      </c>
      <c r="D820" s="6">
        <v>7</v>
      </c>
      <c r="E820" s="6">
        <v>7</v>
      </c>
      <c r="F820" s="6">
        <v>5</v>
      </c>
      <c r="G820" s="15">
        <v>46082</v>
      </c>
      <c r="H820" s="15" t="str">
        <f t="shared" si="48"/>
        <v>Sunday</v>
      </c>
      <c r="I820" s="11">
        <v>132</v>
      </c>
      <c r="J820" s="24">
        <f t="shared" si="49"/>
        <v>924</v>
      </c>
      <c r="K820">
        <f t="shared" si="50"/>
        <v>0</v>
      </c>
      <c r="L820" t="str">
        <f t="shared" si="51"/>
        <v>Low Stock</v>
      </c>
    </row>
    <row r="821" spans="1:12" x14ac:dyDescent="0.45">
      <c r="A821" s="21" t="s">
        <v>325</v>
      </c>
      <c r="B821" s="7">
        <v>-10</v>
      </c>
      <c r="C821" s="7">
        <v>0</v>
      </c>
      <c r="D821" s="7">
        <v>20</v>
      </c>
      <c r="E821" s="7">
        <v>2</v>
      </c>
      <c r="F821" s="7">
        <v>2</v>
      </c>
      <c r="G821" s="16">
        <v>46088</v>
      </c>
      <c r="H821" s="16" t="str">
        <f t="shared" si="48"/>
        <v>Saturday</v>
      </c>
      <c r="I821" s="12">
        <v>95</v>
      </c>
      <c r="J821" s="9">
        <f t="shared" si="49"/>
        <v>1900</v>
      </c>
      <c r="K821">
        <f t="shared" si="50"/>
        <v>0</v>
      </c>
      <c r="L821" t="str">
        <f t="shared" si="51"/>
        <v>Low Stock</v>
      </c>
    </row>
    <row r="822" spans="1:12" x14ac:dyDescent="0.45">
      <c r="A822" s="20" t="s">
        <v>462</v>
      </c>
      <c r="B822" s="6">
        <v>-2</v>
      </c>
      <c r="C822" s="6">
        <v>0</v>
      </c>
      <c r="D822" s="6">
        <v>30</v>
      </c>
      <c r="E822" s="6">
        <v>3</v>
      </c>
      <c r="F822" s="6">
        <v>3</v>
      </c>
      <c r="G822" s="15">
        <v>46082</v>
      </c>
      <c r="H822" s="15" t="str">
        <f t="shared" si="48"/>
        <v>Sunday</v>
      </c>
      <c r="I822" s="11">
        <v>80</v>
      </c>
      <c r="J822" s="24">
        <f t="shared" si="49"/>
        <v>2400</v>
      </c>
      <c r="K822">
        <f t="shared" si="50"/>
        <v>0</v>
      </c>
      <c r="L822" t="str">
        <f t="shared" si="51"/>
        <v>Low Stock</v>
      </c>
    </row>
    <row r="823" spans="1:12" x14ac:dyDescent="0.45">
      <c r="A823" s="21" t="s">
        <v>692</v>
      </c>
      <c r="B823" s="7">
        <v>27</v>
      </c>
      <c r="C823" s="7">
        <v>15</v>
      </c>
      <c r="D823" s="7">
        <v>51</v>
      </c>
      <c r="E823" s="7">
        <v>6</v>
      </c>
      <c r="F823" s="7">
        <v>5</v>
      </c>
      <c r="G823" s="16">
        <v>46084</v>
      </c>
      <c r="H823" s="16" t="str">
        <f t="shared" si="48"/>
        <v>Tuesday</v>
      </c>
      <c r="I823" s="12">
        <v>122</v>
      </c>
      <c r="J823" s="9">
        <f t="shared" si="49"/>
        <v>6222</v>
      </c>
      <c r="K823">
        <f t="shared" si="50"/>
        <v>27</v>
      </c>
      <c r="L823" t="str">
        <f t="shared" si="51"/>
        <v>OK</v>
      </c>
    </row>
    <row r="824" spans="1:12" x14ac:dyDescent="0.45">
      <c r="A824" s="20" t="s">
        <v>803</v>
      </c>
      <c r="B824" s="6">
        <v>30</v>
      </c>
      <c r="C824" s="6">
        <v>30</v>
      </c>
      <c r="D824" s="6">
        <v>30</v>
      </c>
      <c r="E824" s="6">
        <v>3</v>
      </c>
      <c r="F824" s="6">
        <v>3</v>
      </c>
      <c r="G824" s="15">
        <v>46086</v>
      </c>
      <c r="H824" s="15" t="str">
        <f t="shared" si="48"/>
        <v>Thursday</v>
      </c>
      <c r="I824" s="11">
        <v>149</v>
      </c>
      <c r="J824" s="24">
        <f t="shared" si="49"/>
        <v>4470</v>
      </c>
      <c r="K824">
        <f t="shared" si="50"/>
        <v>30</v>
      </c>
      <c r="L824" t="str">
        <f t="shared" si="51"/>
        <v>OK</v>
      </c>
    </row>
    <row r="825" spans="1:12" x14ac:dyDescent="0.45">
      <c r="A825" s="21" t="s">
        <v>941</v>
      </c>
      <c r="B825" s="7">
        <v>30</v>
      </c>
      <c r="C825" s="7">
        <v>20</v>
      </c>
      <c r="D825" s="7">
        <v>45</v>
      </c>
      <c r="E825" s="7">
        <v>3</v>
      </c>
      <c r="F825" s="7">
        <v>3</v>
      </c>
      <c r="G825" s="16">
        <v>46088</v>
      </c>
      <c r="H825" s="16" t="str">
        <f t="shared" si="48"/>
        <v>Saturday</v>
      </c>
      <c r="I825" s="12">
        <v>99</v>
      </c>
      <c r="J825" s="9">
        <f t="shared" si="49"/>
        <v>4455</v>
      </c>
      <c r="K825">
        <f t="shared" si="50"/>
        <v>30</v>
      </c>
      <c r="L825" t="str">
        <f t="shared" si="51"/>
        <v>OK</v>
      </c>
    </row>
    <row r="826" spans="1:12" x14ac:dyDescent="0.45">
      <c r="A826" s="20" t="s">
        <v>1127</v>
      </c>
      <c r="B826" s="6">
        <v>1</v>
      </c>
      <c r="C826" s="6">
        <v>30</v>
      </c>
      <c r="D826" s="6">
        <v>1</v>
      </c>
      <c r="E826" s="6">
        <v>1</v>
      </c>
      <c r="F826" s="6">
        <v>1</v>
      </c>
      <c r="G826" s="15">
        <v>46088</v>
      </c>
      <c r="H826" s="15" t="str">
        <f t="shared" si="48"/>
        <v>Saturday</v>
      </c>
      <c r="I826" s="11">
        <v>122</v>
      </c>
      <c r="J826" s="24">
        <f t="shared" si="49"/>
        <v>122</v>
      </c>
      <c r="K826">
        <f t="shared" si="50"/>
        <v>1</v>
      </c>
      <c r="L826" t="str">
        <f t="shared" si="51"/>
        <v>Low Stock</v>
      </c>
    </row>
    <row r="827" spans="1:12" x14ac:dyDescent="0.45">
      <c r="A827" s="21" t="s">
        <v>1149</v>
      </c>
      <c r="B827" s="7">
        <v>2</v>
      </c>
      <c r="C827" s="7">
        <v>30</v>
      </c>
      <c r="D827" s="7">
        <v>2</v>
      </c>
      <c r="E827" s="7">
        <v>2</v>
      </c>
      <c r="F827" s="7">
        <v>2</v>
      </c>
      <c r="G827" s="16">
        <v>46086</v>
      </c>
      <c r="H827" s="16" t="str">
        <f t="shared" si="48"/>
        <v>Thursday</v>
      </c>
      <c r="I827" s="12">
        <v>157</v>
      </c>
      <c r="J827" s="9">
        <f t="shared" si="49"/>
        <v>314</v>
      </c>
      <c r="K827">
        <f t="shared" si="50"/>
        <v>2</v>
      </c>
      <c r="L827" t="str">
        <f t="shared" si="51"/>
        <v>Low Stock</v>
      </c>
    </row>
    <row r="828" spans="1:12" x14ac:dyDescent="0.45">
      <c r="A828" s="20" t="s">
        <v>1245</v>
      </c>
      <c r="B828" s="6">
        <v>15</v>
      </c>
      <c r="C828" s="6">
        <v>30</v>
      </c>
      <c r="D828" s="6">
        <v>15</v>
      </c>
      <c r="E828" s="6">
        <v>1</v>
      </c>
      <c r="F828" s="6">
        <v>1</v>
      </c>
      <c r="G828" s="15">
        <v>46086</v>
      </c>
      <c r="H828" s="15" t="str">
        <f t="shared" si="48"/>
        <v>Thursday</v>
      </c>
      <c r="I828" s="11">
        <v>71</v>
      </c>
      <c r="J828" s="24">
        <f t="shared" si="49"/>
        <v>1065</v>
      </c>
      <c r="K828">
        <f t="shared" si="50"/>
        <v>15</v>
      </c>
      <c r="L828" t="str">
        <f t="shared" si="51"/>
        <v>OK</v>
      </c>
    </row>
    <row r="829" spans="1:12" x14ac:dyDescent="0.45">
      <c r="A829" s="21" t="s">
        <v>1251</v>
      </c>
      <c r="B829" s="7">
        <v>3</v>
      </c>
      <c r="C829" s="7">
        <v>30</v>
      </c>
      <c r="D829" s="7">
        <v>3</v>
      </c>
      <c r="E829" s="7">
        <v>3</v>
      </c>
      <c r="F829" s="7">
        <v>3</v>
      </c>
      <c r="G829" s="16">
        <v>46088</v>
      </c>
      <c r="H829" s="16" t="str">
        <f t="shared" si="48"/>
        <v>Saturday</v>
      </c>
      <c r="I829" s="12">
        <v>107</v>
      </c>
      <c r="J829" s="9">
        <f t="shared" si="49"/>
        <v>321</v>
      </c>
      <c r="K829">
        <f t="shared" si="50"/>
        <v>3</v>
      </c>
      <c r="L829" t="str">
        <f t="shared" si="51"/>
        <v>Low Stock</v>
      </c>
    </row>
    <row r="830" spans="1:12" x14ac:dyDescent="0.45">
      <c r="A830" s="20" t="s">
        <v>64</v>
      </c>
      <c r="B830" s="6">
        <v>-1</v>
      </c>
      <c r="C830" s="6">
        <v>0</v>
      </c>
      <c r="D830" s="6">
        <v>1</v>
      </c>
      <c r="E830" s="6">
        <v>1</v>
      </c>
      <c r="F830" s="6">
        <v>1</v>
      </c>
      <c r="G830" s="15">
        <v>46085</v>
      </c>
      <c r="H830" s="15" t="str">
        <f t="shared" si="48"/>
        <v>Wednesday</v>
      </c>
      <c r="I830" s="11">
        <v>82</v>
      </c>
      <c r="J830" s="24">
        <f t="shared" si="49"/>
        <v>82</v>
      </c>
      <c r="K830">
        <f t="shared" si="50"/>
        <v>0</v>
      </c>
      <c r="L830" t="str">
        <f t="shared" si="51"/>
        <v>Low Stock</v>
      </c>
    </row>
    <row r="831" spans="1:12" x14ac:dyDescent="0.45">
      <c r="A831" s="21" t="s">
        <v>114</v>
      </c>
      <c r="B831" s="7">
        <v>10</v>
      </c>
      <c r="C831" s="7">
        <v>5</v>
      </c>
      <c r="D831" s="7">
        <v>60</v>
      </c>
      <c r="E831" s="7">
        <v>3</v>
      </c>
      <c r="F831" s="7">
        <v>2</v>
      </c>
      <c r="G831" s="16">
        <v>46084</v>
      </c>
      <c r="H831" s="16" t="str">
        <f t="shared" si="48"/>
        <v>Tuesday</v>
      </c>
      <c r="I831" s="12">
        <v>109</v>
      </c>
      <c r="J831" s="9">
        <f t="shared" si="49"/>
        <v>6540</v>
      </c>
      <c r="K831">
        <f t="shared" si="50"/>
        <v>10</v>
      </c>
      <c r="L831" t="str">
        <f t="shared" si="51"/>
        <v>OK</v>
      </c>
    </row>
    <row r="832" spans="1:12" x14ac:dyDescent="0.45">
      <c r="A832" s="20" t="s">
        <v>167</v>
      </c>
      <c r="B832" s="6">
        <v>-5</v>
      </c>
      <c r="C832" s="6">
        <v>0</v>
      </c>
      <c r="D832" s="6">
        <v>25</v>
      </c>
      <c r="E832" s="6">
        <v>2</v>
      </c>
      <c r="F832" s="6">
        <v>2</v>
      </c>
      <c r="G832" s="15">
        <v>46085</v>
      </c>
      <c r="H832" s="15" t="str">
        <f t="shared" si="48"/>
        <v>Wednesday</v>
      </c>
      <c r="I832" s="11">
        <v>64</v>
      </c>
      <c r="J832" s="24">
        <f t="shared" si="49"/>
        <v>1600</v>
      </c>
      <c r="K832">
        <f t="shared" si="50"/>
        <v>0</v>
      </c>
      <c r="L832" t="str">
        <f t="shared" si="51"/>
        <v>Low Stock</v>
      </c>
    </row>
    <row r="833" spans="1:12" x14ac:dyDescent="0.45">
      <c r="A833" s="21" t="s">
        <v>196</v>
      </c>
      <c r="B833" s="7">
        <v>0</v>
      </c>
      <c r="C833" s="7">
        <v>0</v>
      </c>
      <c r="D833" s="7">
        <v>20</v>
      </c>
      <c r="E833" s="7">
        <v>1</v>
      </c>
      <c r="F833" s="7">
        <v>1</v>
      </c>
      <c r="G833" s="16">
        <v>46087</v>
      </c>
      <c r="H833" s="16" t="str">
        <f t="shared" si="48"/>
        <v>Friday</v>
      </c>
      <c r="I833" s="12">
        <v>96</v>
      </c>
      <c r="J833" s="9">
        <f t="shared" si="49"/>
        <v>1920</v>
      </c>
      <c r="K833">
        <f t="shared" si="50"/>
        <v>0</v>
      </c>
      <c r="L833" t="str">
        <f t="shared" si="51"/>
        <v>Low Stock</v>
      </c>
    </row>
    <row r="834" spans="1:12" x14ac:dyDescent="0.45">
      <c r="A834" s="20" t="s">
        <v>516</v>
      </c>
      <c r="B834" s="6">
        <v>15</v>
      </c>
      <c r="C834" s="6">
        <v>9</v>
      </c>
      <c r="D834" s="6">
        <v>50</v>
      </c>
      <c r="E834" s="6">
        <v>5</v>
      </c>
      <c r="F834" s="6">
        <v>5</v>
      </c>
      <c r="G834" s="15">
        <v>46083</v>
      </c>
      <c r="H834" s="15" t="str">
        <f t="shared" ref="H834:H897" si="52">TEXT(G834,"dddd")</f>
        <v>Monday</v>
      </c>
      <c r="I834" s="11">
        <v>61</v>
      </c>
      <c r="J834" s="24">
        <f t="shared" ref="J834:J897" si="53">D834*I834</f>
        <v>3050</v>
      </c>
      <c r="K834">
        <f t="shared" ref="K834:K897" si="54">IF(B834&lt;0,0,B834)</f>
        <v>15</v>
      </c>
      <c r="L834" t="str">
        <f t="shared" ref="L834:L897" si="55">IF(K834&lt;5,"Low Stock","OK")</f>
        <v>OK</v>
      </c>
    </row>
    <row r="835" spans="1:12" x14ac:dyDescent="0.45">
      <c r="A835" s="21" t="s">
        <v>798</v>
      </c>
      <c r="B835" s="7">
        <v>42</v>
      </c>
      <c r="C835" s="7">
        <v>30</v>
      </c>
      <c r="D835" s="7">
        <v>42</v>
      </c>
      <c r="E835" s="7">
        <v>2</v>
      </c>
      <c r="F835" s="7">
        <v>2</v>
      </c>
      <c r="G835" s="16">
        <v>46082</v>
      </c>
      <c r="H835" s="16" t="str">
        <f t="shared" si="52"/>
        <v>Sunday</v>
      </c>
      <c r="I835" s="12">
        <v>112</v>
      </c>
      <c r="J835" s="9">
        <f t="shared" si="53"/>
        <v>4704</v>
      </c>
      <c r="K835">
        <f t="shared" si="54"/>
        <v>42</v>
      </c>
      <c r="L835" t="str">
        <f t="shared" si="55"/>
        <v>OK</v>
      </c>
    </row>
    <row r="836" spans="1:12" x14ac:dyDescent="0.45">
      <c r="A836" s="20" t="s">
        <v>843</v>
      </c>
      <c r="B836" s="6">
        <v>2</v>
      </c>
      <c r="C836" s="6">
        <v>30</v>
      </c>
      <c r="D836" s="6">
        <v>2</v>
      </c>
      <c r="E836" s="6">
        <v>2</v>
      </c>
      <c r="F836" s="6">
        <v>2</v>
      </c>
      <c r="G836" s="15">
        <v>46087</v>
      </c>
      <c r="H836" s="15" t="str">
        <f t="shared" si="52"/>
        <v>Friday</v>
      </c>
      <c r="I836" s="11">
        <v>191</v>
      </c>
      <c r="J836" s="24">
        <f t="shared" si="53"/>
        <v>382</v>
      </c>
      <c r="K836">
        <f t="shared" si="54"/>
        <v>2</v>
      </c>
      <c r="L836" t="str">
        <f t="shared" si="55"/>
        <v>Low Stock</v>
      </c>
    </row>
    <row r="837" spans="1:12" x14ac:dyDescent="0.45">
      <c r="A837" s="21" t="s">
        <v>845</v>
      </c>
      <c r="B837" s="7">
        <v>30</v>
      </c>
      <c r="C837" s="7">
        <v>30</v>
      </c>
      <c r="D837" s="7">
        <v>30</v>
      </c>
      <c r="E837" s="7">
        <v>3</v>
      </c>
      <c r="F837" s="7">
        <v>3</v>
      </c>
      <c r="G837" s="16">
        <v>46082</v>
      </c>
      <c r="H837" s="16" t="str">
        <f t="shared" si="52"/>
        <v>Sunday</v>
      </c>
      <c r="I837" s="12">
        <v>116</v>
      </c>
      <c r="J837" s="9">
        <f t="shared" si="53"/>
        <v>3480</v>
      </c>
      <c r="K837">
        <f t="shared" si="54"/>
        <v>30</v>
      </c>
      <c r="L837" t="str">
        <f t="shared" si="55"/>
        <v>OK</v>
      </c>
    </row>
    <row r="838" spans="1:12" x14ac:dyDescent="0.45">
      <c r="A838" s="20" t="s">
        <v>1072</v>
      </c>
      <c r="B838" s="6">
        <v>100</v>
      </c>
      <c r="C838" s="6">
        <v>30</v>
      </c>
      <c r="D838" s="6">
        <v>100</v>
      </c>
      <c r="E838" s="6">
        <v>1</v>
      </c>
      <c r="F838" s="6">
        <v>1</v>
      </c>
      <c r="G838" s="15">
        <v>46085</v>
      </c>
      <c r="H838" s="15" t="str">
        <f t="shared" si="52"/>
        <v>Wednesday</v>
      </c>
      <c r="I838" s="11">
        <v>77</v>
      </c>
      <c r="J838" s="24">
        <f t="shared" si="53"/>
        <v>7700</v>
      </c>
      <c r="K838">
        <f t="shared" si="54"/>
        <v>100</v>
      </c>
      <c r="L838" t="str">
        <f t="shared" si="55"/>
        <v>OK</v>
      </c>
    </row>
    <row r="839" spans="1:12" x14ac:dyDescent="0.45">
      <c r="A839" s="21" t="s">
        <v>1122</v>
      </c>
      <c r="B839" s="7">
        <v>10</v>
      </c>
      <c r="C839" s="7">
        <v>30</v>
      </c>
      <c r="D839" s="7">
        <v>10</v>
      </c>
      <c r="E839" s="7">
        <v>1</v>
      </c>
      <c r="F839" s="7">
        <v>1</v>
      </c>
      <c r="G839" s="16">
        <v>46082</v>
      </c>
      <c r="H839" s="16" t="str">
        <f t="shared" si="52"/>
        <v>Sunday</v>
      </c>
      <c r="I839" s="12">
        <v>113</v>
      </c>
      <c r="J839" s="9">
        <f t="shared" si="53"/>
        <v>1130</v>
      </c>
      <c r="K839">
        <f t="shared" si="54"/>
        <v>10</v>
      </c>
      <c r="L839" t="str">
        <f t="shared" si="55"/>
        <v>OK</v>
      </c>
    </row>
    <row r="840" spans="1:12" x14ac:dyDescent="0.45">
      <c r="A840" s="20" t="s">
        <v>1235</v>
      </c>
      <c r="B840" s="6">
        <v>10</v>
      </c>
      <c r="C840" s="6">
        <v>30</v>
      </c>
      <c r="D840" s="6">
        <v>10</v>
      </c>
      <c r="E840" s="6">
        <v>1</v>
      </c>
      <c r="F840" s="6">
        <v>1</v>
      </c>
      <c r="G840" s="15">
        <v>46083</v>
      </c>
      <c r="H840" s="15" t="str">
        <f t="shared" si="52"/>
        <v>Monday</v>
      </c>
      <c r="I840" s="11">
        <v>123</v>
      </c>
      <c r="J840" s="24">
        <f t="shared" si="53"/>
        <v>1230</v>
      </c>
      <c r="K840">
        <f t="shared" si="54"/>
        <v>10</v>
      </c>
      <c r="L840" t="str">
        <f t="shared" si="55"/>
        <v>OK</v>
      </c>
    </row>
    <row r="841" spans="1:12" x14ac:dyDescent="0.45">
      <c r="A841" s="21" t="s">
        <v>26</v>
      </c>
      <c r="B841" s="7">
        <v>-11</v>
      </c>
      <c r="C841" s="7">
        <v>0</v>
      </c>
      <c r="D841" s="7">
        <v>4</v>
      </c>
      <c r="E841" s="7">
        <v>3</v>
      </c>
      <c r="F841" s="7">
        <v>3</v>
      </c>
      <c r="G841" s="16">
        <v>46083</v>
      </c>
      <c r="H841" s="16" t="str">
        <f t="shared" si="52"/>
        <v>Monday</v>
      </c>
      <c r="I841" s="12">
        <v>131</v>
      </c>
      <c r="J841" s="9">
        <f t="shared" si="53"/>
        <v>524</v>
      </c>
      <c r="K841">
        <f t="shared" si="54"/>
        <v>0</v>
      </c>
      <c r="L841" t="str">
        <f t="shared" si="55"/>
        <v>Low Stock</v>
      </c>
    </row>
    <row r="842" spans="1:12" x14ac:dyDescent="0.45">
      <c r="A842" s="20" t="s">
        <v>380</v>
      </c>
      <c r="B842" s="6">
        <v>-3</v>
      </c>
      <c r="C842" s="6">
        <v>0</v>
      </c>
      <c r="D842" s="6">
        <v>1</v>
      </c>
      <c r="E842" s="6">
        <v>1</v>
      </c>
      <c r="F842" s="6">
        <v>1</v>
      </c>
      <c r="G842" s="15">
        <v>46085</v>
      </c>
      <c r="H842" s="15" t="str">
        <f t="shared" si="52"/>
        <v>Wednesday</v>
      </c>
      <c r="I842" s="11">
        <v>112</v>
      </c>
      <c r="J842" s="24">
        <f t="shared" si="53"/>
        <v>112</v>
      </c>
      <c r="K842">
        <f t="shared" si="54"/>
        <v>0</v>
      </c>
      <c r="L842" t="str">
        <f t="shared" si="55"/>
        <v>Low Stock</v>
      </c>
    </row>
    <row r="843" spans="1:12" x14ac:dyDescent="0.45">
      <c r="A843" s="21" t="s">
        <v>401</v>
      </c>
      <c r="B843" s="7">
        <v>6</v>
      </c>
      <c r="C843" s="7">
        <v>2</v>
      </c>
      <c r="D843" s="7">
        <v>85</v>
      </c>
      <c r="E843" s="7">
        <v>5</v>
      </c>
      <c r="F843" s="7">
        <v>5</v>
      </c>
      <c r="G843" s="16">
        <v>46086</v>
      </c>
      <c r="H843" s="16" t="str">
        <f t="shared" si="52"/>
        <v>Thursday</v>
      </c>
      <c r="I843" s="12">
        <v>109</v>
      </c>
      <c r="J843" s="9">
        <f t="shared" si="53"/>
        <v>9265</v>
      </c>
      <c r="K843">
        <f t="shared" si="54"/>
        <v>6</v>
      </c>
      <c r="L843" t="str">
        <f t="shared" si="55"/>
        <v>OK</v>
      </c>
    </row>
    <row r="844" spans="1:12" x14ac:dyDescent="0.45">
      <c r="A844" s="20" t="s">
        <v>502</v>
      </c>
      <c r="B844" s="6"/>
      <c r="C844" s="6"/>
      <c r="D844" s="6"/>
      <c r="E844" s="6"/>
      <c r="F844" s="6"/>
      <c r="G844" s="15">
        <v>46082</v>
      </c>
      <c r="H844" s="15" t="str">
        <f t="shared" si="52"/>
        <v>Sunday</v>
      </c>
      <c r="I844" s="11">
        <v>146</v>
      </c>
      <c r="J844" s="24">
        <f t="shared" si="53"/>
        <v>0</v>
      </c>
      <c r="K844">
        <f t="shared" si="54"/>
        <v>0</v>
      </c>
      <c r="L844" t="str">
        <f t="shared" si="55"/>
        <v>Low Stock</v>
      </c>
    </row>
    <row r="845" spans="1:12" x14ac:dyDescent="0.45">
      <c r="A845" s="21" t="s">
        <v>699</v>
      </c>
      <c r="B845" s="7">
        <v>20</v>
      </c>
      <c r="C845" s="7">
        <v>15</v>
      </c>
      <c r="D845" s="7">
        <v>40</v>
      </c>
      <c r="E845" s="7">
        <v>3</v>
      </c>
      <c r="F845" s="7">
        <v>2</v>
      </c>
      <c r="G845" s="16">
        <v>46084</v>
      </c>
      <c r="H845" s="16" t="str">
        <f t="shared" si="52"/>
        <v>Tuesday</v>
      </c>
      <c r="I845" s="12">
        <v>114</v>
      </c>
      <c r="J845" s="9">
        <f t="shared" si="53"/>
        <v>4560</v>
      </c>
      <c r="K845">
        <f t="shared" si="54"/>
        <v>20</v>
      </c>
      <c r="L845" t="str">
        <f t="shared" si="55"/>
        <v>OK</v>
      </c>
    </row>
    <row r="846" spans="1:12" x14ac:dyDescent="0.45">
      <c r="A846" s="20" t="s">
        <v>782</v>
      </c>
      <c r="B846" s="6">
        <v>60</v>
      </c>
      <c r="C846" s="6">
        <v>30</v>
      </c>
      <c r="D846" s="6">
        <v>60</v>
      </c>
      <c r="E846" s="6">
        <v>3</v>
      </c>
      <c r="F846" s="6">
        <v>3</v>
      </c>
      <c r="G846" s="15">
        <v>46088</v>
      </c>
      <c r="H846" s="15" t="str">
        <f t="shared" si="52"/>
        <v>Saturday</v>
      </c>
      <c r="I846" s="11">
        <v>105</v>
      </c>
      <c r="J846" s="24">
        <f t="shared" si="53"/>
        <v>6300</v>
      </c>
      <c r="K846">
        <f t="shared" si="54"/>
        <v>60</v>
      </c>
      <c r="L846" t="str">
        <f t="shared" si="55"/>
        <v>OK</v>
      </c>
    </row>
    <row r="847" spans="1:12" x14ac:dyDescent="0.45">
      <c r="A847" s="21" t="s">
        <v>840</v>
      </c>
      <c r="B847" s="7">
        <v>45</v>
      </c>
      <c r="C847" s="7">
        <v>22</v>
      </c>
      <c r="D847" s="7">
        <v>60</v>
      </c>
      <c r="E847" s="7">
        <v>4</v>
      </c>
      <c r="F847" s="7">
        <v>4</v>
      </c>
      <c r="G847" s="16">
        <v>46086</v>
      </c>
      <c r="H847" s="16" t="str">
        <f t="shared" si="52"/>
        <v>Thursday</v>
      </c>
      <c r="I847" s="12">
        <v>134</v>
      </c>
      <c r="J847" s="9">
        <f t="shared" si="53"/>
        <v>8040</v>
      </c>
      <c r="K847">
        <f t="shared" si="54"/>
        <v>45</v>
      </c>
      <c r="L847" t="str">
        <f t="shared" si="55"/>
        <v>OK</v>
      </c>
    </row>
    <row r="848" spans="1:12" x14ac:dyDescent="0.45">
      <c r="A848" s="20" t="s">
        <v>1010</v>
      </c>
      <c r="B848" s="6">
        <v>1</v>
      </c>
      <c r="C848" s="6">
        <v>30</v>
      </c>
      <c r="D848" s="6">
        <v>1</v>
      </c>
      <c r="E848" s="6">
        <v>1</v>
      </c>
      <c r="F848" s="6">
        <v>1</v>
      </c>
      <c r="G848" s="15">
        <v>46084</v>
      </c>
      <c r="H848" s="15" t="str">
        <f t="shared" si="52"/>
        <v>Tuesday</v>
      </c>
      <c r="I848" s="11">
        <v>123</v>
      </c>
      <c r="J848" s="24">
        <f t="shared" si="53"/>
        <v>123</v>
      </c>
      <c r="K848">
        <f t="shared" si="54"/>
        <v>1</v>
      </c>
      <c r="L848" t="str">
        <f t="shared" si="55"/>
        <v>Low Stock</v>
      </c>
    </row>
    <row r="849" spans="1:12" x14ac:dyDescent="0.45">
      <c r="A849" s="21" t="s">
        <v>1088</v>
      </c>
      <c r="B849" s="7">
        <v>2</v>
      </c>
      <c r="C849" s="7">
        <v>30</v>
      </c>
      <c r="D849" s="7">
        <v>2</v>
      </c>
      <c r="E849" s="7">
        <v>2</v>
      </c>
      <c r="F849" s="7">
        <v>2</v>
      </c>
      <c r="G849" s="16">
        <v>46084</v>
      </c>
      <c r="H849" s="16" t="str">
        <f t="shared" si="52"/>
        <v>Tuesday</v>
      </c>
      <c r="I849" s="12">
        <v>78</v>
      </c>
      <c r="J849" s="9">
        <f t="shared" si="53"/>
        <v>156</v>
      </c>
      <c r="K849">
        <f t="shared" si="54"/>
        <v>2</v>
      </c>
      <c r="L849" t="str">
        <f t="shared" si="55"/>
        <v>Low Stock</v>
      </c>
    </row>
    <row r="850" spans="1:12" x14ac:dyDescent="0.45">
      <c r="A850" s="20" t="s">
        <v>1167</v>
      </c>
      <c r="B850" s="6">
        <v>3</v>
      </c>
      <c r="C850" s="6">
        <v>30</v>
      </c>
      <c r="D850" s="6">
        <v>3</v>
      </c>
      <c r="E850" s="6">
        <v>1</v>
      </c>
      <c r="F850" s="6">
        <v>1</v>
      </c>
      <c r="G850" s="15">
        <v>46087</v>
      </c>
      <c r="H850" s="15" t="str">
        <f t="shared" si="52"/>
        <v>Friday</v>
      </c>
      <c r="I850" s="11">
        <v>127</v>
      </c>
      <c r="J850" s="24">
        <f t="shared" si="53"/>
        <v>381</v>
      </c>
      <c r="K850">
        <f t="shared" si="54"/>
        <v>3</v>
      </c>
      <c r="L850" t="str">
        <f t="shared" si="55"/>
        <v>Low Stock</v>
      </c>
    </row>
    <row r="851" spans="1:12" x14ac:dyDescent="0.45">
      <c r="A851" s="21" t="s">
        <v>1169</v>
      </c>
      <c r="B851" s="7">
        <v>60</v>
      </c>
      <c r="C851" s="7">
        <v>30</v>
      </c>
      <c r="D851" s="7">
        <v>60</v>
      </c>
      <c r="E851" s="7">
        <v>2</v>
      </c>
      <c r="F851" s="7">
        <v>2</v>
      </c>
      <c r="G851" s="16">
        <v>46084</v>
      </c>
      <c r="H851" s="16" t="str">
        <f t="shared" si="52"/>
        <v>Tuesday</v>
      </c>
      <c r="I851" s="12">
        <v>125</v>
      </c>
      <c r="J851" s="9">
        <f t="shared" si="53"/>
        <v>7500</v>
      </c>
      <c r="K851">
        <f t="shared" si="54"/>
        <v>60</v>
      </c>
      <c r="L851" t="str">
        <f t="shared" si="55"/>
        <v>OK</v>
      </c>
    </row>
    <row r="852" spans="1:12" x14ac:dyDescent="0.45">
      <c r="A852" s="20" t="s">
        <v>1203</v>
      </c>
      <c r="B852" s="6">
        <v>20</v>
      </c>
      <c r="C852" s="6">
        <v>30</v>
      </c>
      <c r="D852" s="6">
        <v>20</v>
      </c>
      <c r="E852" s="6">
        <v>1</v>
      </c>
      <c r="F852" s="6">
        <v>1</v>
      </c>
      <c r="G852" s="15">
        <v>46087</v>
      </c>
      <c r="H852" s="15" t="str">
        <f t="shared" si="52"/>
        <v>Friday</v>
      </c>
      <c r="I852" s="11">
        <v>179</v>
      </c>
      <c r="J852" s="24">
        <f t="shared" si="53"/>
        <v>3580</v>
      </c>
      <c r="K852">
        <f t="shared" si="54"/>
        <v>20</v>
      </c>
      <c r="L852" t="str">
        <f t="shared" si="55"/>
        <v>OK</v>
      </c>
    </row>
    <row r="853" spans="1:12" x14ac:dyDescent="0.45">
      <c r="A853" s="21" t="s">
        <v>1220</v>
      </c>
      <c r="B853" s="7">
        <v>20</v>
      </c>
      <c r="C853" s="7">
        <v>30</v>
      </c>
      <c r="D853" s="7">
        <v>20</v>
      </c>
      <c r="E853" s="7">
        <v>1</v>
      </c>
      <c r="F853" s="7">
        <v>1</v>
      </c>
      <c r="G853" s="16">
        <v>46088</v>
      </c>
      <c r="H853" s="16" t="str">
        <f t="shared" si="52"/>
        <v>Saturday</v>
      </c>
      <c r="I853" s="12">
        <v>121</v>
      </c>
      <c r="J853" s="9">
        <f t="shared" si="53"/>
        <v>2420</v>
      </c>
      <c r="K853">
        <f t="shared" si="54"/>
        <v>20</v>
      </c>
      <c r="L853" t="str">
        <f t="shared" si="55"/>
        <v>OK</v>
      </c>
    </row>
    <row r="854" spans="1:12" x14ac:dyDescent="0.45">
      <c r="A854" s="20" t="s">
        <v>126</v>
      </c>
      <c r="B854" s="6">
        <v>50</v>
      </c>
      <c r="C854" s="6">
        <v>3</v>
      </c>
      <c r="D854" s="6">
        <v>429</v>
      </c>
      <c r="E854" s="6">
        <v>13</v>
      </c>
      <c r="F854" s="6">
        <v>8</v>
      </c>
      <c r="G854" s="15">
        <v>46084</v>
      </c>
      <c r="H854" s="15" t="str">
        <f t="shared" si="52"/>
        <v>Tuesday</v>
      </c>
      <c r="I854" s="11">
        <v>62</v>
      </c>
      <c r="J854" s="24">
        <f t="shared" si="53"/>
        <v>26598</v>
      </c>
      <c r="K854">
        <f t="shared" si="54"/>
        <v>50</v>
      </c>
      <c r="L854" t="str">
        <f t="shared" si="55"/>
        <v>OK</v>
      </c>
    </row>
    <row r="855" spans="1:12" x14ac:dyDescent="0.45">
      <c r="A855" s="21" t="s">
        <v>144</v>
      </c>
      <c r="B855" s="7">
        <v>-60</v>
      </c>
      <c r="C855" s="7">
        <v>0</v>
      </c>
      <c r="D855" s="7">
        <v>60</v>
      </c>
      <c r="E855" s="7">
        <v>4</v>
      </c>
      <c r="F855" s="7">
        <v>4</v>
      </c>
      <c r="G855" s="16">
        <v>46085</v>
      </c>
      <c r="H855" s="16" t="str">
        <f t="shared" si="52"/>
        <v>Wednesday</v>
      </c>
      <c r="I855" s="12">
        <v>148</v>
      </c>
      <c r="J855" s="9">
        <f t="shared" si="53"/>
        <v>8880</v>
      </c>
      <c r="K855">
        <f t="shared" si="54"/>
        <v>0</v>
      </c>
      <c r="L855" t="str">
        <f t="shared" si="55"/>
        <v>Low Stock</v>
      </c>
    </row>
    <row r="856" spans="1:12" x14ac:dyDescent="0.45">
      <c r="A856" s="20" t="s">
        <v>177</v>
      </c>
      <c r="B856" s="6">
        <v>0</v>
      </c>
      <c r="C856" s="6">
        <v>0</v>
      </c>
      <c r="D856" s="6">
        <v>45</v>
      </c>
      <c r="E856" s="6">
        <v>3</v>
      </c>
      <c r="F856" s="6">
        <v>3</v>
      </c>
      <c r="G856" s="15">
        <v>46085</v>
      </c>
      <c r="H856" s="15" t="str">
        <f t="shared" si="52"/>
        <v>Wednesday</v>
      </c>
      <c r="I856" s="11">
        <v>118</v>
      </c>
      <c r="J856" s="24">
        <f t="shared" si="53"/>
        <v>5310</v>
      </c>
      <c r="K856">
        <f t="shared" si="54"/>
        <v>0</v>
      </c>
      <c r="L856" t="str">
        <f t="shared" si="55"/>
        <v>Low Stock</v>
      </c>
    </row>
    <row r="857" spans="1:12" x14ac:dyDescent="0.45">
      <c r="A857" s="21" t="s">
        <v>332</v>
      </c>
      <c r="B857" s="7">
        <v>-10</v>
      </c>
      <c r="C857" s="7">
        <v>0</v>
      </c>
      <c r="D857" s="7">
        <v>10</v>
      </c>
      <c r="E857" s="7">
        <v>1</v>
      </c>
      <c r="F857" s="7">
        <v>1</v>
      </c>
      <c r="G857" s="16">
        <v>46087</v>
      </c>
      <c r="H857" s="16" t="str">
        <f t="shared" si="52"/>
        <v>Friday</v>
      </c>
      <c r="I857" s="12">
        <v>85</v>
      </c>
      <c r="J857" s="9">
        <f t="shared" si="53"/>
        <v>850</v>
      </c>
      <c r="K857">
        <f t="shared" si="54"/>
        <v>0</v>
      </c>
      <c r="L857" t="str">
        <f t="shared" si="55"/>
        <v>Low Stock</v>
      </c>
    </row>
    <row r="858" spans="1:12" x14ac:dyDescent="0.45">
      <c r="A858" s="20" t="s">
        <v>377</v>
      </c>
      <c r="B858" s="6">
        <v>-11</v>
      </c>
      <c r="C858" s="6">
        <v>0</v>
      </c>
      <c r="D858" s="6">
        <v>1</v>
      </c>
      <c r="E858" s="6">
        <v>1</v>
      </c>
      <c r="F858" s="6">
        <v>1</v>
      </c>
      <c r="G858" s="15">
        <v>46083</v>
      </c>
      <c r="H858" s="15" t="str">
        <f t="shared" si="52"/>
        <v>Monday</v>
      </c>
      <c r="I858" s="11">
        <v>141</v>
      </c>
      <c r="J858" s="24">
        <f t="shared" si="53"/>
        <v>141</v>
      </c>
      <c r="K858">
        <f t="shared" si="54"/>
        <v>0</v>
      </c>
      <c r="L858" t="str">
        <f t="shared" si="55"/>
        <v>Low Stock</v>
      </c>
    </row>
    <row r="859" spans="1:12" x14ac:dyDescent="0.45">
      <c r="A859" s="21" t="s">
        <v>461</v>
      </c>
      <c r="B859" s="7">
        <v>-10</v>
      </c>
      <c r="C859" s="7">
        <v>0</v>
      </c>
      <c r="D859" s="7">
        <v>10</v>
      </c>
      <c r="E859" s="7">
        <v>1</v>
      </c>
      <c r="F859" s="7">
        <v>1</v>
      </c>
      <c r="G859" s="16">
        <v>46083</v>
      </c>
      <c r="H859" s="16" t="str">
        <f t="shared" si="52"/>
        <v>Monday</v>
      </c>
      <c r="I859" s="12">
        <v>112</v>
      </c>
      <c r="J859" s="9">
        <f t="shared" si="53"/>
        <v>1120</v>
      </c>
      <c r="K859">
        <f t="shared" si="54"/>
        <v>0</v>
      </c>
      <c r="L859" t="str">
        <f t="shared" si="55"/>
        <v>Low Stock</v>
      </c>
    </row>
    <row r="860" spans="1:12" x14ac:dyDescent="0.45">
      <c r="A860" s="20" t="s">
        <v>496</v>
      </c>
      <c r="B860" s="6">
        <v>-30</v>
      </c>
      <c r="C860" s="6">
        <v>0</v>
      </c>
      <c r="D860" s="6">
        <v>10</v>
      </c>
      <c r="E860" s="6">
        <v>1</v>
      </c>
      <c r="F860" s="6">
        <v>1</v>
      </c>
      <c r="G860" s="15">
        <v>46088</v>
      </c>
      <c r="H860" s="15" t="str">
        <f t="shared" si="52"/>
        <v>Saturday</v>
      </c>
      <c r="I860" s="11">
        <v>81</v>
      </c>
      <c r="J860" s="24">
        <f t="shared" si="53"/>
        <v>810</v>
      </c>
      <c r="K860">
        <f t="shared" si="54"/>
        <v>0</v>
      </c>
      <c r="L860" t="str">
        <f t="shared" si="55"/>
        <v>Low Stock</v>
      </c>
    </row>
    <row r="861" spans="1:12" x14ac:dyDescent="0.45">
      <c r="A861" s="21" t="s">
        <v>569</v>
      </c>
      <c r="B861" s="7">
        <v>30</v>
      </c>
      <c r="C861" s="7">
        <v>15</v>
      </c>
      <c r="D861" s="7">
        <v>60</v>
      </c>
      <c r="E861" s="7">
        <v>4</v>
      </c>
      <c r="F861" s="7">
        <v>4</v>
      </c>
      <c r="G861" s="16">
        <v>46082</v>
      </c>
      <c r="H861" s="16" t="str">
        <f t="shared" si="52"/>
        <v>Sunday</v>
      </c>
      <c r="I861" s="12">
        <v>139</v>
      </c>
      <c r="J861" s="9">
        <f t="shared" si="53"/>
        <v>8340</v>
      </c>
      <c r="K861">
        <f t="shared" si="54"/>
        <v>30</v>
      </c>
      <c r="L861" t="str">
        <f t="shared" si="55"/>
        <v>OK</v>
      </c>
    </row>
    <row r="862" spans="1:12" x14ac:dyDescent="0.45">
      <c r="A862" s="20" t="s">
        <v>748</v>
      </c>
      <c r="B862" s="6">
        <v>40</v>
      </c>
      <c r="C862" s="6">
        <v>17</v>
      </c>
      <c r="D862" s="6">
        <v>70</v>
      </c>
      <c r="E862" s="6">
        <v>7</v>
      </c>
      <c r="F862" s="6">
        <v>5</v>
      </c>
      <c r="G862" s="15">
        <v>46084</v>
      </c>
      <c r="H862" s="15" t="str">
        <f t="shared" si="52"/>
        <v>Tuesday</v>
      </c>
      <c r="I862" s="11">
        <v>85</v>
      </c>
      <c r="J862" s="24">
        <f t="shared" si="53"/>
        <v>5950</v>
      </c>
      <c r="K862">
        <f t="shared" si="54"/>
        <v>40</v>
      </c>
      <c r="L862" t="str">
        <f t="shared" si="55"/>
        <v>OK</v>
      </c>
    </row>
    <row r="863" spans="1:12" x14ac:dyDescent="0.45">
      <c r="A863" s="21" t="s">
        <v>1015</v>
      </c>
      <c r="B863" s="7">
        <v>20</v>
      </c>
      <c r="C863" s="7">
        <v>20</v>
      </c>
      <c r="D863" s="7">
        <v>30</v>
      </c>
      <c r="E863" s="7">
        <v>1</v>
      </c>
      <c r="F863" s="7">
        <v>1</v>
      </c>
      <c r="G863" s="16">
        <v>46088</v>
      </c>
      <c r="H863" s="16" t="str">
        <f t="shared" si="52"/>
        <v>Saturday</v>
      </c>
      <c r="I863" s="12">
        <v>130</v>
      </c>
      <c r="J863" s="9">
        <f t="shared" si="53"/>
        <v>3900</v>
      </c>
      <c r="K863">
        <f t="shared" si="54"/>
        <v>20</v>
      </c>
      <c r="L863" t="str">
        <f t="shared" si="55"/>
        <v>OK</v>
      </c>
    </row>
    <row r="864" spans="1:12" x14ac:dyDescent="0.45">
      <c r="A864" s="20" t="s">
        <v>1017</v>
      </c>
      <c r="B864" s="6">
        <v>4</v>
      </c>
      <c r="C864" s="6">
        <v>20</v>
      </c>
      <c r="D864" s="6">
        <v>6</v>
      </c>
      <c r="E864" s="6">
        <v>6</v>
      </c>
      <c r="F864" s="6">
        <v>6</v>
      </c>
      <c r="G864" s="15">
        <v>46084</v>
      </c>
      <c r="H864" s="15" t="str">
        <f t="shared" si="52"/>
        <v>Tuesday</v>
      </c>
      <c r="I864" s="11">
        <v>134</v>
      </c>
      <c r="J864" s="24">
        <f t="shared" si="53"/>
        <v>804</v>
      </c>
      <c r="K864">
        <f t="shared" si="54"/>
        <v>4</v>
      </c>
      <c r="L864" t="str">
        <f t="shared" si="55"/>
        <v>Low Stock</v>
      </c>
    </row>
    <row r="865" spans="1:12" x14ac:dyDescent="0.45">
      <c r="A865" s="21" t="s">
        <v>1023</v>
      </c>
      <c r="B865" s="7">
        <v>1</v>
      </c>
      <c r="C865" s="7">
        <v>30</v>
      </c>
      <c r="D865" s="7">
        <v>1</v>
      </c>
      <c r="E865" s="7">
        <v>1</v>
      </c>
      <c r="F865" s="7">
        <v>1</v>
      </c>
      <c r="G865" s="16">
        <v>46087</v>
      </c>
      <c r="H865" s="16" t="str">
        <f t="shared" si="52"/>
        <v>Friday</v>
      </c>
      <c r="I865" s="12">
        <v>171</v>
      </c>
      <c r="J865" s="9">
        <f t="shared" si="53"/>
        <v>171</v>
      </c>
      <c r="K865">
        <f t="shared" si="54"/>
        <v>1</v>
      </c>
      <c r="L865" t="str">
        <f t="shared" si="55"/>
        <v>Low Stock</v>
      </c>
    </row>
    <row r="866" spans="1:12" x14ac:dyDescent="0.45">
      <c r="A866" s="20" t="s">
        <v>1055</v>
      </c>
      <c r="B866" s="6">
        <v>8</v>
      </c>
      <c r="C866" s="6">
        <v>30</v>
      </c>
      <c r="D866" s="6">
        <v>8</v>
      </c>
      <c r="E866" s="6">
        <v>1</v>
      </c>
      <c r="F866" s="6">
        <v>1</v>
      </c>
      <c r="G866" s="15">
        <v>46084</v>
      </c>
      <c r="H866" s="15" t="str">
        <f t="shared" si="52"/>
        <v>Tuesday</v>
      </c>
      <c r="I866" s="11">
        <v>116</v>
      </c>
      <c r="J866" s="24">
        <f t="shared" si="53"/>
        <v>928</v>
      </c>
      <c r="K866">
        <f t="shared" si="54"/>
        <v>8</v>
      </c>
      <c r="L866" t="str">
        <f t="shared" si="55"/>
        <v>OK</v>
      </c>
    </row>
    <row r="867" spans="1:12" x14ac:dyDescent="0.45">
      <c r="A867" s="21" t="s">
        <v>1111</v>
      </c>
      <c r="B867" s="7">
        <v>20</v>
      </c>
      <c r="C867" s="7">
        <v>30</v>
      </c>
      <c r="D867" s="7">
        <v>20</v>
      </c>
      <c r="E867" s="7">
        <v>2</v>
      </c>
      <c r="F867" s="7">
        <v>2</v>
      </c>
      <c r="G867" s="16">
        <v>46087</v>
      </c>
      <c r="H867" s="16" t="str">
        <f t="shared" si="52"/>
        <v>Friday</v>
      </c>
      <c r="I867" s="12">
        <v>82</v>
      </c>
      <c r="J867" s="9">
        <f t="shared" si="53"/>
        <v>1640</v>
      </c>
      <c r="K867">
        <f t="shared" si="54"/>
        <v>20</v>
      </c>
      <c r="L867" t="str">
        <f t="shared" si="55"/>
        <v>OK</v>
      </c>
    </row>
    <row r="868" spans="1:12" x14ac:dyDescent="0.45">
      <c r="A868" s="20" t="s">
        <v>44</v>
      </c>
      <c r="B868" s="6">
        <v>0</v>
      </c>
      <c r="C868" s="6">
        <v>0</v>
      </c>
      <c r="D868" s="6">
        <v>105</v>
      </c>
      <c r="E868" s="6">
        <v>3</v>
      </c>
      <c r="F868" s="6">
        <v>3</v>
      </c>
      <c r="G868" s="15">
        <v>46086</v>
      </c>
      <c r="H868" s="15" t="str">
        <f t="shared" si="52"/>
        <v>Thursday</v>
      </c>
      <c r="I868" s="11">
        <v>93</v>
      </c>
      <c r="J868" s="24">
        <f t="shared" si="53"/>
        <v>9765</v>
      </c>
      <c r="K868">
        <f t="shared" si="54"/>
        <v>0</v>
      </c>
      <c r="L868" t="str">
        <f t="shared" si="55"/>
        <v>Low Stock</v>
      </c>
    </row>
    <row r="869" spans="1:12" x14ac:dyDescent="0.45">
      <c r="A869" s="21" t="s">
        <v>249</v>
      </c>
      <c r="B869" s="7">
        <v>-1</v>
      </c>
      <c r="C869" s="7">
        <v>0</v>
      </c>
      <c r="D869" s="7">
        <v>1</v>
      </c>
      <c r="E869" s="7">
        <v>1</v>
      </c>
      <c r="F869" s="7">
        <v>1</v>
      </c>
      <c r="G869" s="16">
        <v>46087</v>
      </c>
      <c r="H869" s="16" t="str">
        <f t="shared" si="52"/>
        <v>Friday</v>
      </c>
      <c r="I869" s="12">
        <v>123</v>
      </c>
      <c r="J869" s="9">
        <f t="shared" si="53"/>
        <v>123</v>
      </c>
      <c r="K869">
        <f t="shared" si="54"/>
        <v>0</v>
      </c>
      <c r="L869" t="str">
        <f t="shared" si="55"/>
        <v>Low Stock</v>
      </c>
    </row>
    <row r="870" spans="1:12" x14ac:dyDescent="0.45">
      <c r="A870" s="20" t="s">
        <v>345</v>
      </c>
      <c r="B870" s="6">
        <v>0</v>
      </c>
      <c r="C870" s="6">
        <v>0</v>
      </c>
      <c r="D870" s="6">
        <v>1</v>
      </c>
      <c r="E870" s="6">
        <v>1</v>
      </c>
      <c r="F870" s="6">
        <v>1</v>
      </c>
      <c r="G870" s="15">
        <v>46084</v>
      </c>
      <c r="H870" s="15" t="str">
        <f t="shared" si="52"/>
        <v>Tuesday</v>
      </c>
      <c r="I870" s="11">
        <v>149</v>
      </c>
      <c r="J870" s="24">
        <f t="shared" si="53"/>
        <v>149</v>
      </c>
      <c r="K870">
        <f t="shared" si="54"/>
        <v>0</v>
      </c>
      <c r="L870" t="str">
        <f t="shared" si="55"/>
        <v>Low Stock</v>
      </c>
    </row>
    <row r="871" spans="1:12" x14ac:dyDescent="0.45">
      <c r="A871" s="21" t="s">
        <v>610</v>
      </c>
      <c r="B871" s="7">
        <v>1</v>
      </c>
      <c r="C871" s="7">
        <v>15</v>
      </c>
      <c r="D871" s="7">
        <v>2</v>
      </c>
      <c r="E871" s="7">
        <v>2</v>
      </c>
      <c r="F871" s="7">
        <v>2</v>
      </c>
      <c r="G871" s="16">
        <v>46085</v>
      </c>
      <c r="H871" s="16" t="str">
        <f t="shared" si="52"/>
        <v>Wednesday</v>
      </c>
      <c r="I871" s="12">
        <v>170</v>
      </c>
      <c r="J871" s="9">
        <f t="shared" si="53"/>
        <v>340</v>
      </c>
      <c r="K871">
        <f t="shared" si="54"/>
        <v>1</v>
      </c>
      <c r="L871" t="str">
        <f t="shared" si="55"/>
        <v>Low Stock</v>
      </c>
    </row>
    <row r="872" spans="1:12" x14ac:dyDescent="0.45">
      <c r="A872" s="20" t="s">
        <v>641</v>
      </c>
      <c r="B872" s="6">
        <v>20</v>
      </c>
      <c r="C872" s="6">
        <v>15</v>
      </c>
      <c r="D872" s="6">
        <v>40</v>
      </c>
      <c r="E872" s="6">
        <v>4</v>
      </c>
      <c r="F872" s="6">
        <v>4</v>
      </c>
      <c r="G872" s="15">
        <v>46083</v>
      </c>
      <c r="H872" s="15" t="str">
        <f t="shared" si="52"/>
        <v>Monday</v>
      </c>
      <c r="I872" s="11">
        <v>93</v>
      </c>
      <c r="J872" s="24">
        <f t="shared" si="53"/>
        <v>3720</v>
      </c>
      <c r="K872">
        <f t="shared" si="54"/>
        <v>20</v>
      </c>
      <c r="L872" t="str">
        <f t="shared" si="55"/>
        <v>OK</v>
      </c>
    </row>
    <row r="873" spans="1:12" x14ac:dyDescent="0.45">
      <c r="A873" s="21" t="s">
        <v>696</v>
      </c>
      <c r="B873" s="7">
        <v>15</v>
      </c>
      <c r="C873" s="7">
        <v>15</v>
      </c>
      <c r="D873" s="7">
        <v>30</v>
      </c>
      <c r="E873" s="7">
        <v>2</v>
      </c>
      <c r="F873" s="7">
        <v>2</v>
      </c>
      <c r="G873" s="16">
        <v>46082</v>
      </c>
      <c r="H873" s="16" t="str">
        <f t="shared" si="52"/>
        <v>Sunday</v>
      </c>
      <c r="I873" s="12">
        <v>117</v>
      </c>
      <c r="J873" s="9">
        <f t="shared" si="53"/>
        <v>3510</v>
      </c>
      <c r="K873">
        <f t="shared" si="54"/>
        <v>15</v>
      </c>
      <c r="L873" t="str">
        <f t="shared" si="55"/>
        <v>OK</v>
      </c>
    </row>
    <row r="874" spans="1:12" x14ac:dyDescent="0.45">
      <c r="A874" s="20" t="s">
        <v>1039</v>
      </c>
      <c r="B874" s="6">
        <v>44</v>
      </c>
      <c r="C874" s="6">
        <v>28</v>
      </c>
      <c r="D874" s="6">
        <v>47</v>
      </c>
      <c r="E874" s="6">
        <v>4</v>
      </c>
      <c r="F874" s="6">
        <v>4</v>
      </c>
      <c r="G874" s="15">
        <v>46086</v>
      </c>
      <c r="H874" s="15" t="str">
        <f t="shared" si="52"/>
        <v>Thursday</v>
      </c>
      <c r="I874" s="11">
        <v>150</v>
      </c>
      <c r="J874" s="24">
        <f t="shared" si="53"/>
        <v>7050</v>
      </c>
      <c r="K874">
        <f t="shared" si="54"/>
        <v>44</v>
      </c>
      <c r="L874" t="str">
        <f t="shared" si="55"/>
        <v>OK</v>
      </c>
    </row>
    <row r="875" spans="1:12" x14ac:dyDescent="0.45">
      <c r="A875" s="21" t="s">
        <v>1112</v>
      </c>
      <c r="B875" s="7">
        <v>30</v>
      </c>
      <c r="C875" s="7">
        <v>30</v>
      </c>
      <c r="D875" s="7">
        <v>30</v>
      </c>
      <c r="E875" s="7">
        <v>2</v>
      </c>
      <c r="F875" s="7">
        <v>2</v>
      </c>
      <c r="G875" s="16">
        <v>46087</v>
      </c>
      <c r="H875" s="16" t="str">
        <f t="shared" si="52"/>
        <v>Friday</v>
      </c>
      <c r="I875" s="12">
        <v>79</v>
      </c>
      <c r="J875" s="9">
        <f t="shared" si="53"/>
        <v>2370</v>
      </c>
      <c r="K875">
        <f t="shared" si="54"/>
        <v>30</v>
      </c>
      <c r="L875" t="str">
        <f t="shared" si="55"/>
        <v>OK</v>
      </c>
    </row>
    <row r="876" spans="1:12" x14ac:dyDescent="0.45">
      <c r="A876" s="20" t="s">
        <v>1269</v>
      </c>
      <c r="B876" s="6">
        <v>2</v>
      </c>
      <c r="C876" s="6">
        <v>30</v>
      </c>
      <c r="D876" s="6">
        <v>2</v>
      </c>
      <c r="E876" s="6">
        <v>2</v>
      </c>
      <c r="F876" s="6">
        <v>2</v>
      </c>
      <c r="G876" s="15">
        <v>46085</v>
      </c>
      <c r="H876" s="15" t="str">
        <f t="shared" si="52"/>
        <v>Wednesday</v>
      </c>
      <c r="I876" s="11">
        <v>186</v>
      </c>
      <c r="J876" s="24">
        <f t="shared" si="53"/>
        <v>372</v>
      </c>
      <c r="K876">
        <f t="shared" si="54"/>
        <v>2</v>
      </c>
      <c r="L876" t="str">
        <f t="shared" si="55"/>
        <v>Low Stock</v>
      </c>
    </row>
    <row r="877" spans="1:12" x14ac:dyDescent="0.45">
      <c r="A877" s="21" t="s">
        <v>31</v>
      </c>
      <c r="B877" s="7">
        <v>10</v>
      </c>
      <c r="C877" s="7">
        <v>5</v>
      </c>
      <c r="D877" s="7">
        <v>60</v>
      </c>
      <c r="E877" s="7">
        <v>3</v>
      </c>
      <c r="F877" s="7">
        <v>3</v>
      </c>
      <c r="G877" s="16">
        <v>46087</v>
      </c>
      <c r="H877" s="16" t="str">
        <f t="shared" si="52"/>
        <v>Friday</v>
      </c>
      <c r="I877" s="12">
        <v>82</v>
      </c>
      <c r="J877" s="9">
        <f t="shared" si="53"/>
        <v>4920</v>
      </c>
      <c r="K877">
        <f t="shared" si="54"/>
        <v>10</v>
      </c>
      <c r="L877" t="str">
        <f t="shared" si="55"/>
        <v>OK</v>
      </c>
    </row>
    <row r="878" spans="1:12" x14ac:dyDescent="0.45">
      <c r="A878" s="20" t="s">
        <v>59</v>
      </c>
      <c r="B878" s="6">
        <v>0</v>
      </c>
      <c r="C878" s="6">
        <v>0</v>
      </c>
      <c r="D878" s="6">
        <v>70</v>
      </c>
      <c r="E878" s="6">
        <v>3</v>
      </c>
      <c r="F878" s="6">
        <v>3</v>
      </c>
      <c r="G878" s="15">
        <v>46084</v>
      </c>
      <c r="H878" s="15" t="str">
        <f t="shared" si="52"/>
        <v>Tuesday</v>
      </c>
      <c r="I878" s="11">
        <v>91</v>
      </c>
      <c r="J878" s="24">
        <f t="shared" si="53"/>
        <v>6370</v>
      </c>
      <c r="K878">
        <f t="shared" si="54"/>
        <v>0</v>
      </c>
      <c r="L878" t="str">
        <f t="shared" si="55"/>
        <v>Low Stock</v>
      </c>
    </row>
    <row r="879" spans="1:12" x14ac:dyDescent="0.45">
      <c r="A879" s="21" t="s">
        <v>61</v>
      </c>
      <c r="B879" s="7">
        <v>15</v>
      </c>
      <c r="C879" s="7">
        <v>5</v>
      </c>
      <c r="D879" s="7">
        <v>90</v>
      </c>
      <c r="E879" s="7">
        <v>3</v>
      </c>
      <c r="F879" s="7">
        <v>3</v>
      </c>
      <c r="G879" s="16">
        <v>46087</v>
      </c>
      <c r="H879" s="16" t="str">
        <f t="shared" si="52"/>
        <v>Friday</v>
      </c>
      <c r="I879" s="12">
        <v>147</v>
      </c>
      <c r="J879" s="9">
        <f t="shared" si="53"/>
        <v>13230</v>
      </c>
      <c r="K879">
        <f t="shared" si="54"/>
        <v>15</v>
      </c>
      <c r="L879" t="str">
        <f t="shared" si="55"/>
        <v>OK</v>
      </c>
    </row>
    <row r="880" spans="1:12" x14ac:dyDescent="0.45">
      <c r="A880" s="20" t="s">
        <v>104</v>
      </c>
      <c r="B880" s="6">
        <v>-3</v>
      </c>
      <c r="C880" s="6">
        <v>0</v>
      </c>
      <c r="D880" s="6">
        <v>1</v>
      </c>
      <c r="E880" s="6">
        <v>1</v>
      </c>
      <c r="F880" s="6">
        <v>1</v>
      </c>
      <c r="G880" s="15">
        <v>46085</v>
      </c>
      <c r="H880" s="15" t="str">
        <f t="shared" si="52"/>
        <v>Wednesday</v>
      </c>
      <c r="I880" s="11">
        <v>100</v>
      </c>
      <c r="J880" s="24">
        <f t="shared" si="53"/>
        <v>100</v>
      </c>
      <c r="K880">
        <f t="shared" si="54"/>
        <v>0</v>
      </c>
      <c r="L880" t="str">
        <f t="shared" si="55"/>
        <v>Low Stock</v>
      </c>
    </row>
    <row r="881" spans="1:12" x14ac:dyDescent="0.45">
      <c r="A881" s="21" t="s">
        <v>153</v>
      </c>
      <c r="B881" s="7">
        <v>-1</v>
      </c>
      <c r="C881" s="7">
        <v>0</v>
      </c>
      <c r="D881" s="7">
        <v>2</v>
      </c>
      <c r="E881" s="7">
        <v>2</v>
      </c>
      <c r="F881" s="7">
        <v>2</v>
      </c>
      <c r="G881" s="16">
        <v>46088</v>
      </c>
      <c r="H881" s="16" t="str">
        <f t="shared" si="52"/>
        <v>Saturday</v>
      </c>
      <c r="I881" s="12">
        <v>142</v>
      </c>
      <c r="J881" s="9">
        <f t="shared" si="53"/>
        <v>284</v>
      </c>
      <c r="K881">
        <f t="shared" si="54"/>
        <v>0</v>
      </c>
      <c r="L881" t="str">
        <f t="shared" si="55"/>
        <v>Low Stock</v>
      </c>
    </row>
    <row r="882" spans="1:12" x14ac:dyDescent="0.45">
      <c r="A882" s="20" t="s">
        <v>276</v>
      </c>
      <c r="B882" s="6">
        <v>-30</v>
      </c>
      <c r="C882" s="6">
        <v>0</v>
      </c>
      <c r="D882" s="6">
        <v>60</v>
      </c>
      <c r="E882" s="6">
        <v>2</v>
      </c>
      <c r="F882" s="6">
        <v>2</v>
      </c>
      <c r="G882" s="15">
        <v>46087</v>
      </c>
      <c r="H882" s="15" t="str">
        <f t="shared" si="52"/>
        <v>Friday</v>
      </c>
      <c r="I882" s="11">
        <v>147</v>
      </c>
      <c r="J882" s="24">
        <f t="shared" si="53"/>
        <v>8820</v>
      </c>
      <c r="K882">
        <f t="shared" si="54"/>
        <v>0</v>
      </c>
      <c r="L882" t="str">
        <f t="shared" si="55"/>
        <v>Low Stock</v>
      </c>
    </row>
    <row r="883" spans="1:12" x14ac:dyDescent="0.45">
      <c r="A883" s="21" t="s">
        <v>282</v>
      </c>
      <c r="B883" s="7">
        <v>-2</v>
      </c>
      <c r="C883" s="7">
        <v>0</v>
      </c>
      <c r="D883" s="7">
        <v>1</v>
      </c>
      <c r="E883" s="7">
        <v>1</v>
      </c>
      <c r="F883" s="7">
        <v>1</v>
      </c>
      <c r="G883" s="16">
        <v>46084</v>
      </c>
      <c r="H883" s="16" t="str">
        <f t="shared" si="52"/>
        <v>Tuesday</v>
      </c>
      <c r="I883" s="12">
        <v>180</v>
      </c>
      <c r="J883" s="9">
        <f t="shared" si="53"/>
        <v>180</v>
      </c>
      <c r="K883">
        <f t="shared" si="54"/>
        <v>0</v>
      </c>
      <c r="L883" t="str">
        <f t="shared" si="55"/>
        <v>Low Stock</v>
      </c>
    </row>
    <row r="884" spans="1:12" x14ac:dyDescent="0.45">
      <c r="A884" s="20" t="s">
        <v>315</v>
      </c>
      <c r="B884" s="6">
        <v>0</v>
      </c>
      <c r="C884" s="6">
        <v>0</v>
      </c>
      <c r="D884" s="6">
        <v>20</v>
      </c>
      <c r="E884" s="6">
        <v>1</v>
      </c>
      <c r="F884" s="6">
        <v>1</v>
      </c>
      <c r="G884" s="15">
        <v>46084</v>
      </c>
      <c r="H884" s="15" t="str">
        <f t="shared" si="52"/>
        <v>Tuesday</v>
      </c>
      <c r="I884" s="11">
        <v>121</v>
      </c>
      <c r="J884" s="24">
        <f t="shared" si="53"/>
        <v>2420</v>
      </c>
      <c r="K884">
        <f t="shared" si="54"/>
        <v>0</v>
      </c>
      <c r="L884" t="str">
        <f t="shared" si="55"/>
        <v>Low Stock</v>
      </c>
    </row>
    <row r="885" spans="1:12" x14ac:dyDescent="0.45">
      <c r="A885" s="21" t="s">
        <v>364</v>
      </c>
      <c r="B885" s="7">
        <v>0</v>
      </c>
      <c r="C885" s="7">
        <v>0</v>
      </c>
      <c r="D885" s="7">
        <v>4</v>
      </c>
      <c r="E885" s="7">
        <v>4</v>
      </c>
      <c r="F885" s="7">
        <v>4</v>
      </c>
      <c r="G885" s="16">
        <v>46085</v>
      </c>
      <c r="H885" s="16" t="str">
        <f t="shared" si="52"/>
        <v>Wednesday</v>
      </c>
      <c r="I885" s="12">
        <v>140</v>
      </c>
      <c r="J885" s="9">
        <f t="shared" si="53"/>
        <v>560</v>
      </c>
      <c r="K885">
        <f t="shared" si="54"/>
        <v>0</v>
      </c>
      <c r="L885" t="str">
        <f t="shared" si="55"/>
        <v>Low Stock</v>
      </c>
    </row>
    <row r="886" spans="1:12" x14ac:dyDescent="0.45">
      <c r="A886" s="20" t="s">
        <v>509</v>
      </c>
      <c r="B886" s="6">
        <v>60</v>
      </c>
      <c r="C886" s="6">
        <v>12</v>
      </c>
      <c r="D886" s="6">
        <v>150</v>
      </c>
      <c r="E886" s="6">
        <v>15</v>
      </c>
      <c r="F886" s="6">
        <v>14</v>
      </c>
      <c r="G886" s="15">
        <v>46086</v>
      </c>
      <c r="H886" s="15" t="str">
        <f t="shared" si="52"/>
        <v>Thursday</v>
      </c>
      <c r="I886" s="11">
        <v>66</v>
      </c>
      <c r="J886" s="24">
        <f t="shared" si="53"/>
        <v>9900</v>
      </c>
      <c r="K886">
        <f t="shared" si="54"/>
        <v>60</v>
      </c>
      <c r="L886" t="str">
        <f t="shared" si="55"/>
        <v>OK</v>
      </c>
    </row>
    <row r="887" spans="1:12" x14ac:dyDescent="0.45">
      <c r="A887" s="21" t="s">
        <v>510</v>
      </c>
      <c r="B887" s="7">
        <v>720</v>
      </c>
      <c r="C887" s="7">
        <v>11</v>
      </c>
      <c r="D887" s="7">
        <v>1920</v>
      </c>
      <c r="E887" s="7">
        <v>16</v>
      </c>
      <c r="F887" s="7">
        <v>15</v>
      </c>
      <c r="G887" s="16">
        <v>46084</v>
      </c>
      <c r="H887" s="16" t="str">
        <f t="shared" si="52"/>
        <v>Tuesday</v>
      </c>
      <c r="I887" s="12">
        <v>89</v>
      </c>
      <c r="J887" s="9">
        <f t="shared" si="53"/>
        <v>170880</v>
      </c>
      <c r="K887">
        <f t="shared" si="54"/>
        <v>720</v>
      </c>
      <c r="L887" t="str">
        <f t="shared" si="55"/>
        <v>OK</v>
      </c>
    </row>
    <row r="888" spans="1:12" x14ac:dyDescent="0.45">
      <c r="A888" s="20" t="s">
        <v>821</v>
      </c>
      <c r="B888" s="6">
        <v>130</v>
      </c>
      <c r="C888" s="6">
        <v>30</v>
      </c>
      <c r="D888" s="6">
        <v>130</v>
      </c>
      <c r="E888" s="6">
        <v>7</v>
      </c>
      <c r="F888" s="6">
        <v>7</v>
      </c>
      <c r="G888" s="15">
        <v>46088</v>
      </c>
      <c r="H888" s="15" t="str">
        <f t="shared" si="52"/>
        <v>Saturday</v>
      </c>
      <c r="I888" s="11">
        <v>78</v>
      </c>
      <c r="J888" s="24">
        <f t="shared" si="53"/>
        <v>10140</v>
      </c>
      <c r="K888">
        <f t="shared" si="54"/>
        <v>130</v>
      </c>
      <c r="L888" t="str">
        <f t="shared" si="55"/>
        <v>OK</v>
      </c>
    </row>
    <row r="889" spans="1:12" x14ac:dyDescent="0.45">
      <c r="A889" s="21" t="s">
        <v>1210</v>
      </c>
      <c r="B889" s="7">
        <v>10</v>
      </c>
      <c r="C889" s="7">
        <v>30</v>
      </c>
      <c r="D889" s="7">
        <v>10</v>
      </c>
      <c r="E889" s="7">
        <v>1</v>
      </c>
      <c r="F889" s="7">
        <v>1</v>
      </c>
      <c r="G889" s="16">
        <v>46085</v>
      </c>
      <c r="H889" s="16" t="str">
        <f t="shared" si="52"/>
        <v>Wednesday</v>
      </c>
      <c r="I889" s="12">
        <v>88</v>
      </c>
      <c r="J889" s="9">
        <f t="shared" si="53"/>
        <v>880</v>
      </c>
      <c r="K889">
        <f t="shared" si="54"/>
        <v>10</v>
      </c>
      <c r="L889" t="str">
        <f t="shared" si="55"/>
        <v>OK</v>
      </c>
    </row>
    <row r="890" spans="1:12" x14ac:dyDescent="0.45">
      <c r="A890" s="20" t="s">
        <v>875</v>
      </c>
      <c r="B890" s="6">
        <v>30</v>
      </c>
      <c r="C890" s="6">
        <v>22</v>
      </c>
      <c r="D890" s="6">
        <v>40</v>
      </c>
      <c r="E890" s="6">
        <v>1</v>
      </c>
      <c r="F890" s="6">
        <v>1</v>
      </c>
      <c r="G890" s="15">
        <v>46086</v>
      </c>
      <c r="H890" s="15" t="str">
        <f t="shared" si="52"/>
        <v>Thursday</v>
      </c>
      <c r="I890" s="11">
        <v>79</v>
      </c>
      <c r="J890" s="24">
        <f t="shared" si="53"/>
        <v>3160</v>
      </c>
      <c r="K890">
        <f t="shared" si="54"/>
        <v>30</v>
      </c>
      <c r="L890" t="str">
        <f t="shared" si="55"/>
        <v>OK</v>
      </c>
    </row>
    <row r="891" spans="1:12" x14ac:dyDescent="0.45">
      <c r="A891" s="21" t="s">
        <v>946</v>
      </c>
      <c r="B891" s="7">
        <v>1</v>
      </c>
      <c r="C891" s="7">
        <v>30</v>
      </c>
      <c r="D891" s="7">
        <v>1</v>
      </c>
      <c r="E891" s="7">
        <v>1</v>
      </c>
      <c r="F891" s="7">
        <v>1</v>
      </c>
      <c r="G891" s="16">
        <v>46086</v>
      </c>
      <c r="H891" s="16" t="str">
        <f t="shared" si="52"/>
        <v>Thursday</v>
      </c>
      <c r="I891" s="12">
        <v>74</v>
      </c>
      <c r="J891" s="9">
        <f t="shared" si="53"/>
        <v>74</v>
      </c>
      <c r="K891">
        <f t="shared" si="54"/>
        <v>1</v>
      </c>
      <c r="L891" t="str">
        <f t="shared" si="55"/>
        <v>Low Stock</v>
      </c>
    </row>
    <row r="892" spans="1:12" x14ac:dyDescent="0.45">
      <c r="A892" s="20" t="s">
        <v>975</v>
      </c>
      <c r="B892" s="6">
        <v>60</v>
      </c>
      <c r="C892" s="6">
        <v>30</v>
      </c>
      <c r="D892" s="6">
        <v>60</v>
      </c>
      <c r="E892" s="6">
        <v>2</v>
      </c>
      <c r="F892" s="6">
        <v>2</v>
      </c>
      <c r="G892" s="15">
        <v>46082</v>
      </c>
      <c r="H892" s="15" t="str">
        <f t="shared" si="52"/>
        <v>Sunday</v>
      </c>
      <c r="I892" s="11">
        <v>118</v>
      </c>
      <c r="J892" s="24">
        <f t="shared" si="53"/>
        <v>7080</v>
      </c>
      <c r="K892">
        <f t="shared" si="54"/>
        <v>60</v>
      </c>
      <c r="L892" t="str">
        <f t="shared" si="55"/>
        <v>OK</v>
      </c>
    </row>
    <row r="893" spans="1:12" x14ac:dyDescent="0.45">
      <c r="A893" s="21" t="s">
        <v>978</v>
      </c>
      <c r="B893" s="7">
        <v>15</v>
      </c>
      <c r="C893" s="7">
        <v>30</v>
      </c>
      <c r="D893" s="7">
        <v>15</v>
      </c>
      <c r="E893" s="7">
        <v>1</v>
      </c>
      <c r="F893" s="7">
        <v>1</v>
      </c>
      <c r="G893" s="16">
        <v>46084</v>
      </c>
      <c r="H893" s="16" t="str">
        <f t="shared" si="52"/>
        <v>Tuesday</v>
      </c>
      <c r="I893" s="12">
        <v>133</v>
      </c>
      <c r="J893" s="9">
        <f t="shared" si="53"/>
        <v>1995</v>
      </c>
      <c r="K893">
        <f t="shared" si="54"/>
        <v>15</v>
      </c>
      <c r="L893" t="str">
        <f t="shared" si="55"/>
        <v>OK</v>
      </c>
    </row>
    <row r="894" spans="1:12" x14ac:dyDescent="0.45">
      <c r="A894" s="20" t="s">
        <v>1033</v>
      </c>
      <c r="B894" s="6">
        <v>30</v>
      </c>
      <c r="C894" s="6">
        <v>30</v>
      </c>
      <c r="D894" s="6">
        <v>30</v>
      </c>
      <c r="E894" s="6">
        <v>1</v>
      </c>
      <c r="F894" s="6">
        <v>1</v>
      </c>
      <c r="G894" s="15">
        <v>46083</v>
      </c>
      <c r="H894" s="15" t="str">
        <f t="shared" si="52"/>
        <v>Monday</v>
      </c>
      <c r="I894" s="11">
        <v>144</v>
      </c>
      <c r="J894" s="24">
        <f t="shared" si="53"/>
        <v>4320</v>
      </c>
      <c r="K894">
        <f t="shared" si="54"/>
        <v>30</v>
      </c>
      <c r="L894" t="str">
        <f t="shared" si="55"/>
        <v>OK</v>
      </c>
    </row>
    <row r="895" spans="1:12" x14ac:dyDescent="0.45">
      <c r="A895" s="21" t="s">
        <v>1060</v>
      </c>
      <c r="B895" s="7">
        <v>20</v>
      </c>
      <c r="C895" s="7">
        <v>30</v>
      </c>
      <c r="D895" s="7">
        <v>20</v>
      </c>
      <c r="E895" s="7">
        <v>2</v>
      </c>
      <c r="F895" s="7">
        <v>2</v>
      </c>
      <c r="G895" s="16">
        <v>46082</v>
      </c>
      <c r="H895" s="16" t="str">
        <f t="shared" si="52"/>
        <v>Sunday</v>
      </c>
      <c r="I895" s="12">
        <v>188</v>
      </c>
      <c r="J895" s="9">
        <f t="shared" si="53"/>
        <v>3760</v>
      </c>
      <c r="K895">
        <f t="shared" si="54"/>
        <v>20</v>
      </c>
      <c r="L895" t="str">
        <f t="shared" si="55"/>
        <v>OK</v>
      </c>
    </row>
    <row r="896" spans="1:12" x14ac:dyDescent="0.45">
      <c r="A896" s="20" t="s">
        <v>129</v>
      </c>
      <c r="B896" s="6">
        <v>10</v>
      </c>
      <c r="C896" s="6">
        <v>4</v>
      </c>
      <c r="D896" s="6">
        <v>70</v>
      </c>
      <c r="E896" s="6">
        <v>4</v>
      </c>
      <c r="F896" s="6">
        <v>4</v>
      </c>
      <c r="G896" s="15">
        <v>46088</v>
      </c>
      <c r="H896" s="15" t="str">
        <f t="shared" si="52"/>
        <v>Saturday</v>
      </c>
      <c r="I896" s="11">
        <v>92</v>
      </c>
      <c r="J896" s="24">
        <f t="shared" si="53"/>
        <v>6440</v>
      </c>
      <c r="K896">
        <f t="shared" si="54"/>
        <v>10</v>
      </c>
      <c r="L896" t="str">
        <f t="shared" si="55"/>
        <v>OK</v>
      </c>
    </row>
    <row r="897" spans="1:12" x14ac:dyDescent="0.45">
      <c r="A897" s="21" t="s">
        <v>155</v>
      </c>
      <c r="B897" s="7">
        <v>0</v>
      </c>
      <c r="C897" s="7">
        <v>0</v>
      </c>
      <c r="D897" s="7">
        <v>40</v>
      </c>
      <c r="E897" s="7">
        <v>2</v>
      </c>
      <c r="F897" s="7">
        <v>2</v>
      </c>
      <c r="G897" s="16">
        <v>46087</v>
      </c>
      <c r="H897" s="16" t="str">
        <f t="shared" si="52"/>
        <v>Friday</v>
      </c>
      <c r="I897" s="12">
        <v>108</v>
      </c>
      <c r="J897" s="9">
        <f t="shared" si="53"/>
        <v>4320</v>
      </c>
      <c r="K897">
        <f t="shared" si="54"/>
        <v>0</v>
      </c>
      <c r="L897" t="str">
        <f t="shared" si="55"/>
        <v>Low Stock</v>
      </c>
    </row>
    <row r="898" spans="1:12" x14ac:dyDescent="0.45">
      <c r="A898" s="20" t="s">
        <v>360</v>
      </c>
      <c r="B898" s="6">
        <v>10</v>
      </c>
      <c r="C898" s="6">
        <v>7</v>
      </c>
      <c r="D898" s="6">
        <v>40</v>
      </c>
      <c r="E898" s="6">
        <v>4</v>
      </c>
      <c r="F898" s="6">
        <v>4</v>
      </c>
      <c r="G898" s="15">
        <v>46082</v>
      </c>
      <c r="H898" s="15" t="str">
        <f t="shared" ref="H898:H961" si="56">TEXT(G898,"dddd")</f>
        <v>Sunday</v>
      </c>
      <c r="I898" s="11">
        <v>65</v>
      </c>
      <c r="J898" s="24">
        <f t="shared" ref="J898:J961" si="57">D898*I898</f>
        <v>2600</v>
      </c>
      <c r="K898">
        <f t="shared" ref="K898:K961" si="58">IF(B898&lt;0,0,B898)</f>
        <v>10</v>
      </c>
      <c r="L898" t="str">
        <f t="shared" ref="L898:L961" si="59">IF(K898&lt;5,"Low Stock","OK")</f>
        <v>OK</v>
      </c>
    </row>
    <row r="899" spans="1:12" x14ac:dyDescent="0.45">
      <c r="A899" s="21" t="s">
        <v>412</v>
      </c>
      <c r="B899" s="7">
        <v>0</v>
      </c>
      <c r="C899" s="7">
        <v>0</v>
      </c>
      <c r="D899" s="7">
        <v>10</v>
      </c>
      <c r="E899" s="7">
        <v>1</v>
      </c>
      <c r="F899" s="7">
        <v>1</v>
      </c>
      <c r="G899" s="16">
        <v>46082</v>
      </c>
      <c r="H899" s="16" t="str">
        <f t="shared" si="56"/>
        <v>Sunday</v>
      </c>
      <c r="I899" s="12">
        <v>141</v>
      </c>
      <c r="J899" s="9">
        <f t="shared" si="57"/>
        <v>1410</v>
      </c>
      <c r="K899">
        <f t="shared" si="58"/>
        <v>0</v>
      </c>
      <c r="L899" t="str">
        <f t="shared" si="59"/>
        <v>Low Stock</v>
      </c>
    </row>
    <row r="900" spans="1:12" x14ac:dyDescent="0.45">
      <c r="A900" s="20" t="s">
        <v>521</v>
      </c>
      <c r="B900" s="6">
        <v>70</v>
      </c>
      <c r="C900" s="6">
        <v>14</v>
      </c>
      <c r="D900" s="6">
        <v>150</v>
      </c>
      <c r="E900" s="6">
        <v>6</v>
      </c>
      <c r="F900" s="6">
        <v>6</v>
      </c>
      <c r="G900" s="15">
        <v>46085</v>
      </c>
      <c r="H900" s="15" t="str">
        <f t="shared" si="56"/>
        <v>Wednesday</v>
      </c>
      <c r="I900" s="11">
        <v>120</v>
      </c>
      <c r="J900" s="24">
        <f t="shared" si="57"/>
        <v>18000</v>
      </c>
      <c r="K900">
        <f t="shared" si="58"/>
        <v>70</v>
      </c>
      <c r="L900" t="str">
        <f t="shared" si="59"/>
        <v>OK</v>
      </c>
    </row>
    <row r="901" spans="1:12" x14ac:dyDescent="0.45">
      <c r="A901" s="21" t="s">
        <v>526</v>
      </c>
      <c r="B901" s="7">
        <v>70</v>
      </c>
      <c r="C901" s="7">
        <v>15</v>
      </c>
      <c r="D901" s="7">
        <v>140</v>
      </c>
      <c r="E901" s="7">
        <v>1</v>
      </c>
      <c r="F901" s="7">
        <v>1</v>
      </c>
      <c r="G901" s="16">
        <v>46085</v>
      </c>
      <c r="H901" s="16" t="str">
        <f t="shared" si="56"/>
        <v>Wednesday</v>
      </c>
      <c r="I901" s="12">
        <v>78</v>
      </c>
      <c r="J901" s="9">
        <f t="shared" si="57"/>
        <v>10920</v>
      </c>
      <c r="K901">
        <f t="shared" si="58"/>
        <v>70</v>
      </c>
      <c r="L901" t="str">
        <f t="shared" si="59"/>
        <v>OK</v>
      </c>
    </row>
    <row r="902" spans="1:12" x14ac:dyDescent="0.45">
      <c r="A902" s="20" t="s">
        <v>572</v>
      </c>
      <c r="B902" s="6">
        <v>14</v>
      </c>
      <c r="C902" s="6">
        <v>8</v>
      </c>
      <c r="D902" s="6">
        <v>50</v>
      </c>
      <c r="E902" s="6">
        <v>12</v>
      </c>
      <c r="F902" s="6">
        <v>10</v>
      </c>
      <c r="G902" s="15">
        <v>46083</v>
      </c>
      <c r="H902" s="15" t="str">
        <f t="shared" si="56"/>
        <v>Monday</v>
      </c>
      <c r="I902" s="11">
        <v>175</v>
      </c>
      <c r="J902" s="24">
        <f t="shared" si="57"/>
        <v>8750</v>
      </c>
      <c r="K902">
        <f t="shared" si="58"/>
        <v>14</v>
      </c>
      <c r="L902" t="str">
        <f t="shared" si="59"/>
        <v>OK</v>
      </c>
    </row>
    <row r="903" spans="1:12" x14ac:dyDescent="0.45">
      <c r="A903" s="21" t="s">
        <v>693</v>
      </c>
      <c r="B903" s="7">
        <v>1</v>
      </c>
      <c r="C903" s="7">
        <v>15</v>
      </c>
      <c r="D903" s="7">
        <v>2</v>
      </c>
      <c r="E903" s="7">
        <v>2</v>
      </c>
      <c r="F903" s="7">
        <v>2</v>
      </c>
      <c r="G903" s="16">
        <v>46083</v>
      </c>
      <c r="H903" s="16" t="str">
        <f t="shared" si="56"/>
        <v>Monday</v>
      </c>
      <c r="I903" s="12">
        <v>76</v>
      </c>
      <c r="J903" s="9">
        <f t="shared" si="57"/>
        <v>152</v>
      </c>
      <c r="K903">
        <f t="shared" si="58"/>
        <v>1</v>
      </c>
      <c r="L903" t="str">
        <f t="shared" si="59"/>
        <v>Low Stock</v>
      </c>
    </row>
    <row r="904" spans="1:12" x14ac:dyDescent="0.45">
      <c r="A904" s="20" t="s">
        <v>735</v>
      </c>
      <c r="B904" s="6">
        <v>5</v>
      </c>
      <c r="C904" s="6">
        <v>21</v>
      </c>
      <c r="D904" s="6">
        <v>7</v>
      </c>
      <c r="E904" s="6">
        <v>6</v>
      </c>
      <c r="F904" s="6">
        <v>5</v>
      </c>
      <c r="G904" s="15">
        <v>46087</v>
      </c>
      <c r="H904" s="15" t="str">
        <f t="shared" si="56"/>
        <v>Friday</v>
      </c>
      <c r="I904" s="11">
        <v>200</v>
      </c>
      <c r="J904" s="24">
        <f t="shared" si="57"/>
        <v>1400</v>
      </c>
      <c r="K904">
        <f t="shared" si="58"/>
        <v>5</v>
      </c>
      <c r="L904" t="str">
        <f t="shared" si="59"/>
        <v>OK</v>
      </c>
    </row>
    <row r="905" spans="1:12" x14ac:dyDescent="0.45">
      <c r="A905" s="21" t="s">
        <v>966</v>
      </c>
      <c r="B905" s="7">
        <v>105</v>
      </c>
      <c r="C905" s="7">
        <v>26</v>
      </c>
      <c r="D905" s="7">
        <v>120</v>
      </c>
      <c r="E905" s="7">
        <v>7</v>
      </c>
      <c r="F905" s="7">
        <v>6</v>
      </c>
      <c r="G905" s="16">
        <v>46085</v>
      </c>
      <c r="H905" s="16" t="str">
        <f t="shared" si="56"/>
        <v>Wednesday</v>
      </c>
      <c r="I905" s="12">
        <v>125</v>
      </c>
      <c r="J905" s="9">
        <f t="shared" si="57"/>
        <v>15000</v>
      </c>
      <c r="K905">
        <f t="shared" si="58"/>
        <v>105</v>
      </c>
      <c r="L905" t="str">
        <f t="shared" si="59"/>
        <v>OK</v>
      </c>
    </row>
    <row r="906" spans="1:12" x14ac:dyDescent="0.45">
      <c r="A906" s="20" t="s">
        <v>1103</v>
      </c>
      <c r="B906" s="6">
        <v>15</v>
      </c>
      <c r="C906" s="6">
        <v>30</v>
      </c>
      <c r="D906" s="6">
        <v>15</v>
      </c>
      <c r="E906" s="6">
        <v>1</v>
      </c>
      <c r="F906" s="6">
        <v>1</v>
      </c>
      <c r="G906" s="15">
        <v>46088</v>
      </c>
      <c r="H906" s="15" t="str">
        <f t="shared" si="56"/>
        <v>Saturday</v>
      </c>
      <c r="I906" s="11">
        <v>62</v>
      </c>
      <c r="J906" s="24">
        <f t="shared" si="57"/>
        <v>930</v>
      </c>
      <c r="K906">
        <f t="shared" si="58"/>
        <v>15</v>
      </c>
      <c r="L906" t="str">
        <f t="shared" si="59"/>
        <v>OK</v>
      </c>
    </row>
    <row r="907" spans="1:12" x14ac:dyDescent="0.45">
      <c r="A907" s="21" t="s">
        <v>1164</v>
      </c>
      <c r="B907" s="7">
        <v>10</v>
      </c>
      <c r="C907" s="7">
        <v>30</v>
      </c>
      <c r="D907" s="7">
        <v>10</v>
      </c>
      <c r="E907" s="7">
        <v>1</v>
      </c>
      <c r="F907" s="7">
        <v>1</v>
      </c>
      <c r="G907" s="16">
        <v>46088</v>
      </c>
      <c r="H907" s="16" t="str">
        <f t="shared" si="56"/>
        <v>Saturday</v>
      </c>
      <c r="I907" s="12">
        <v>118</v>
      </c>
      <c r="J907" s="9">
        <f t="shared" si="57"/>
        <v>1180</v>
      </c>
      <c r="K907">
        <f t="shared" si="58"/>
        <v>10</v>
      </c>
      <c r="L907" t="str">
        <f t="shared" si="59"/>
        <v>OK</v>
      </c>
    </row>
    <row r="908" spans="1:12" x14ac:dyDescent="0.45">
      <c r="A908" s="20" t="s">
        <v>1213</v>
      </c>
      <c r="B908" s="6">
        <v>60</v>
      </c>
      <c r="C908" s="6">
        <v>30</v>
      </c>
      <c r="D908" s="6">
        <v>60</v>
      </c>
      <c r="E908" s="6">
        <v>2</v>
      </c>
      <c r="F908" s="6">
        <v>2</v>
      </c>
      <c r="G908" s="15">
        <v>46082</v>
      </c>
      <c r="H908" s="15" t="str">
        <f t="shared" si="56"/>
        <v>Sunday</v>
      </c>
      <c r="I908" s="11">
        <v>109</v>
      </c>
      <c r="J908" s="24">
        <f t="shared" si="57"/>
        <v>6540</v>
      </c>
      <c r="K908">
        <f t="shared" si="58"/>
        <v>60</v>
      </c>
      <c r="L908" t="str">
        <f t="shared" si="59"/>
        <v>OK</v>
      </c>
    </row>
    <row r="909" spans="1:12" x14ac:dyDescent="0.45">
      <c r="A909" s="21" t="s">
        <v>97</v>
      </c>
      <c r="B909" s="7">
        <v>-9</v>
      </c>
      <c r="C909" s="7">
        <v>0</v>
      </c>
      <c r="D909" s="7">
        <v>3</v>
      </c>
      <c r="E909" s="7">
        <v>3</v>
      </c>
      <c r="F909" s="7">
        <v>2</v>
      </c>
      <c r="G909" s="16">
        <v>46087</v>
      </c>
      <c r="H909" s="16" t="str">
        <f t="shared" si="56"/>
        <v>Friday</v>
      </c>
      <c r="I909" s="12">
        <v>176</v>
      </c>
      <c r="J909" s="9">
        <f t="shared" si="57"/>
        <v>528</v>
      </c>
      <c r="K909">
        <f t="shared" si="58"/>
        <v>0</v>
      </c>
      <c r="L909" t="str">
        <f t="shared" si="59"/>
        <v>Low Stock</v>
      </c>
    </row>
    <row r="910" spans="1:12" x14ac:dyDescent="0.45">
      <c r="A910" s="20" t="s">
        <v>158</v>
      </c>
      <c r="B910" s="6">
        <v>23</v>
      </c>
      <c r="C910" s="6">
        <v>6</v>
      </c>
      <c r="D910" s="6">
        <v>110</v>
      </c>
      <c r="E910" s="6">
        <v>22</v>
      </c>
      <c r="F910" s="6">
        <v>15</v>
      </c>
      <c r="G910" s="15">
        <v>46085</v>
      </c>
      <c r="H910" s="15" t="str">
        <f t="shared" si="56"/>
        <v>Wednesday</v>
      </c>
      <c r="I910" s="11">
        <v>92</v>
      </c>
      <c r="J910" s="24">
        <f t="shared" si="57"/>
        <v>10120</v>
      </c>
      <c r="K910">
        <f t="shared" si="58"/>
        <v>23</v>
      </c>
      <c r="L910" t="str">
        <f t="shared" si="59"/>
        <v>OK</v>
      </c>
    </row>
    <row r="911" spans="1:12" x14ac:dyDescent="0.45">
      <c r="A911" s="21" t="s">
        <v>176</v>
      </c>
      <c r="B911" s="7">
        <v>-2</v>
      </c>
      <c r="C911" s="7">
        <v>0</v>
      </c>
      <c r="D911" s="7">
        <v>1</v>
      </c>
      <c r="E911" s="7">
        <v>1</v>
      </c>
      <c r="F911" s="7">
        <v>1</v>
      </c>
      <c r="G911" s="16">
        <v>46086</v>
      </c>
      <c r="H911" s="16" t="str">
        <f t="shared" si="56"/>
        <v>Thursday</v>
      </c>
      <c r="I911" s="12">
        <v>175</v>
      </c>
      <c r="J911" s="9">
        <f t="shared" si="57"/>
        <v>175</v>
      </c>
      <c r="K911">
        <f t="shared" si="58"/>
        <v>0</v>
      </c>
      <c r="L911" t="str">
        <f t="shared" si="59"/>
        <v>Low Stock</v>
      </c>
    </row>
    <row r="912" spans="1:12" x14ac:dyDescent="0.45">
      <c r="A912" s="20" t="s">
        <v>482</v>
      </c>
      <c r="B912" s="6">
        <v>0</v>
      </c>
      <c r="C912" s="6">
        <v>0</v>
      </c>
      <c r="D912" s="6">
        <v>40</v>
      </c>
      <c r="E912" s="6">
        <v>2</v>
      </c>
      <c r="F912" s="6">
        <v>2</v>
      </c>
      <c r="G912" s="15">
        <v>46086</v>
      </c>
      <c r="H912" s="15" t="str">
        <f t="shared" si="56"/>
        <v>Thursday</v>
      </c>
      <c r="I912" s="11">
        <v>98</v>
      </c>
      <c r="J912" s="24">
        <f t="shared" si="57"/>
        <v>3920</v>
      </c>
      <c r="K912">
        <f t="shared" si="58"/>
        <v>0</v>
      </c>
      <c r="L912" t="str">
        <f t="shared" si="59"/>
        <v>Low Stock</v>
      </c>
    </row>
    <row r="913" spans="1:12" x14ac:dyDescent="0.45">
      <c r="A913" s="21" t="s">
        <v>600</v>
      </c>
      <c r="B913" s="7">
        <v>20</v>
      </c>
      <c r="C913" s="7">
        <v>15</v>
      </c>
      <c r="D913" s="7">
        <v>40</v>
      </c>
      <c r="E913" s="7">
        <v>4</v>
      </c>
      <c r="F913" s="7">
        <v>4</v>
      </c>
      <c r="G913" s="16">
        <v>46082</v>
      </c>
      <c r="H913" s="16" t="str">
        <f t="shared" si="56"/>
        <v>Sunday</v>
      </c>
      <c r="I913" s="12">
        <v>132</v>
      </c>
      <c r="J913" s="9">
        <f t="shared" si="57"/>
        <v>5280</v>
      </c>
      <c r="K913">
        <f t="shared" si="58"/>
        <v>20</v>
      </c>
      <c r="L913" t="str">
        <f t="shared" si="59"/>
        <v>OK</v>
      </c>
    </row>
    <row r="914" spans="1:12" x14ac:dyDescent="0.45">
      <c r="A914" s="20" t="s">
        <v>715</v>
      </c>
      <c r="B914" s="6">
        <v>720</v>
      </c>
      <c r="C914" s="6">
        <v>21</v>
      </c>
      <c r="D914" s="6">
        <v>1020</v>
      </c>
      <c r="E914" s="6">
        <v>48</v>
      </c>
      <c r="F914" s="6">
        <v>23</v>
      </c>
      <c r="G914" s="15">
        <v>46085</v>
      </c>
      <c r="H914" s="15" t="str">
        <f t="shared" si="56"/>
        <v>Wednesday</v>
      </c>
      <c r="I914" s="11">
        <v>78</v>
      </c>
      <c r="J914" s="24">
        <f t="shared" si="57"/>
        <v>79560</v>
      </c>
      <c r="K914">
        <f t="shared" si="58"/>
        <v>720</v>
      </c>
      <c r="L914" t="str">
        <f t="shared" si="59"/>
        <v>OK</v>
      </c>
    </row>
    <row r="915" spans="1:12" x14ac:dyDescent="0.45">
      <c r="A915" s="21" t="s">
        <v>752</v>
      </c>
      <c r="B915" s="7">
        <v>75</v>
      </c>
      <c r="C915" s="7">
        <v>16</v>
      </c>
      <c r="D915" s="7">
        <v>135</v>
      </c>
      <c r="E915" s="7">
        <v>9</v>
      </c>
      <c r="F915" s="7">
        <v>8</v>
      </c>
      <c r="G915" s="16">
        <v>46082</v>
      </c>
      <c r="H915" s="16" t="str">
        <f t="shared" si="56"/>
        <v>Sunday</v>
      </c>
      <c r="I915" s="12">
        <v>126</v>
      </c>
      <c r="J915" s="9">
        <f t="shared" si="57"/>
        <v>17010</v>
      </c>
      <c r="K915">
        <f t="shared" si="58"/>
        <v>75</v>
      </c>
      <c r="L915" t="str">
        <f t="shared" si="59"/>
        <v>OK</v>
      </c>
    </row>
    <row r="916" spans="1:12" x14ac:dyDescent="0.45">
      <c r="A916" s="20" t="s">
        <v>842</v>
      </c>
      <c r="B916" s="6">
        <v>30</v>
      </c>
      <c r="C916" s="6">
        <v>22</v>
      </c>
      <c r="D916" s="6">
        <v>40</v>
      </c>
      <c r="E916" s="6">
        <v>4</v>
      </c>
      <c r="F916" s="6">
        <v>3</v>
      </c>
      <c r="G916" s="15">
        <v>46087</v>
      </c>
      <c r="H916" s="15" t="str">
        <f t="shared" si="56"/>
        <v>Friday</v>
      </c>
      <c r="I916" s="11">
        <v>90</v>
      </c>
      <c r="J916" s="24">
        <f t="shared" si="57"/>
        <v>3600</v>
      </c>
      <c r="K916">
        <f t="shared" si="58"/>
        <v>30</v>
      </c>
      <c r="L916" t="str">
        <f t="shared" si="59"/>
        <v>OK</v>
      </c>
    </row>
    <row r="917" spans="1:12" x14ac:dyDescent="0.45">
      <c r="A917" s="21" t="s">
        <v>883</v>
      </c>
      <c r="B917" s="7">
        <v>32</v>
      </c>
      <c r="C917" s="7">
        <v>25</v>
      </c>
      <c r="D917" s="7">
        <v>37</v>
      </c>
      <c r="E917" s="7">
        <v>16</v>
      </c>
      <c r="F917" s="7">
        <v>11</v>
      </c>
      <c r="G917" s="16">
        <v>46088</v>
      </c>
      <c r="H917" s="16" t="str">
        <f t="shared" si="56"/>
        <v>Saturday</v>
      </c>
      <c r="I917" s="12">
        <v>107</v>
      </c>
      <c r="J917" s="9">
        <f t="shared" si="57"/>
        <v>3959</v>
      </c>
      <c r="K917">
        <f t="shared" si="58"/>
        <v>32</v>
      </c>
      <c r="L917" t="str">
        <f t="shared" si="59"/>
        <v>OK</v>
      </c>
    </row>
    <row r="918" spans="1:12" x14ac:dyDescent="0.45">
      <c r="A918" s="20" t="s">
        <v>1021</v>
      </c>
      <c r="B918" s="6">
        <v>30</v>
      </c>
      <c r="C918" s="6">
        <v>20</v>
      </c>
      <c r="D918" s="6">
        <v>45</v>
      </c>
      <c r="E918" s="6">
        <v>1</v>
      </c>
      <c r="F918" s="6">
        <v>1</v>
      </c>
      <c r="G918" s="15">
        <v>46084</v>
      </c>
      <c r="H918" s="15" t="str">
        <f t="shared" si="56"/>
        <v>Tuesday</v>
      </c>
      <c r="I918" s="11">
        <v>144</v>
      </c>
      <c r="J918" s="24">
        <f t="shared" si="57"/>
        <v>6480</v>
      </c>
      <c r="K918">
        <f t="shared" si="58"/>
        <v>30</v>
      </c>
      <c r="L918" t="str">
        <f t="shared" si="59"/>
        <v>OK</v>
      </c>
    </row>
    <row r="919" spans="1:12" x14ac:dyDescent="0.45">
      <c r="A919" s="21" t="s">
        <v>1025</v>
      </c>
      <c r="B919" s="7">
        <v>10</v>
      </c>
      <c r="C919" s="7">
        <v>30</v>
      </c>
      <c r="D919" s="7">
        <v>10</v>
      </c>
      <c r="E919" s="7">
        <v>1</v>
      </c>
      <c r="F919" s="7">
        <v>1</v>
      </c>
      <c r="G919" s="16">
        <v>46083</v>
      </c>
      <c r="H919" s="16" t="str">
        <f t="shared" si="56"/>
        <v>Monday</v>
      </c>
      <c r="I919" s="12">
        <v>132</v>
      </c>
      <c r="J919" s="9">
        <f t="shared" si="57"/>
        <v>1320</v>
      </c>
      <c r="K919">
        <f t="shared" si="58"/>
        <v>10</v>
      </c>
      <c r="L919" t="str">
        <f t="shared" si="59"/>
        <v>OK</v>
      </c>
    </row>
    <row r="920" spans="1:12" x14ac:dyDescent="0.45">
      <c r="A920" s="20" t="s">
        <v>1193</v>
      </c>
      <c r="B920" s="6">
        <v>15</v>
      </c>
      <c r="C920" s="6">
        <v>30</v>
      </c>
      <c r="D920" s="6">
        <v>15</v>
      </c>
      <c r="E920" s="6">
        <v>1</v>
      </c>
      <c r="F920" s="6">
        <v>1</v>
      </c>
      <c r="G920" s="15">
        <v>46087</v>
      </c>
      <c r="H920" s="15" t="str">
        <f t="shared" si="56"/>
        <v>Friday</v>
      </c>
      <c r="I920" s="11">
        <v>149</v>
      </c>
      <c r="J920" s="24">
        <f t="shared" si="57"/>
        <v>2235</v>
      </c>
      <c r="K920">
        <f t="shared" si="58"/>
        <v>15</v>
      </c>
      <c r="L920" t="str">
        <f t="shared" si="59"/>
        <v>OK</v>
      </c>
    </row>
    <row r="921" spans="1:12" x14ac:dyDescent="0.45">
      <c r="A921" s="21" t="s">
        <v>1223</v>
      </c>
      <c r="B921" s="7">
        <v>2</v>
      </c>
      <c r="C921" s="7">
        <v>20</v>
      </c>
      <c r="D921" s="7">
        <v>3</v>
      </c>
      <c r="E921" s="7">
        <v>3</v>
      </c>
      <c r="F921" s="7">
        <v>3</v>
      </c>
      <c r="G921" s="16">
        <v>46083</v>
      </c>
      <c r="H921" s="16" t="str">
        <f t="shared" si="56"/>
        <v>Monday</v>
      </c>
      <c r="I921" s="12">
        <v>115</v>
      </c>
      <c r="J921" s="9">
        <f t="shared" si="57"/>
        <v>345</v>
      </c>
      <c r="K921">
        <f t="shared" si="58"/>
        <v>2</v>
      </c>
      <c r="L921" t="str">
        <f t="shared" si="59"/>
        <v>Low Stock</v>
      </c>
    </row>
    <row r="922" spans="1:12" x14ac:dyDescent="0.45">
      <c r="A922" s="20" t="s">
        <v>1254</v>
      </c>
      <c r="B922" s="6">
        <v>60</v>
      </c>
      <c r="C922" s="6">
        <v>22</v>
      </c>
      <c r="D922" s="6">
        <v>80</v>
      </c>
      <c r="E922" s="6">
        <v>3</v>
      </c>
      <c r="F922" s="6">
        <v>3</v>
      </c>
      <c r="G922" s="15">
        <v>46083</v>
      </c>
      <c r="H922" s="15" t="str">
        <f t="shared" si="56"/>
        <v>Monday</v>
      </c>
      <c r="I922" s="11">
        <v>136</v>
      </c>
      <c r="J922" s="24">
        <f t="shared" si="57"/>
        <v>10880</v>
      </c>
      <c r="K922">
        <f t="shared" si="58"/>
        <v>60</v>
      </c>
      <c r="L922" t="str">
        <f t="shared" si="59"/>
        <v>OK</v>
      </c>
    </row>
    <row r="923" spans="1:12" x14ac:dyDescent="0.45">
      <c r="A923" s="21" t="s">
        <v>137</v>
      </c>
      <c r="B923" s="7">
        <v>0</v>
      </c>
      <c r="C923" s="7">
        <v>0</v>
      </c>
      <c r="D923" s="7">
        <v>2</v>
      </c>
      <c r="E923" s="7">
        <v>2</v>
      </c>
      <c r="F923" s="7">
        <v>2</v>
      </c>
      <c r="G923" s="16">
        <v>46088</v>
      </c>
      <c r="H923" s="16" t="str">
        <f t="shared" si="56"/>
        <v>Saturday</v>
      </c>
      <c r="I923" s="12">
        <v>124</v>
      </c>
      <c r="J923" s="9">
        <f t="shared" si="57"/>
        <v>248</v>
      </c>
      <c r="K923">
        <f t="shared" si="58"/>
        <v>0</v>
      </c>
      <c r="L923" t="str">
        <f t="shared" si="59"/>
        <v>Low Stock</v>
      </c>
    </row>
    <row r="924" spans="1:12" x14ac:dyDescent="0.45">
      <c r="A924" s="20" t="s">
        <v>468</v>
      </c>
      <c r="B924" s="6">
        <v>0</v>
      </c>
      <c r="C924" s="6">
        <v>0</v>
      </c>
      <c r="D924" s="6">
        <v>1</v>
      </c>
      <c r="E924" s="6">
        <v>1</v>
      </c>
      <c r="F924" s="6">
        <v>1</v>
      </c>
      <c r="G924" s="15">
        <v>46083</v>
      </c>
      <c r="H924" s="15" t="str">
        <f t="shared" si="56"/>
        <v>Monday</v>
      </c>
      <c r="I924" s="11">
        <v>110</v>
      </c>
      <c r="J924" s="24">
        <f t="shared" si="57"/>
        <v>110</v>
      </c>
      <c r="K924">
        <f t="shared" si="58"/>
        <v>0</v>
      </c>
      <c r="L924" t="str">
        <f t="shared" si="59"/>
        <v>Low Stock</v>
      </c>
    </row>
    <row r="925" spans="1:12" x14ac:dyDescent="0.45">
      <c r="A925" s="21" t="s">
        <v>570</v>
      </c>
      <c r="B925" s="7">
        <v>60</v>
      </c>
      <c r="C925" s="7">
        <v>15</v>
      </c>
      <c r="D925" s="7">
        <v>120</v>
      </c>
      <c r="E925" s="7">
        <v>2</v>
      </c>
      <c r="F925" s="7">
        <v>2</v>
      </c>
      <c r="G925" s="16">
        <v>46082</v>
      </c>
      <c r="H925" s="16" t="str">
        <f t="shared" si="56"/>
        <v>Sunday</v>
      </c>
      <c r="I925" s="12">
        <v>118</v>
      </c>
      <c r="J925" s="9">
        <f t="shared" si="57"/>
        <v>14160</v>
      </c>
      <c r="K925">
        <f t="shared" si="58"/>
        <v>60</v>
      </c>
      <c r="L925" t="str">
        <f t="shared" si="59"/>
        <v>OK</v>
      </c>
    </row>
    <row r="926" spans="1:12" x14ac:dyDescent="0.45">
      <c r="A926" s="20" t="s">
        <v>677</v>
      </c>
      <c r="B926" s="6">
        <v>1</v>
      </c>
      <c r="C926" s="6">
        <v>15</v>
      </c>
      <c r="D926" s="6">
        <v>2</v>
      </c>
      <c r="E926" s="6">
        <v>2</v>
      </c>
      <c r="F926" s="6">
        <v>2</v>
      </c>
      <c r="G926" s="15">
        <v>46082</v>
      </c>
      <c r="H926" s="15" t="str">
        <f t="shared" si="56"/>
        <v>Sunday</v>
      </c>
      <c r="I926" s="11">
        <v>178</v>
      </c>
      <c r="J926" s="24">
        <f t="shared" si="57"/>
        <v>356</v>
      </c>
      <c r="K926">
        <f t="shared" si="58"/>
        <v>1</v>
      </c>
      <c r="L926" t="str">
        <f t="shared" si="59"/>
        <v>Low Stock</v>
      </c>
    </row>
    <row r="927" spans="1:12" x14ac:dyDescent="0.45">
      <c r="A927" s="21" t="s">
        <v>770</v>
      </c>
      <c r="B927" s="7">
        <v>60</v>
      </c>
      <c r="C927" s="7">
        <v>30</v>
      </c>
      <c r="D927" s="7">
        <v>60</v>
      </c>
      <c r="E927" s="7">
        <v>3</v>
      </c>
      <c r="F927" s="7">
        <v>3</v>
      </c>
      <c r="G927" s="16">
        <v>46088</v>
      </c>
      <c r="H927" s="16" t="str">
        <f t="shared" si="56"/>
        <v>Saturday</v>
      </c>
      <c r="I927" s="12">
        <v>111</v>
      </c>
      <c r="J927" s="9">
        <f t="shared" si="57"/>
        <v>6660</v>
      </c>
      <c r="K927">
        <f t="shared" si="58"/>
        <v>60</v>
      </c>
      <c r="L927" t="str">
        <f t="shared" si="59"/>
        <v>OK</v>
      </c>
    </row>
    <row r="928" spans="1:12" x14ac:dyDescent="0.45">
      <c r="A928" s="20" t="s">
        <v>774</v>
      </c>
      <c r="B928" s="6">
        <v>45</v>
      </c>
      <c r="C928" s="6">
        <v>18</v>
      </c>
      <c r="D928" s="6">
        <v>75</v>
      </c>
      <c r="E928" s="6">
        <v>4</v>
      </c>
      <c r="F928" s="6">
        <v>4</v>
      </c>
      <c r="G928" s="15">
        <v>46087</v>
      </c>
      <c r="H928" s="15" t="str">
        <f t="shared" si="56"/>
        <v>Friday</v>
      </c>
      <c r="I928" s="11">
        <v>116</v>
      </c>
      <c r="J928" s="24">
        <f t="shared" si="57"/>
        <v>8700</v>
      </c>
      <c r="K928">
        <f t="shared" si="58"/>
        <v>45</v>
      </c>
      <c r="L928" t="str">
        <f t="shared" si="59"/>
        <v>OK</v>
      </c>
    </row>
    <row r="929" spans="1:12" x14ac:dyDescent="0.45">
      <c r="A929" s="21" t="s">
        <v>815</v>
      </c>
      <c r="B929" s="7">
        <v>30</v>
      </c>
      <c r="C929" s="7">
        <v>20</v>
      </c>
      <c r="D929" s="7">
        <v>45</v>
      </c>
      <c r="E929" s="7">
        <v>3</v>
      </c>
      <c r="F929" s="7">
        <v>3</v>
      </c>
      <c r="G929" s="16">
        <v>46086</v>
      </c>
      <c r="H929" s="16" t="str">
        <f t="shared" si="56"/>
        <v>Thursday</v>
      </c>
      <c r="I929" s="12">
        <v>120</v>
      </c>
      <c r="J929" s="9">
        <f t="shared" si="57"/>
        <v>5400</v>
      </c>
      <c r="K929">
        <f t="shared" si="58"/>
        <v>30</v>
      </c>
      <c r="L929" t="str">
        <f t="shared" si="59"/>
        <v>OK</v>
      </c>
    </row>
    <row r="930" spans="1:12" x14ac:dyDescent="0.45">
      <c r="A930" s="20" t="s">
        <v>915</v>
      </c>
      <c r="B930" s="6">
        <v>75</v>
      </c>
      <c r="C930" s="6">
        <v>21</v>
      </c>
      <c r="D930" s="6">
        <v>105</v>
      </c>
      <c r="E930" s="6">
        <v>7</v>
      </c>
      <c r="F930" s="6">
        <v>7</v>
      </c>
      <c r="G930" s="15">
        <v>46084</v>
      </c>
      <c r="H930" s="15" t="str">
        <f t="shared" si="56"/>
        <v>Tuesday</v>
      </c>
      <c r="I930" s="11">
        <v>80</v>
      </c>
      <c r="J930" s="24">
        <f t="shared" si="57"/>
        <v>8400</v>
      </c>
      <c r="K930">
        <f t="shared" si="58"/>
        <v>75</v>
      </c>
      <c r="L930" t="str">
        <f t="shared" si="59"/>
        <v>OK</v>
      </c>
    </row>
    <row r="931" spans="1:12" x14ac:dyDescent="0.45">
      <c r="A931" s="21" t="s">
        <v>940</v>
      </c>
      <c r="B931" s="7">
        <v>30</v>
      </c>
      <c r="C931" s="7">
        <v>22</v>
      </c>
      <c r="D931" s="7">
        <v>40</v>
      </c>
      <c r="E931" s="7">
        <v>4</v>
      </c>
      <c r="F931" s="7">
        <v>3</v>
      </c>
      <c r="G931" s="16">
        <v>46083</v>
      </c>
      <c r="H931" s="16" t="str">
        <f t="shared" si="56"/>
        <v>Monday</v>
      </c>
      <c r="I931" s="12">
        <v>141</v>
      </c>
      <c r="J931" s="9">
        <f t="shared" si="57"/>
        <v>5640</v>
      </c>
      <c r="K931">
        <f t="shared" si="58"/>
        <v>30</v>
      </c>
      <c r="L931" t="str">
        <f t="shared" si="59"/>
        <v>OK</v>
      </c>
    </row>
    <row r="932" spans="1:12" x14ac:dyDescent="0.45">
      <c r="A932" s="20" t="s">
        <v>1107</v>
      </c>
      <c r="B932" s="6">
        <v>15</v>
      </c>
      <c r="C932" s="6">
        <v>30</v>
      </c>
      <c r="D932" s="6">
        <v>15</v>
      </c>
      <c r="E932" s="6">
        <v>1</v>
      </c>
      <c r="F932" s="6">
        <v>1</v>
      </c>
      <c r="G932" s="15">
        <v>46088</v>
      </c>
      <c r="H932" s="15" t="str">
        <f t="shared" si="56"/>
        <v>Saturday</v>
      </c>
      <c r="I932" s="11">
        <v>148</v>
      </c>
      <c r="J932" s="24">
        <f t="shared" si="57"/>
        <v>2220</v>
      </c>
      <c r="K932">
        <f t="shared" si="58"/>
        <v>15</v>
      </c>
      <c r="L932" t="str">
        <f t="shared" si="59"/>
        <v>OK</v>
      </c>
    </row>
    <row r="933" spans="1:12" x14ac:dyDescent="0.45">
      <c r="A933" s="21" t="s">
        <v>1125</v>
      </c>
      <c r="B933" s="7">
        <v>1</v>
      </c>
      <c r="C933" s="7">
        <v>30</v>
      </c>
      <c r="D933" s="7">
        <v>1</v>
      </c>
      <c r="E933" s="7">
        <v>1</v>
      </c>
      <c r="F933" s="7">
        <v>1</v>
      </c>
      <c r="G933" s="16">
        <v>46088</v>
      </c>
      <c r="H933" s="16" t="str">
        <f t="shared" si="56"/>
        <v>Saturday</v>
      </c>
      <c r="I933" s="12">
        <v>181</v>
      </c>
      <c r="J933" s="9">
        <f t="shared" si="57"/>
        <v>181</v>
      </c>
      <c r="K933">
        <f t="shared" si="58"/>
        <v>1</v>
      </c>
      <c r="L933" t="str">
        <f t="shared" si="59"/>
        <v>Low Stock</v>
      </c>
    </row>
    <row r="934" spans="1:12" x14ac:dyDescent="0.45">
      <c r="A934" s="20" t="s">
        <v>1151</v>
      </c>
      <c r="B934" s="6">
        <v>3</v>
      </c>
      <c r="C934" s="6">
        <v>30</v>
      </c>
      <c r="D934" s="6">
        <v>3</v>
      </c>
      <c r="E934" s="6">
        <v>3</v>
      </c>
      <c r="F934" s="6">
        <v>3</v>
      </c>
      <c r="G934" s="15">
        <v>46082</v>
      </c>
      <c r="H934" s="15" t="str">
        <f t="shared" si="56"/>
        <v>Sunday</v>
      </c>
      <c r="I934" s="11">
        <v>160</v>
      </c>
      <c r="J934" s="24">
        <f t="shared" si="57"/>
        <v>480</v>
      </c>
      <c r="K934">
        <f t="shared" si="58"/>
        <v>3</v>
      </c>
      <c r="L934" t="str">
        <f t="shared" si="59"/>
        <v>Low Stock</v>
      </c>
    </row>
    <row r="935" spans="1:12" x14ac:dyDescent="0.45">
      <c r="A935" s="21" t="s">
        <v>1195</v>
      </c>
      <c r="B935" s="7">
        <v>45</v>
      </c>
      <c r="C935" s="7">
        <v>30</v>
      </c>
      <c r="D935" s="7">
        <v>45</v>
      </c>
      <c r="E935" s="7">
        <v>2</v>
      </c>
      <c r="F935" s="7">
        <v>1</v>
      </c>
      <c r="G935" s="16">
        <v>46083</v>
      </c>
      <c r="H935" s="16" t="str">
        <f t="shared" si="56"/>
        <v>Monday</v>
      </c>
      <c r="I935" s="12">
        <v>78</v>
      </c>
      <c r="J935" s="9">
        <f t="shared" si="57"/>
        <v>3510</v>
      </c>
      <c r="K935">
        <f t="shared" si="58"/>
        <v>45</v>
      </c>
      <c r="L935" t="str">
        <f t="shared" si="59"/>
        <v>OK</v>
      </c>
    </row>
    <row r="936" spans="1:12" x14ac:dyDescent="0.45">
      <c r="A936" s="20" t="s">
        <v>1226</v>
      </c>
      <c r="B936" s="6">
        <v>2</v>
      </c>
      <c r="C936" s="6">
        <v>30</v>
      </c>
      <c r="D936" s="6">
        <v>2</v>
      </c>
      <c r="E936" s="6">
        <v>2</v>
      </c>
      <c r="F936" s="6">
        <v>2</v>
      </c>
      <c r="G936" s="15">
        <v>46083</v>
      </c>
      <c r="H936" s="15" t="str">
        <f t="shared" si="56"/>
        <v>Monday</v>
      </c>
      <c r="I936" s="11">
        <v>79</v>
      </c>
      <c r="J936" s="24">
        <f t="shared" si="57"/>
        <v>158</v>
      </c>
      <c r="K936">
        <f t="shared" si="58"/>
        <v>2</v>
      </c>
      <c r="L936" t="str">
        <f t="shared" si="59"/>
        <v>Low Stock</v>
      </c>
    </row>
    <row r="937" spans="1:12" x14ac:dyDescent="0.45">
      <c r="A937" s="21" t="s">
        <v>42</v>
      </c>
      <c r="B937" s="7">
        <v>50</v>
      </c>
      <c r="C937" s="7">
        <v>5</v>
      </c>
      <c r="D937" s="7">
        <v>260</v>
      </c>
      <c r="E937" s="7">
        <v>17</v>
      </c>
      <c r="F937" s="7">
        <v>13</v>
      </c>
      <c r="G937" s="16">
        <v>46086</v>
      </c>
      <c r="H937" s="16" t="str">
        <f t="shared" si="56"/>
        <v>Thursday</v>
      </c>
      <c r="I937" s="12">
        <v>123</v>
      </c>
      <c r="J937" s="9">
        <f t="shared" si="57"/>
        <v>31980</v>
      </c>
      <c r="K937">
        <f t="shared" si="58"/>
        <v>50</v>
      </c>
      <c r="L937" t="str">
        <f t="shared" si="59"/>
        <v>OK</v>
      </c>
    </row>
    <row r="938" spans="1:12" x14ac:dyDescent="0.45">
      <c r="A938" s="20" t="s">
        <v>438</v>
      </c>
      <c r="B938" s="6">
        <v>-2</v>
      </c>
      <c r="C938" s="6">
        <v>0</v>
      </c>
      <c r="D938" s="6">
        <v>1</v>
      </c>
      <c r="E938" s="6">
        <v>1</v>
      </c>
      <c r="F938" s="6">
        <v>1</v>
      </c>
      <c r="G938" s="15">
        <v>46085</v>
      </c>
      <c r="H938" s="15" t="str">
        <f t="shared" si="56"/>
        <v>Wednesday</v>
      </c>
      <c r="I938" s="11">
        <v>165</v>
      </c>
      <c r="J938" s="24">
        <f t="shared" si="57"/>
        <v>165</v>
      </c>
      <c r="K938">
        <f t="shared" si="58"/>
        <v>0</v>
      </c>
      <c r="L938" t="str">
        <f t="shared" si="59"/>
        <v>Low Stock</v>
      </c>
    </row>
    <row r="939" spans="1:12" x14ac:dyDescent="0.45">
      <c r="A939" s="21" t="s">
        <v>831</v>
      </c>
      <c r="B939" s="7">
        <v>30</v>
      </c>
      <c r="C939" s="7">
        <v>30</v>
      </c>
      <c r="D939" s="7">
        <v>30</v>
      </c>
      <c r="E939" s="7">
        <v>3</v>
      </c>
      <c r="F939" s="7">
        <v>3</v>
      </c>
      <c r="G939" s="16">
        <v>46084</v>
      </c>
      <c r="H939" s="16" t="str">
        <f t="shared" si="56"/>
        <v>Tuesday</v>
      </c>
      <c r="I939" s="12">
        <v>147</v>
      </c>
      <c r="J939" s="9">
        <f t="shared" si="57"/>
        <v>4410</v>
      </c>
      <c r="K939">
        <f t="shared" si="58"/>
        <v>30</v>
      </c>
      <c r="L939" t="str">
        <f t="shared" si="59"/>
        <v>OK</v>
      </c>
    </row>
    <row r="940" spans="1:12" x14ac:dyDescent="0.45">
      <c r="A940" s="20" t="s">
        <v>951</v>
      </c>
      <c r="B940" s="6">
        <v>24</v>
      </c>
      <c r="C940" s="6">
        <v>16</v>
      </c>
      <c r="D940" s="6">
        <v>45</v>
      </c>
      <c r="E940" s="6">
        <v>3</v>
      </c>
      <c r="F940" s="6">
        <v>2</v>
      </c>
      <c r="G940" s="15">
        <v>46088</v>
      </c>
      <c r="H940" s="15" t="str">
        <f t="shared" si="56"/>
        <v>Saturday</v>
      </c>
      <c r="I940" s="11">
        <v>75</v>
      </c>
      <c r="J940" s="24">
        <f t="shared" si="57"/>
        <v>3375</v>
      </c>
      <c r="K940">
        <f t="shared" si="58"/>
        <v>24</v>
      </c>
      <c r="L940" t="str">
        <f t="shared" si="59"/>
        <v>OK</v>
      </c>
    </row>
    <row r="941" spans="1:12" x14ac:dyDescent="0.45">
      <c r="A941" s="21" t="s">
        <v>992</v>
      </c>
      <c r="B941" s="7">
        <v>10</v>
      </c>
      <c r="C941" s="7">
        <v>30</v>
      </c>
      <c r="D941" s="7">
        <v>10</v>
      </c>
      <c r="E941" s="7">
        <v>1</v>
      </c>
      <c r="F941" s="7">
        <v>1</v>
      </c>
      <c r="G941" s="16">
        <v>46082</v>
      </c>
      <c r="H941" s="16" t="str">
        <f t="shared" si="56"/>
        <v>Sunday</v>
      </c>
      <c r="I941" s="12">
        <v>199</v>
      </c>
      <c r="J941" s="9">
        <f t="shared" si="57"/>
        <v>1990</v>
      </c>
      <c r="K941">
        <f t="shared" si="58"/>
        <v>10</v>
      </c>
      <c r="L941" t="str">
        <f t="shared" si="59"/>
        <v>OK</v>
      </c>
    </row>
    <row r="942" spans="1:12" x14ac:dyDescent="0.45">
      <c r="A942" s="20" t="s">
        <v>1032</v>
      </c>
      <c r="B942" s="6">
        <v>45</v>
      </c>
      <c r="C942" s="6">
        <v>22</v>
      </c>
      <c r="D942" s="6">
        <v>60</v>
      </c>
      <c r="E942" s="6">
        <v>1</v>
      </c>
      <c r="F942" s="6">
        <v>1</v>
      </c>
      <c r="G942" s="15">
        <v>46086</v>
      </c>
      <c r="H942" s="15" t="str">
        <f t="shared" si="56"/>
        <v>Thursday</v>
      </c>
      <c r="I942" s="11">
        <v>125</v>
      </c>
      <c r="J942" s="24">
        <f t="shared" si="57"/>
        <v>7500</v>
      </c>
      <c r="K942">
        <f t="shared" si="58"/>
        <v>45</v>
      </c>
      <c r="L942" t="str">
        <f t="shared" si="59"/>
        <v>OK</v>
      </c>
    </row>
    <row r="943" spans="1:12" x14ac:dyDescent="0.45">
      <c r="A943" s="21" t="s">
        <v>220</v>
      </c>
      <c r="B943" s="7">
        <v>0</v>
      </c>
      <c r="C943" s="7">
        <v>0</v>
      </c>
      <c r="D943" s="7">
        <v>1</v>
      </c>
      <c r="E943" s="7">
        <v>1</v>
      </c>
      <c r="F943" s="7">
        <v>1</v>
      </c>
      <c r="G943" s="16">
        <v>46082</v>
      </c>
      <c r="H943" s="16" t="str">
        <f t="shared" si="56"/>
        <v>Sunday</v>
      </c>
      <c r="I943" s="12">
        <v>100</v>
      </c>
      <c r="J943" s="9">
        <f t="shared" si="57"/>
        <v>100</v>
      </c>
      <c r="K943">
        <f t="shared" si="58"/>
        <v>0</v>
      </c>
      <c r="L943" t="str">
        <f t="shared" si="59"/>
        <v>Low Stock</v>
      </c>
    </row>
    <row r="944" spans="1:12" x14ac:dyDescent="0.45">
      <c r="A944" s="20" t="s">
        <v>333</v>
      </c>
      <c r="B944" s="6">
        <v>0</v>
      </c>
      <c r="C944" s="6">
        <v>0</v>
      </c>
      <c r="D944" s="6">
        <v>150</v>
      </c>
      <c r="E944" s="6">
        <v>7</v>
      </c>
      <c r="F944" s="6">
        <v>7</v>
      </c>
      <c r="G944" s="15">
        <v>46084</v>
      </c>
      <c r="H944" s="15" t="str">
        <f t="shared" si="56"/>
        <v>Tuesday</v>
      </c>
      <c r="I944" s="11">
        <v>77</v>
      </c>
      <c r="J944" s="24">
        <f t="shared" si="57"/>
        <v>11550</v>
      </c>
      <c r="K944">
        <f t="shared" si="58"/>
        <v>0</v>
      </c>
      <c r="L944" t="str">
        <f t="shared" si="59"/>
        <v>Low Stock</v>
      </c>
    </row>
    <row r="945" spans="1:12" x14ac:dyDescent="0.45">
      <c r="A945" s="21" t="s">
        <v>450</v>
      </c>
      <c r="B945" s="7">
        <v>-43</v>
      </c>
      <c r="C945" s="7">
        <v>0</v>
      </c>
      <c r="D945" s="7">
        <v>55</v>
      </c>
      <c r="E945" s="7">
        <v>5</v>
      </c>
      <c r="F945" s="7">
        <v>5</v>
      </c>
      <c r="G945" s="16">
        <v>46082</v>
      </c>
      <c r="H945" s="16" t="str">
        <f t="shared" si="56"/>
        <v>Sunday</v>
      </c>
      <c r="I945" s="12">
        <v>131</v>
      </c>
      <c r="J945" s="9">
        <f t="shared" si="57"/>
        <v>7205</v>
      </c>
      <c r="K945">
        <f t="shared" si="58"/>
        <v>0</v>
      </c>
      <c r="L945" t="str">
        <f t="shared" si="59"/>
        <v>Low Stock</v>
      </c>
    </row>
    <row r="946" spans="1:12" x14ac:dyDescent="0.45">
      <c r="A946" s="20" t="s">
        <v>538</v>
      </c>
      <c r="B946" s="6">
        <v>20</v>
      </c>
      <c r="C946" s="6">
        <v>8</v>
      </c>
      <c r="D946" s="6">
        <v>70</v>
      </c>
      <c r="E946" s="6">
        <v>4</v>
      </c>
      <c r="F946" s="6">
        <v>4</v>
      </c>
      <c r="G946" s="15">
        <v>46084</v>
      </c>
      <c r="H946" s="15" t="str">
        <f t="shared" si="56"/>
        <v>Tuesday</v>
      </c>
      <c r="I946" s="11">
        <v>121</v>
      </c>
      <c r="J946" s="24">
        <f t="shared" si="57"/>
        <v>8470</v>
      </c>
      <c r="K946">
        <f t="shared" si="58"/>
        <v>20</v>
      </c>
      <c r="L946" t="str">
        <f t="shared" si="59"/>
        <v>OK</v>
      </c>
    </row>
    <row r="947" spans="1:12" x14ac:dyDescent="0.45">
      <c r="A947" s="21" t="s">
        <v>708</v>
      </c>
      <c r="B947" s="7">
        <v>1</v>
      </c>
      <c r="C947" s="7">
        <v>15</v>
      </c>
      <c r="D947" s="7">
        <v>2</v>
      </c>
      <c r="E947" s="7">
        <v>2</v>
      </c>
      <c r="F947" s="7">
        <v>2</v>
      </c>
      <c r="G947" s="16">
        <v>46087</v>
      </c>
      <c r="H947" s="16" t="str">
        <f t="shared" si="56"/>
        <v>Friday</v>
      </c>
      <c r="I947" s="12">
        <v>120</v>
      </c>
      <c r="J947" s="9">
        <f t="shared" si="57"/>
        <v>240</v>
      </c>
      <c r="K947">
        <f t="shared" si="58"/>
        <v>1</v>
      </c>
      <c r="L947" t="str">
        <f t="shared" si="59"/>
        <v>Low Stock</v>
      </c>
    </row>
    <row r="948" spans="1:12" x14ac:dyDescent="0.45">
      <c r="A948" s="20" t="s">
        <v>714</v>
      </c>
      <c r="B948" s="6">
        <v>5</v>
      </c>
      <c r="C948" s="6">
        <v>21</v>
      </c>
      <c r="D948" s="6">
        <v>7</v>
      </c>
      <c r="E948" s="6">
        <v>3</v>
      </c>
      <c r="F948" s="6">
        <v>3</v>
      </c>
      <c r="G948" s="15">
        <v>46082</v>
      </c>
      <c r="H948" s="15" t="str">
        <f t="shared" si="56"/>
        <v>Sunday</v>
      </c>
      <c r="I948" s="11">
        <v>189</v>
      </c>
      <c r="J948" s="24">
        <f t="shared" si="57"/>
        <v>1323</v>
      </c>
      <c r="K948">
        <f t="shared" si="58"/>
        <v>5</v>
      </c>
      <c r="L948" t="str">
        <f t="shared" si="59"/>
        <v>OK</v>
      </c>
    </row>
    <row r="949" spans="1:12" x14ac:dyDescent="0.45">
      <c r="A949" s="21" t="s">
        <v>756</v>
      </c>
      <c r="B949" s="7">
        <v>135</v>
      </c>
      <c r="C949" s="7">
        <v>30</v>
      </c>
      <c r="D949" s="7">
        <v>135</v>
      </c>
      <c r="E949" s="7">
        <v>4</v>
      </c>
      <c r="F949" s="7">
        <v>4</v>
      </c>
      <c r="G949" s="16">
        <v>46082</v>
      </c>
      <c r="H949" s="16" t="str">
        <f t="shared" si="56"/>
        <v>Sunday</v>
      </c>
      <c r="I949" s="12">
        <v>87</v>
      </c>
      <c r="J949" s="9">
        <f t="shared" si="57"/>
        <v>11745</v>
      </c>
      <c r="K949">
        <f t="shared" si="58"/>
        <v>135</v>
      </c>
      <c r="L949" t="str">
        <f t="shared" si="59"/>
        <v>OK</v>
      </c>
    </row>
    <row r="950" spans="1:12" x14ac:dyDescent="0.45">
      <c r="A950" s="20" t="s">
        <v>792</v>
      </c>
      <c r="B950" s="6">
        <v>24</v>
      </c>
      <c r="C950" s="6">
        <v>22</v>
      </c>
      <c r="D950" s="6">
        <v>32</v>
      </c>
      <c r="E950" s="6">
        <v>4</v>
      </c>
      <c r="F950" s="6">
        <v>4</v>
      </c>
      <c r="G950" s="15">
        <v>46082</v>
      </c>
      <c r="H950" s="15" t="str">
        <f t="shared" si="56"/>
        <v>Sunday</v>
      </c>
      <c r="I950" s="11">
        <v>116</v>
      </c>
      <c r="J950" s="24">
        <f t="shared" si="57"/>
        <v>3712</v>
      </c>
      <c r="K950">
        <f t="shared" si="58"/>
        <v>24</v>
      </c>
      <c r="L950" t="str">
        <f t="shared" si="59"/>
        <v>OK</v>
      </c>
    </row>
    <row r="951" spans="1:12" x14ac:dyDescent="0.45">
      <c r="A951" s="21" t="s">
        <v>853</v>
      </c>
      <c r="B951" s="7">
        <v>30</v>
      </c>
      <c r="C951" s="7">
        <v>30</v>
      </c>
      <c r="D951" s="7">
        <v>30</v>
      </c>
      <c r="E951" s="7">
        <v>2</v>
      </c>
      <c r="F951" s="7">
        <v>2</v>
      </c>
      <c r="G951" s="16">
        <v>46084</v>
      </c>
      <c r="H951" s="16" t="str">
        <f t="shared" si="56"/>
        <v>Tuesday</v>
      </c>
      <c r="I951" s="12">
        <v>120</v>
      </c>
      <c r="J951" s="9">
        <f t="shared" si="57"/>
        <v>3600</v>
      </c>
      <c r="K951">
        <f t="shared" si="58"/>
        <v>30</v>
      </c>
      <c r="L951" t="str">
        <f t="shared" si="59"/>
        <v>OK</v>
      </c>
    </row>
    <row r="952" spans="1:12" x14ac:dyDescent="0.45">
      <c r="A952" s="20" t="s">
        <v>858</v>
      </c>
      <c r="B952" s="6">
        <v>40</v>
      </c>
      <c r="C952" s="6">
        <v>20</v>
      </c>
      <c r="D952" s="6">
        <v>60</v>
      </c>
      <c r="E952" s="6">
        <v>4</v>
      </c>
      <c r="F952" s="6">
        <v>2</v>
      </c>
      <c r="G952" s="15">
        <v>46085</v>
      </c>
      <c r="H952" s="15" t="str">
        <f t="shared" si="56"/>
        <v>Wednesday</v>
      </c>
      <c r="I952" s="11">
        <v>82</v>
      </c>
      <c r="J952" s="24">
        <f t="shared" si="57"/>
        <v>4920</v>
      </c>
      <c r="K952">
        <f t="shared" si="58"/>
        <v>40</v>
      </c>
      <c r="L952" t="str">
        <f t="shared" si="59"/>
        <v>OK</v>
      </c>
    </row>
    <row r="953" spans="1:12" x14ac:dyDescent="0.45">
      <c r="A953" s="21" t="s">
        <v>862</v>
      </c>
      <c r="B953" s="7">
        <v>30</v>
      </c>
      <c r="C953" s="7">
        <v>22</v>
      </c>
      <c r="D953" s="7">
        <v>40</v>
      </c>
      <c r="E953" s="7">
        <v>2</v>
      </c>
      <c r="F953" s="7">
        <v>2</v>
      </c>
      <c r="G953" s="16">
        <v>46085</v>
      </c>
      <c r="H953" s="16" t="str">
        <f t="shared" si="56"/>
        <v>Wednesday</v>
      </c>
      <c r="I953" s="12">
        <v>64</v>
      </c>
      <c r="J953" s="9">
        <f t="shared" si="57"/>
        <v>2560</v>
      </c>
      <c r="K953">
        <f t="shared" si="58"/>
        <v>30</v>
      </c>
      <c r="L953" t="str">
        <f t="shared" si="59"/>
        <v>OK</v>
      </c>
    </row>
    <row r="954" spans="1:12" x14ac:dyDescent="0.45">
      <c r="A954" s="20" t="s">
        <v>928</v>
      </c>
      <c r="B954" s="6">
        <v>405</v>
      </c>
      <c r="C954" s="6">
        <v>26</v>
      </c>
      <c r="D954" s="6">
        <v>465</v>
      </c>
      <c r="E954" s="6">
        <v>23</v>
      </c>
      <c r="F954" s="6">
        <v>17</v>
      </c>
      <c r="G954" s="15">
        <v>46087</v>
      </c>
      <c r="H954" s="15" t="str">
        <f t="shared" si="56"/>
        <v>Friday</v>
      </c>
      <c r="I954" s="11">
        <v>105</v>
      </c>
      <c r="J954" s="24">
        <f t="shared" si="57"/>
        <v>48825</v>
      </c>
      <c r="K954">
        <f t="shared" si="58"/>
        <v>405</v>
      </c>
      <c r="L954" t="str">
        <f t="shared" si="59"/>
        <v>OK</v>
      </c>
    </row>
    <row r="955" spans="1:12" x14ac:dyDescent="0.45">
      <c r="A955" s="21" t="s">
        <v>939</v>
      </c>
      <c r="B955" s="7">
        <v>30</v>
      </c>
      <c r="C955" s="7">
        <v>22</v>
      </c>
      <c r="D955" s="7">
        <v>40</v>
      </c>
      <c r="E955" s="7">
        <v>4</v>
      </c>
      <c r="F955" s="7">
        <v>4</v>
      </c>
      <c r="G955" s="16">
        <v>46087</v>
      </c>
      <c r="H955" s="16" t="str">
        <f t="shared" si="56"/>
        <v>Friday</v>
      </c>
      <c r="I955" s="12">
        <v>138</v>
      </c>
      <c r="J955" s="9">
        <f t="shared" si="57"/>
        <v>5520</v>
      </c>
      <c r="K955">
        <f t="shared" si="58"/>
        <v>30</v>
      </c>
      <c r="L955" t="str">
        <f t="shared" si="59"/>
        <v>OK</v>
      </c>
    </row>
    <row r="956" spans="1:12" x14ac:dyDescent="0.45">
      <c r="A956" s="20" t="s">
        <v>1036</v>
      </c>
      <c r="B956" s="6">
        <v>4</v>
      </c>
      <c r="C956" s="6">
        <v>17</v>
      </c>
      <c r="D956" s="6">
        <v>7</v>
      </c>
      <c r="E956" s="6">
        <v>7</v>
      </c>
      <c r="F956" s="6">
        <v>7</v>
      </c>
      <c r="G956" s="15">
        <v>46086</v>
      </c>
      <c r="H956" s="15" t="str">
        <f t="shared" si="56"/>
        <v>Thursday</v>
      </c>
      <c r="I956" s="11">
        <v>118</v>
      </c>
      <c r="J956" s="24">
        <f t="shared" si="57"/>
        <v>826</v>
      </c>
      <c r="K956">
        <f t="shared" si="58"/>
        <v>4</v>
      </c>
      <c r="L956" t="str">
        <f t="shared" si="59"/>
        <v>Low Stock</v>
      </c>
    </row>
    <row r="957" spans="1:12" x14ac:dyDescent="0.45">
      <c r="A957" s="21" t="s">
        <v>1040</v>
      </c>
      <c r="B957" s="7">
        <v>1</v>
      </c>
      <c r="C957" s="7">
        <v>30</v>
      </c>
      <c r="D957" s="7">
        <v>1</v>
      </c>
      <c r="E957" s="7">
        <v>1</v>
      </c>
      <c r="F957" s="7">
        <v>1</v>
      </c>
      <c r="G957" s="16">
        <v>46082</v>
      </c>
      <c r="H957" s="16" t="str">
        <f t="shared" si="56"/>
        <v>Sunday</v>
      </c>
      <c r="I957" s="12">
        <v>82</v>
      </c>
      <c r="J957" s="9">
        <f t="shared" si="57"/>
        <v>82</v>
      </c>
      <c r="K957">
        <f t="shared" si="58"/>
        <v>1</v>
      </c>
      <c r="L957" t="str">
        <f t="shared" si="59"/>
        <v>Low Stock</v>
      </c>
    </row>
    <row r="958" spans="1:12" x14ac:dyDescent="0.45">
      <c r="A958" s="20" t="s">
        <v>1191</v>
      </c>
      <c r="B958" s="6">
        <v>30</v>
      </c>
      <c r="C958" s="6">
        <v>20</v>
      </c>
      <c r="D958" s="6">
        <v>45</v>
      </c>
      <c r="E958" s="6">
        <v>2</v>
      </c>
      <c r="F958" s="6">
        <v>2</v>
      </c>
      <c r="G958" s="15">
        <v>46085</v>
      </c>
      <c r="H958" s="15" t="str">
        <f t="shared" si="56"/>
        <v>Wednesday</v>
      </c>
      <c r="I958" s="11">
        <v>146</v>
      </c>
      <c r="J958" s="24">
        <f t="shared" si="57"/>
        <v>6570</v>
      </c>
      <c r="K958">
        <f t="shared" si="58"/>
        <v>30</v>
      </c>
      <c r="L958" t="str">
        <f t="shared" si="59"/>
        <v>OK</v>
      </c>
    </row>
    <row r="959" spans="1:12" x14ac:dyDescent="0.45">
      <c r="A959" s="21" t="s">
        <v>214</v>
      </c>
      <c r="B959" s="7">
        <v>-1</v>
      </c>
      <c r="C959" s="7">
        <v>0</v>
      </c>
      <c r="D959" s="7">
        <v>1</v>
      </c>
      <c r="E959" s="7">
        <v>1</v>
      </c>
      <c r="F959" s="7">
        <v>1</v>
      </c>
      <c r="G959" s="16">
        <v>46082</v>
      </c>
      <c r="H959" s="16" t="str">
        <f t="shared" si="56"/>
        <v>Sunday</v>
      </c>
      <c r="I959" s="12">
        <v>189</v>
      </c>
      <c r="J959" s="9">
        <f t="shared" si="57"/>
        <v>189</v>
      </c>
      <c r="K959">
        <f t="shared" si="58"/>
        <v>0</v>
      </c>
      <c r="L959" t="str">
        <f t="shared" si="59"/>
        <v>Low Stock</v>
      </c>
    </row>
    <row r="960" spans="1:12" x14ac:dyDescent="0.45">
      <c r="A960" s="20" t="s">
        <v>225</v>
      </c>
      <c r="B960" s="6">
        <v>-10</v>
      </c>
      <c r="C960" s="6">
        <v>0</v>
      </c>
      <c r="D960" s="6">
        <v>3</v>
      </c>
      <c r="E960" s="6">
        <v>3</v>
      </c>
      <c r="F960" s="6">
        <v>3</v>
      </c>
      <c r="G960" s="15">
        <v>46088</v>
      </c>
      <c r="H960" s="15" t="str">
        <f t="shared" si="56"/>
        <v>Saturday</v>
      </c>
      <c r="I960" s="11">
        <v>159</v>
      </c>
      <c r="J960" s="24">
        <f t="shared" si="57"/>
        <v>477</v>
      </c>
      <c r="K960">
        <f t="shared" si="58"/>
        <v>0</v>
      </c>
      <c r="L960" t="str">
        <f t="shared" si="59"/>
        <v>Low Stock</v>
      </c>
    </row>
    <row r="961" spans="1:12" x14ac:dyDescent="0.45">
      <c r="A961" s="21" t="s">
        <v>430</v>
      </c>
      <c r="B961" s="7">
        <v>-3</v>
      </c>
      <c r="C961" s="7">
        <v>0</v>
      </c>
      <c r="D961" s="7">
        <v>5</v>
      </c>
      <c r="E961" s="7">
        <v>5</v>
      </c>
      <c r="F961" s="7">
        <v>5</v>
      </c>
      <c r="G961" s="16">
        <v>46084</v>
      </c>
      <c r="H961" s="16" t="str">
        <f t="shared" si="56"/>
        <v>Tuesday</v>
      </c>
      <c r="I961" s="12">
        <v>176</v>
      </c>
      <c r="J961" s="9">
        <f t="shared" si="57"/>
        <v>880</v>
      </c>
      <c r="K961">
        <f t="shared" si="58"/>
        <v>0</v>
      </c>
      <c r="L961" t="str">
        <f t="shared" si="59"/>
        <v>Low Stock</v>
      </c>
    </row>
    <row r="962" spans="1:12" x14ac:dyDescent="0.45">
      <c r="A962" s="20" t="s">
        <v>433</v>
      </c>
      <c r="B962" s="6">
        <v>-6</v>
      </c>
      <c r="C962" s="6">
        <v>0</v>
      </c>
      <c r="D962" s="6">
        <v>3</v>
      </c>
      <c r="E962" s="6">
        <v>3</v>
      </c>
      <c r="F962" s="6">
        <v>3</v>
      </c>
      <c r="G962" s="15">
        <v>46085</v>
      </c>
      <c r="H962" s="15" t="str">
        <f t="shared" ref="H962:H1025" si="60">TEXT(G962,"dddd")</f>
        <v>Wednesday</v>
      </c>
      <c r="I962" s="11">
        <v>142</v>
      </c>
      <c r="J962" s="24">
        <f t="shared" ref="J962:J1025" si="61">D962*I962</f>
        <v>426</v>
      </c>
      <c r="K962">
        <f t="shared" ref="K962:K1025" si="62">IF(B962&lt;0,0,B962)</f>
        <v>0</v>
      </c>
      <c r="L962" t="str">
        <f t="shared" ref="L962:L1025" si="63">IF(K962&lt;5,"Low Stock","OK")</f>
        <v>Low Stock</v>
      </c>
    </row>
    <row r="963" spans="1:12" x14ac:dyDescent="0.45">
      <c r="A963" s="21" t="s">
        <v>457</v>
      </c>
      <c r="B963" s="7">
        <v>0</v>
      </c>
      <c r="C963" s="7">
        <v>0</v>
      </c>
      <c r="D963" s="7">
        <v>30</v>
      </c>
      <c r="E963" s="7">
        <v>1</v>
      </c>
      <c r="F963" s="7">
        <v>1</v>
      </c>
      <c r="G963" s="16">
        <v>46085</v>
      </c>
      <c r="H963" s="16" t="str">
        <f t="shared" si="60"/>
        <v>Wednesday</v>
      </c>
      <c r="I963" s="12">
        <v>136</v>
      </c>
      <c r="J963" s="9">
        <f t="shared" si="61"/>
        <v>4080</v>
      </c>
      <c r="K963">
        <f t="shared" si="62"/>
        <v>0</v>
      </c>
      <c r="L963" t="str">
        <f t="shared" si="63"/>
        <v>Low Stock</v>
      </c>
    </row>
    <row r="964" spans="1:12" x14ac:dyDescent="0.45">
      <c r="A964" s="20" t="s">
        <v>599</v>
      </c>
      <c r="B964" s="6">
        <v>45</v>
      </c>
      <c r="C964" s="6">
        <v>15</v>
      </c>
      <c r="D964" s="6">
        <v>90</v>
      </c>
      <c r="E964" s="6">
        <v>3</v>
      </c>
      <c r="F964" s="6">
        <v>2</v>
      </c>
      <c r="G964" s="15">
        <v>46085</v>
      </c>
      <c r="H964" s="15" t="str">
        <f t="shared" si="60"/>
        <v>Wednesday</v>
      </c>
      <c r="I964" s="11">
        <v>135</v>
      </c>
      <c r="J964" s="24">
        <f t="shared" si="61"/>
        <v>12150</v>
      </c>
      <c r="K964">
        <f t="shared" si="62"/>
        <v>45</v>
      </c>
      <c r="L964" t="str">
        <f t="shared" si="63"/>
        <v>OK</v>
      </c>
    </row>
    <row r="965" spans="1:12" x14ac:dyDescent="0.45">
      <c r="A965" s="21" t="s">
        <v>851</v>
      </c>
      <c r="B965" s="7">
        <v>4</v>
      </c>
      <c r="C965" s="7">
        <v>17</v>
      </c>
      <c r="D965" s="7">
        <v>7</v>
      </c>
      <c r="E965" s="7">
        <v>7</v>
      </c>
      <c r="F965" s="7">
        <v>6</v>
      </c>
      <c r="G965" s="16">
        <v>46084</v>
      </c>
      <c r="H965" s="16" t="str">
        <f t="shared" si="60"/>
        <v>Tuesday</v>
      </c>
      <c r="I965" s="12">
        <v>118</v>
      </c>
      <c r="J965" s="9">
        <f t="shared" si="61"/>
        <v>826</v>
      </c>
      <c r="K965">
        <f t="shared" si="62"/>
        <v>4</v>
      </c>
      <c r="L965" t="str">
        <f t="shared" si="63"/>
        <v>Low Stock</v>
      </c>
    </row>
    <row r="966" spans="1:12" x14ac:dyDescent="0.45">
      <c r="A966" s="20" t="s">
        <v>1119</v>
      </c>
      <c r="B966" s="6">
        <v>15</v>
      </c>
      <c r="C966" s="6">
        <v>30</v>
      </c>
      <c r="D966" s="6">
        <v>15</v>
      </c>
      <c r="E966" s="6">
        <v>1</v>
      </c>
      <c r="F966" s="6">
        <v>1</v>
      </c>
      <c r="G966" s="15">
        <v>46084</v>
      </c>
      <c r="H966" s="15" t="str">
        <f t="shared" si="60"/>
        <v>Tuesday</v>
      </c>
      <c r="I966" s="11">
        <v>81</v>
      </c>
      <c r="J966" s="24">
        <f t="shared" si="61"/>
        <v>1215</v>
      </c>
      <c r="K966">
        <f t="shared" si="62"/>
        <v>15</v>
      </c>
      <c r="L966" t="str">
        <f t="shared" si="63"/>
        <v>OK</v>
      </c>
    </row>
    <row r="967" spans="1:12" x14ac:dyDescent="0.45">
      <c r="A967" s="21" t="s">
        <v>1199</v>
      </c>
      <c r="B967" s="7">
        <v>1</v>
      </c>
      <c r="C967" s="7">
        <v>30</v>
      </c>
      <c r="D967" s="7">
        <v>1</v>
      </c>
      <c r="E967" s="7">
        <v>1</v>
      </c>
      <c r="F967" s="7">
        <v>1</v>
      </c>
      <c r="G967" s="16">
        <v>46084</v>
      </c>
      <c r="H967" s="16" t="str">
        <f t="shared" si="60"/>
        <v>Tuesday</v>
      </c>
      <c r="I967" s="12">
        <v>74</v>
      </c>
      <c r="J967" s="9">
        <f t="shared" si="61"/>
        <v>74</v>
      </c>
      <c r="K967">
        <f t="shared" si="62"/>
        <v>1</v>
      </c>
      <c r="L967" t="str">
        <f t="shared" si="63"/>
        <v>Low Stock</v>
      </c>
    </row>
    <row r="968" spans="1:12" x14ac:dyDescent="0.45">
      <c r="A968" s="20" t="s">
        <v>1247</v>
      </c>
      <c r="B968" s="6">
        <v>20</v>
      </c>
      <c r="C968" s="6">
        <v>30</v>
      </c>
      <c r="D968" s="6">
        <v>20</v>
      </c>
      <c r="E968" s="6">
        <v>1</v>
      </c>
      <c r="F968" s="6">
        <v>1</v>
      </c>
      <c r="G968" s="15">
        <v>46083</v>
      </c>
      <c r="H968" s="15" t="str">
        <f t="shared" si="60"/>
        <v>Monday</v>
      </c>
      <c r="I968" s="11">
        <v>106</v>
      </c>
      <c r="J968" s="24">
        <f t="shared" si="61"/>
        <v>2120</v>
      </c>
      <c r="K968">
        <f t="shared" si="62"/>
        <v>20</v>
      </c>
      <c r="L968" t="str">
        <f t="shared" si="63"/>
        <v>OK</v>
      </c>
    </row>
    <row r="969" spans="1:12" x14ac:dyDescent="0.45">
      <c r="A969" s="21" t="s">
        <v>130</v>
      </c>
      <c r="B969" s="7">
        <v>15</v>
      </c>
      <c r="C969" s="7">
        <v>7</v>
      </c>
      <c r="D969" s="7">
        <v>60</v>
      </c>
      <c r="E969" s="7">
        <v>3</v>
      </c>
      <c r="F969" s="7">
        <v>3</v>
      </c>
      <c r="G969" s="16">
        <v>46082</v>
      </c>
      <c r="H969" s="16" t="str">
        <f t="shared" si="60"/>
        <v>Sunday</v>
      </c>
      <c r="I969" s="12">
        <v>60</v>
      </c>
      <c r="J969" s="9">
        <f t="shared" si="61"/>
        <v>3600</v>
      </c>
      <c r="K969">
        <f t="shared" si="62"/>
        <v>15</v>
      </c>
      <c r="L969" t="str">
        <f t="shared" si="63"/>
        <v>OK</v>
      </c>
    </row>
    <row r="970" spans="1:12" x14ac:dyDescent="0.45">
      <c r="A970" s="20" t="s">
        <v>472</v>
      </c>
      <c r="B970" s="6">
        <v>-4</v>
      </c>
      <c r="C970" s="6">
        <v>0</v>
      </c>
      <c r="D970" s="6">
        <v>2</v>
      </c>
      <c r="E970" s="6">
        <v>2</v>
      </c>
      <c r="F970" s="6">
        <v>2</v>
      </c>
      <c r="G970" s="15">
        <v>46087</v>
      </c>
      <c r="H970" s="15" t="str">
        <f t="shared" si="60"/>
        <v>Friday</v>
      </c>
      <c r="I970" s="11">
        <v>103</v>
      </c>
      <c r="J970" s="24">
        <f t="shared" si="61"/>
        <v>206</v>
      </c>
      <c r="K970">
        <f t="shared" si="62"/>
        <v>0</v>
      </c>
      <c r="L970" t="str">
        <f t="shared" si="63"/>
        <v>Low Stock</v>
      </c>
    </row>
    <row r="971" spans="1:12" x14ac:dyDescent="0.45">
      <c r="A971" s="21" t="s">
        <v>500</v>
      </c>
      <c r="B971" s="7">
        <v>0</v>
      </c>
      <c r="C971" s="7">
        <v>0</v>
      </c>
      <c r="D971" s="7">
        <v>1</v>
      </c>
      <c r="E971" s="7">
        <v>1</v>
      </c>
      <c r="F971" s="7">
        <v>1</v>
      </c>
      <c r="G971" s="16">
        <v>46083</v>
      </c>
      <c r="H971" s="16" t="str">
        <f t="shared" si="60"/>
        <v>Monday</v>
      </c>
      <c r="I971" s="12">
        <v>134</v>
      </c>
      <c r="J971" s="9">
        <f t="shared" si="61"/>
        <v>134</v>
      </c>
      <c r="K971">
        <f t="shared" si="62"/>
        <v>0</v>
      </c>
      <c r="L971" t="str">
        <f t="shared" si="63"/>
        <v>Low Stock</v>
      </c>
    </row>
    <row r="972" spans="1:12" x14ac:dyDescent="0.45">
      <c r="A972" s="20" t="s">
        <v>523</v>
      </c>
      <c r="B972" s="6">
        <v>30</v>
      </c>
      <c r="C972" s="6">
        <v>8</v>
      </c>
      <c r="D972" s="6">
        <v>110</v>
      </c>
      <c r="E972" s="6">
        <v>5</v>
      </c>
      <c r="F972" s="6">
        <v>5</v>
      </c>
      <c r="G972" s="15">
        <v>46083</v>
      </c>
      <c r="H972" s="15" t="str">
        <f t="shared" si="60"/>
        <v>Monday</v>
      </c>
      <c r="I972" s="11">
        <v>171</v>
      </c>
      <c r="J972" s="24">
        <f t="shared" si="61"/>
        <v>18810</v>
      </c>
      <c r="K972">
        <f t="shared" si="62"/>
        <v>30</v>
      </c>
      <c r="L972" t="str">
        <f t="shared" si="63"/>
        <v>OK</v>
      </c>
    </row>
    <row r="973" spans="1:12" x14ac:dyDescent="0.45">
      <c r="A973" s="21" t="s">
        <v>566</v>
      </c>
      <c r="B973" s="7">
        <v>30</v>
      </c>
      <c r="C973" s="7">
        <v>12</v>
      </c>
      <c r="D973" s="7">
        <v>70</v>
      </c>
      <c r="E973" s="7">
        <v>3</v>
      </c>
      <c r="F973" s="7">
        <v>3</v>
      </c>
      <c r="G973" s="16">
        <v>46084</v>
      </c>
      <c r="H973" s="16" t="str">
        <f t="shared" si="60"/>
        <v>Tuesday</v>
      </c>
      <c r="I973" s="12">
        <v>97</v>
      </c>
      <c r="J973" s="9">
        <f t="shared" si="61"/>
        <v>6790</v>
      </c>
      <c r="K973">
        <f t="shared" si="62"/>
        <v>30</v>
      </c>
      <c r="L973" t="str">
        <f t="shared" si="63"/>
        <v>OK</v>
      </c>
    </row>
    <row r="974" spans="1:12" x14ac:dyDescent="0.45">
      <c r="A974" s="20" t="s">
        <v>607</v>
      </c>
      <c r="B974" s="6">
        <v>1</v>
      </c>
      <c r="C974" s="6">
        <v>15</v>
      </c>
      <c r="D974" s="6">
        <v>2</v>
      </c>
      <c r="E974" s="6">
        <v>2</v>
      </c>
      <c r="F974" s="6">
        <v>2</v>
      </c>
      <c r="G974" s="15">
        <v>46088</v>
      </c>
      <c r="H974" s="15" t="str">
        <f t="shared" si="60"/>
        <v>Saturday</v>
      </c>
      <c r="I974" s="11">
        <v>71</v>
      </c>
      <c r="J974" s="24">
        <f t="shared" si="61"/>
        <v>142</v>
      </c>
      <c r="K974">
        <f t="shared" si="62"/>
        <v>1</v>
      </c>
      <c r="L974" t="str">
        <f t="shared" si="63"/>
        <v>Low Stock</v>
      </c>
    </row>
    <row r="975" spans="1:12" x14ac:dyDescent="0.45">
      <c r="A975" s="21" t="s">
        <v>819</v>
      </c>
      <c r="B975" s="7">
        <v>30</v>
      </c>
      <c r="C975" s="7">
        <v>30</v>
      </c>
      <c r="D975" s="7">
        <v>30</v>
      </c>
      <c r="E975" s="7">
        <v>2</v>
      </c>
      <c r="F975" s="7">
        <v>2</v>
      </c>
      <c r="G975" s="16">
        <v>46086</v>
      </c>
      <c r="H975" s="16" t="str">
        <f t="shared" si="60"/>
        <v>Thursday</v>
      </c>
      <c r="I975" s="12">
        <v>129</v>
      </c>
      <c r="J975" s="9">
        <f t="shared" si="61"/>
        <v>3870</v>
      </c>
      <c r="K975">
        <f t="shared" si="62"/>
        <v>30</v>
      </c>
      <c r="L975" t="str">
        <f t="shared" si="63"/>
        <v>OK</v>
      </c>
    </row>
    <row r="976" spans="1:12" x14ac:dyDescent="0.45">
      <c r="A976" s="20" t="s">
        <v>836</v>
      </c>
      <c r="B976" s="6">
        <v>45</v>
      </c>
      <c r="C976" s="6">
        <v>30</v>
      </c>
      <c r="D976" s="6">
        <v>45</v>
      </c>
      <c r="E976" s="6">
        <v>3</v>
      </c>
      <c r="F976" s="6">
        <v>3</v>
      </c>
      <c r="G976" s="15">
        <v>46084</v>
      </c>
      <c r="H976" s="15" t="str">
        <f t="shared" si="60"/>
        <v>Tuesday</v>
      </c>
      <c r="I976" s="11">
        <v>98</v>
      </c>
      <c r="J976" s="24">
        <f t="shared" si="61"/>
        <v>4410</v>
      </c>
      <c r="K976">
        <f t="shared" si="62"/>
        <v>45</v>
      </c>
      <c r="L976" t="str">
        <f t="shared" si="63"/>
        <v>OK</v>
      </c>
    </row>
    <row r="977" spans="1:12" x14ac:dyDescent="0.45">
      <c r="A977" s="21" t="s">
        <v>1003</v>
      </c>
      <c r="B977" s="7">
        <v>50</v>
      </c>
      <c r="C977" s="7">
        <v>16</v>
      </c>
      <c r="D977" s="7">
        <v>90</v>
      </c>
      <c r="E977" s="7">
        <v>5</v>
      </c>
      <c r="F977" s="7">
        <v>5</v>
      </c>
      <c r="G977" s="16">
        <v>46085</v>
      </c>
      <c r="H977" s="16" t="str">
        <f t="shared" si="60"/>
        <v>Wednesday</v>
      </c>
      <c r="I977" s="12">
        <v>60</v>
      </c>
      <c r="J977" s="9">
        <f t="shared" si="61"/>
        <v>5400</v>
      </c>
      <c r="K977">
        <f t="shared" si="62"/>
        <v>50</v>
      </c>
      <c r="L977" t="str">
        <f t="shared" si="63"/>
        <v>OK</v>
      </c>
    </row>
    <row r="978" spans="1:12" x14ac:dyDescent="0.45">
      <c r="A978" s="20" t="s">
        <v>1030</v>
      </c>
      <c r="B978" s="6">
        <v>30</v>
      </c>
      <c r="C978" s="6">
        <v>22</v>
      </c>
      <c r="D978" s="6">
        <v>40</v>
      </c>
      <c r="E978" s="6">
        <v>3</v>
      </c>
      <c r="F978" s="6">
        <v>3</v>
      </c>
      <c r="G978" s="15">
        <v>46084</v>
      </c>
      <c r="H978" s="15" t="str">
        <f t="shared" si="60"/>
        <v>Tuesday</v>
      </c>
      <c r="I978" s="11">
        <v>136</v>
      </c>
      <c r="J978" s="24">
        <f t="shared" si="61"/>
        <v>5440</v>
      </c>
      <c r="K978">
        <f t="shared" si="62"/>
        <v>30</v>
      </c>
      <c r="L978" t="str">
        <f t="shared" si="63"/>
        <v>OK</v>
      </c>
    </row>
    <row r="979" spans="1:12" x14ac:dyDescent="0.45">
      <c r="A979" s="21" t="s">
        <v>1075</v>
      </c>
      <c r="B979" s="7">
        <v>20</v>
      </c>
      <c r="C979" s="7">
        <v>20</v>
      </c>
      <c r="D979" s="7">
        <v>30</v>
      </c>
      <c r="E979" s="7">
        <v>2</v>
      </c>
      <c r="F979" s="7">
        <v>2</v>
      </c>
      <c r="G979" s="16">
        <v>46087</v>
      </c>
      <c r="H979" s="16" t="str">
        <f t="shared" si="60"/>
        <v>Friday</v>
      </c>
      <c r="I979" s="12">
        <v>127</v>
      </c>
      <c r="J979" s="9">
        <f t="shared" si="61"/>
        <v>3810</v>
      </c>
      <c r="K979">
        <f t="shared" si="62"/>
        <v>20</v>
      </c>
      <c r="L979" t="str">
        <f t="shared" si="63"/>
        <v>OK</v>
      </c>
    </row>
    <row r="980" spans="1:12" x14ac:dyDescent="0.45">
      <c r="A980" s="20" t="s">
        <v>1165</v>
      </c>
      <c r="B980" s="6">
        <v>10</v>
      </c>
      <c r="C980" s="6">
        <v>30</v>
      </c>
      <c r="D980" s="6">
        <v>10</v>
      </c>
      <c r="E980" s="6">
        <v>1</v>
      </c>
      <c r="F980" s="6">
        <v>1</v>
      </c>
      <c r="G980" s="15">
        <v>46087</v>
      </c>
      <c r="H980" s="15" t="str">
        <f t="shared" si="60"/>
        <v>Friday</v>
      </c>
      <c r="I980" s="11">
        <v>64</v>
      </c>
      <c r="J980" s="24">
        <f t="shared" si="61"/>
        <v>640</v>
      </c>
      <c r="K980">
        <f t="shared" si="62"/>
        <v>10</v>
      </c>
      <c r="L980" t="str">
        <f t="shared" si="63"/>
        <v>OK</v>
      </c>
    </row>
    <row r="981" spans="1:12" x14ac:dyDescent="0.45">
      <c r="A981" s="21" t="s">
        <v>1189</v>
      </c>
      <c r="B981" s="7">
        <v>60</v>
      </c>
      <c r="C981" s="7">
        <v>30</v>
      </c>
      <c r="D981" s="7">
        <v>60</v>
      </c>
      <c r="E981" s="7">
        <v>2</v>
      </c>
      <c r="F981" s="7">
        <v>2</v>
      </c>
      <c r="G981" s="16">
        <v>46083</v>
      </c>
      <c r="H981" s="16" t="str">
        <f t="shared" si="60"/>
        <v>Monday</v>
      </c>
      <c r="I981" s="12">
        <v>127</v>
      </c>
      <c r="J981" s="9">
        <f t="shared" si="61"/>
        <v>7620</v>
      </c>
      <c r="K981">
        <f t="shared" si="62"/>
        <v>60</v>
      </c>
      <c r="L981" t="str">
        <f t="shared" si="63"/>
        <v>OK</v>
      </c>
    </row>
    <row r="982" spans="1:12" x14ac:dyDescent="0.45">
      <c r="A982" s="20" t="s">
        <v>46</v>
      </c>
      <c r="B982" s="6">
        <v>0</v>
      </c>
      <c r="C982" s="6">
        <v>0</v>
      </c>
      <c r="D982" s="6">
        <v>30</v>
      </c>
      <c r="E982" s="6">
        <v>3</v>
      </c>
      <c r="F982" s="6">
        <v>3</v>
      </c>
      <c r="G982" s="15">
        <v>46085</v>
      </c>
      <c r="H982" s="15" t="str">
        <f t="shared" si="60"/>
        <v>Wednesday</v>
      </c>
      <c r="I982" s="11">
        <v>109</v>
      </c>
      <c r="J982" s="24">
        <f t="shared" si="61"/>
        <v>3270</v>
      </c>
      <c r="K982">
        <f t="shared" si="62"/>
        <v>0</v>
      </c>
      <c r="L982" t="str">
        <f t="shared" si="63"/>
        <v>Low Stock</v>
      </c>
    </row>
    <row r="983" spans="1:12" x14ac:dyDescent="0.45">
      <c r="A983" s="21" t="s">
        <v>197</v>
      </c>
      <c r="B983" s="7">
        <v>0</v>
      </c>
      <c r="C983" s="7">
        <v>0</v>
      </c>
      <c r="D983" s="7">
        <v>100</v>
      </c>
      <c r="E983" s="7">
        <v>5</v>
      </c>
      <c r="F983" s="7">
        <v>4</v>
      </c>
      <c r="G983" s="16">
        <v>46086</v>
      </c>
      <c r="H983" s="16" t="str">
        <f t="shared" si="60"/>
        <v>Thursday</v>
      </c>
      <c r="I983" s="12">
        <v>78</v>
      </c>
      <c r="J983" s="9">
        <f t="shared" si="61"/>
        <v>7800</v>
      </c>
      <c r="K983">
        <f t="shared" si="62"/>
        <v>0</v>
      </c>
      <c r="L983" t="str">
        <f t="shared" si="63"/>
        <v>Low Stock</v>
      </c>
    </row>
    <row r="984" spans="1:12" x14ac:dyDescent="0.45">
      <c r="A984" s="20" t="s">
        <v>336</v>
      </c>
      <c r="B984" s="6">
        <v>-6</v>
      </c>
      <c r="C984" s="6">
        <v>0</v>
      </c>
      <c r="D984" s="6">
        <v>1</v>
      </c>
      <c r="E984" s="6">
        <v>1</v>
      </c>
      <c r="F984" s="6">
        <v>1</v>
      </c>
      <c r="G984" s="15">
        <v>46087</v>
      </c>
      <c r="H984" s="15" t="str">
        <f t="shared" si="60"/>
        <v>Friday</v>
      </c>
      <c r="I984" s="11">
        <v>199</v>
      </c>
      <c r="J984" s="24">
        <f t="shared" si="61"/>
        <v>199</v>
      </c>
      <c r="K984">
        <f t="shared" si="62"/>
        <v>0</v>
      </c>
      <c r="L984" t="str">
        <f t="shared" si="63"/>
        <v>Low Stock</v>
      </c>
    </row>
    <row r="985" spans="1:12" x14ac:dyDescent="0.45">
      <c r="A985" s="21" t="s">
        <v>442</v>
      </c>
      <c r="B985" s="7">
        <v>0</v>
      </c>
      <c r="C985" s="7">
        <v>0</v>
      </c>
      <c r="D985" s="7">
        <v>1</v>
      </c>
      <c r="E985" s="7">
        <v>1</v>
      </c>
      <c r="F985" s="7">
        <v>1</v>
      </c>
      <c r="G985" s="16">
        <v>46087</v>
      </c>
      <c r="H985" s="16" t="str">
        <f t="shared" si="60"/>
        <v>Friday</v>
      </c>
      <c r="I985" s="12">
        <v>125</v>
      </c>
      <c r="J985" s="9">
        <f t="shared" si="61"/>
        <v>125</v>
      </c>
      <c r="K985">
        <f t="shared" si="62"/>
        <v>0</v>
      </c>
      <c r="L985" t="str">
        <f t="shared" si="63"/>
        <v>Low Stock</v>
      </c>
    </row>
    <row r="986" spans="1:12" x14ac:dyDescent="0.45">
      <c r="A986" s="20" t="s">
        <v>463</v>
      </c>
      <c r="B986" s="6">
        <v>-10</v>
      </c>
      <c r="C986" s="6">
        <v>0</v>
      </c>
      <c r="D986" s="6">
        <v>10</v>
      </c>
      <c r="E986" s="6">
        <v>1</v>
      </c>
      <c r="F986" s="6">
        <v>1</v>
      </c>
      <c r="G986" s="15">
        <v>46084</v>
      </c>
      <c r="H986" s="15" t="str">
        <f t="shared" si="60"/>
        <v>Tuesday</v>
      </c>
      <c r="I986" s="11">
        <v>192</v>
      </c>
      <c r="J986" s="24">
        <f t="shared" si="61"/>
        <v>1920</v>
      </c>
      <c r="K986">
        <f t="shared" si="62"/>
        <v>0</v>
      </c>
      <c r="L986" t="str">
        <f t="shared" si="63"/>
        <v>Low Stock</v>
      </c>
    </row>
    <row r="987" spans="1:12" x14ac:dyDescent="0.45">
      <c r="A987" s="21" t="s">
        <v>508</v>
      </c>
      <c r="B987" s="7">
        <v>189</v>
      </c>
      <c r="C987" s="7">
        <v>11</v>
      </c>
      <c r="D987" s="7">
        <v>474</v>
      </c>
      <c r="E987" s="7">
        <v>31</v>
      </c>
      <c r="F987" s="7">
        <v>21</v>
      </c>
      <c r="G987" s="16">
        <v>46087</v>
      </c>
      <c r="H987" s="16" t="str">
        <f t="shared" si="60"/>
        <v>Friday</v>
      </c>
      <c r="I987" s="12">
        <v>67</v>
      </c>
      <c r="J987" s="9">
        <f t="shared" si="61"/>
        <v>31758</v>
      </c>
      <c r="K987">
        <f t="shared" si="62"/>
        <v>189</v>
      </c>
      <c r="L987" t="str">
        <f t="shared" si="63"/>
        <v>OK</v>
      </c>
    </row>
    <row r="988" spans="1:12" x14ac:dyDescent="0.45">
      <c r="A988" s="20" t="s">
        <v>552</v>
      </c>
      <c r="B988" s="6">
        <v>20</v>
      </c>
      <c r="C988" s="6">
        <v>10</v>
      </c>
      <c r="D988" s="6">
        <v>60</v>
      </c>
      <c r="E988" s="6">
        <v>4</v>
      </c>
      <c r="F988" s="6">
        <v>2</v>
      </c>
      <c r="G988" s="15">
        <v>46088</v>
      </c>
      <c r="H988" s="15" t="str">
        <f t="shared" si="60"/>
        <v>Saturday</v>
      </c>
      <c r="I988" s="11">
        <v>91</v>
      </c>
      <c r="J988" s="24">
        <f t="shared" si="61"/>
        <v>5460</v>
      </c>
      <c r="K988">
        <f t="shared" si="62"/>
        <v>20</v>
      </c>
      <c r="L988" t="str">
        <f t="shared" si="63"/>
        <v>OK</v>
      </c>
    </row>
    <row r="989" spans="1:12" x14ac:dyDescent="0.45">
      <c r="A989" s="21" t="s">
        <v>553</v>
      </c>
      <c r="B989" s="7">
        <v>120</v>
      </c>
      <c r="C989" s="7">
        <v>12</v>
      </c>
      <c r="D989" s="7">
        <v>290</v>
      </c>
      <c r="E989" s="7">
        <v>7</v>
      </c>
      <c r="F989" s="7">
        <v>6</v>
      </c>
      <c r="G989" s="16">
        <v>46083</v>
      </c>
      <c r="H989" s="16" t="str">
        <f t="shared" si="60"/>
        <v>Monday</v>
      </c>
      <c r="I989" s="12">
        <v>129</v>
      </c>
      <c r="J989" s="9">
        <f t="shared" si="61"/>
        <v>37410</v>
      </c>
      <c r="K989">
        <f t="shared" si="62"/>
        <v>120</v>
      </c>
      <c r="L989" t="str">
        <f t="shared" si="63"/>
        <v>OK</v>
      </c>
    </row>
    <row r="990" spans="1:12" x14ac:dyDescent="0.45">
      <c r="A990" s="20" t="s">
        <v>580</v>
      </c>
      <c r="B990" s="6">
        <v>120</v>
      </c>
      <c r="C990" s="6">
        <v>13</v>
      </c>
      <c r="D990" s="6">
        <v>270</v>
      </c>
      <c r="E990" s="6">
        <v>11</v>
      </c>
      <c r="F990" s="6">
        <v>9</v>
      </c>
      <c r="G990" s="15">
        <v>46088</v>
      </c>
      <c r="H990" s="15" t="str">
        <f t="shared" si="60"/>
        <v>Saturday</v>
      </c>
      <c r="I990" s="11">
        <v>123</v>
      </c>
      <c r="J990" s="24">
        <f t="shared" si="61"/>
        <v>33210</v>
      </c>
      <c r="K990">
        <f t="shared" si="62"/>
        <v>120</v>
      </c>
      <c r="L990" t="str">
        <f t="shared" si="63"/>
        <v>OK</v>
      </c>
    </row>
    <row r="991" spans="1:12" x14ac:dyDescent="0.45">
      <c r="A991" s="21" t="s">
        <v>583</v>
      </c>
      <c r="B991" s="7">
        <v>14</v>
      </c>
      <c r="C991" s="7">
        <v>10</v>
      </c>
      <c r="D991" s="7">
        <v>42</v>
      </c>
      <c r="E991" s="7">
        <v>2</v>
      </c>
      <c r="F991" s="7">
        <v>2</v>
      </c>
      <c r="G991" s="16">
        <v>46087</v>
      </c>
      <c r="H991" s="16" t="str">
        <f t="shared" si="60"/>
        <v>Friday</v>
      </c>
      <c r="I991" s="12">
        <v>114</v>
      </c>
      <c r="J991" s="9">
        <f t="shared" si="61"/>
        <v>4788</v>
      </c>
      <c r="K991">
        <f t="shared" si="62"/>
        <v>14</v>
      </c>
      <c r="L991" t="str">
        <f t="shared" si="63"/>
        <v>OK</v>
      </c>
    </row>
    <row r="992" spans="1:12" x14ac:dyDescent="0.45">
      <c r="A992" s="20" t="s">
        <v>613</v>
      </c>
      <c r="B992" s="6">
        <v>10</v>
      </c>
      <c r="C992" s="6">
        <v>10</v>
      </c>
      <c r="D992" s="6">
        <v>30</v>
      </c>
      <c r="E992" s="6">
        <v>1</v>
      </c>
      <c r="F992" s="6">
        <v>1</v>
      </c>
      <c r="G992" s="15">
        <v>46085</v>
      </c>
      <c r="H992" s="15" t="str">
        <f t="shared" si="60"/>
        <v>Wednesday</v>
      </c>
      <c r="I992" s="11">
        <v>136</v>
      </c>
      <c r="J992" s="24">
        <f t="shared" si="61"/>
        <v>4080</v>
      </c>
      <c r="K992">
        <f t="shared" si="62"/>
        <v>10</v>
      </c>
      <c r="L992" t="str">
        <f t="shared" si="63"/>
        <v>OK</v>
      </c>
    </row>
    <row r="993" spans="1:12" x14ac:dyDescent="0.45">
      <c r="A993" s="21" t="s">
        <v>669</v>
      </c>
      <c r="B993" s="7">
        <v>1</v>
      </c>
      <c r="C993" s="7">
        <v>15</v>
      </c>
      <c r="D993" s="7">
        <v>2</v>
      </c>
      <c r="E993" s="7">
        <v>2</v>
      </c>
      <c r="F993" s="7">
        <v>2</v>
      </c>
      <c r="G993" s="16">
        <v>46088</v>
      </c>
      <c r="H993" s="16" t="str">
        <f t="shared" si="60"/>
        <v>Saturday</v>
      </c>
      <c r="I993" s="12">
        <v>188</v>
      </c>
      <c r="J993" s="9">
        <f t="shared" si="61"/>
        <v>376</v>
      </c>
      <c r="K993">
        <f t="shared" si="62"/>
        <v>1</v>
      </c>
      <c r="L993" t="str">
        <f t="shared" si="63"/>
        <v>Low Stock</v>
      </c>
    </row>
    <row r="994" spans="1:12" x14ac:dyDescent="0.45">
      <c r="A994" s="20" t="s">
        <v>683</v>
      </c>
      <c r="B994" s="6">
        <v>10</v>
      </c>
      <c r="C994" s="6">
        <v>10</v>
      </c>
      <c r="D994" s="6">
        <v>30</v>
      </c>
      <c r="E994" s="6">
        <v>1</v>
      </c>
      <c r="F994" s="6">
        <v>1</v>
      </c>
      <c r="G994" s="15">
        <v>46083</v>
      </c>
      <c r="H994" s="15" t="str">
        <f t="shared" si="60"/>
        <v>Monday</v>
      </c>
      <c r="I994" s="11">
        <v>77</v>
      </c>
      <c r="J994" s="24">
        <f t="shared" si="61"/>
        <v>2310</v>
      </c>
      <c r="K994">
        <f t="shared" si="62"/>
        <v>10</v>
      </c>
      <c r="L994" t="str">
        <f t="shared" si="63"/>
        <v>OK</v>
      </c>
    </row>
    <row r="995" spans="1:12" x14ac:dyDescent="0.45">
      <c r="A995" s="21" t="s">
        <v>1026</v>
      </c>
      <c r="B995" s="7">
        <v>2</v>
      </c>
      <c r="C995" s="7">
        <v>30</v>
      </c>
      <c r="D995" s="7">
        <v>2</v>
      </c>
      <c r="E995" s="7">
        <v>2</v>
      </c>
      <c r="F995" s="7">
        <v>2</v>
      </c>
      <c r="G995" s="16">
        <v>46087</v>
      </c>
      <c r="H995" s="16" t="str">
        <f t="shared" si="60"/>
        <v>Friday</v>
      </c>
      <c r="I995" s="12">
        <v>142</v>
      </c>
      <c r="J995" s="9">
        <f t="shared" si="61"/>
        <v>284</v>
      </c>
      <c r="K995">
        <f t="shared" si="62"/>
        <v>2</v>
      </c>
      <c r="L995" t="str">
        <f t="shared" si="63"/>
        <v>Low Stock</v>
      </c>
    </row>
    <row r="996" spans="1:12" x14ac:dyDescent="0.45">
      <c r="A996" s="20" t="s">
        <v>1081</v>
      </c>
      <c r="B996" s="6">
        <v>52</v>
      </c>
      <c r="C996" s="6">
        <v>18</v>
      </c>
      <c r="D996" s="6">
        <v>86</v>
      </c>
      <c r="E996" s="6">
        <v>7</v>
      </c>
      <c r="F996" s="6">
        <v>7</v>
      </c>
      <c r="G996" s="15">
        <v>46084</v>
      </c>
      <c r="H996" s="15" t="str">
        <f t="shared" si="60"/>
        <v>Tuesday</v>
      </c>
      <c r="I996" s="11">
        <v>65</v>
      </c>
      <c r="J996" s="24">
        <f t="shared" si="61"/>
        <v>5590</v>
      </c>
      <c r="K996">
        <f t="shared" si="62"/>
        <v>52</v>
      </c>
      <c r="L996" t="str">
        <f t="shared" si="63"/>
        <v>OK</v>
      </c>
    </row>
    <row r="997" spans="1:12" x14ac:dyDescent="0.45">
      <c r="A997" s="21" t="s">
        <v>1171</v>
      </c>
      <c r="B997" s="7">
        <v>15</v>
      </c>
      <c r="C997" s="7">
        <v>30</v>
      </c>
      <c r="D997" s="7">
        <v>15</v>
      </c>
      <c r="E997" s="7">
        <v>1</v>
      </c>
      <c r="F997" s="7">
        <v>1</v>
      </c>
      <c r="G997" s="16">
        <v>46082</v>
      </c>
      <c r="H997" s="16" t="str">
        <f t="shared" si="60"/>
        <v>Sunday</v>
      </c>
      <c r="I997" s="12">
        <v>191</v>
      </c>
      <c r="J997" s="9">
        <f t="shared" si="61"/>
        <v>2865</v>
      </c>
      <c r="K997">
        <f t="shared" si="62"/>
        <v>15</v>
      </c>
      <c r="L997" t="str">
        <f t="shared" si="63"/>
        <v>OK</v>
      </c>
    </row>
    <row r="998" spans="1:12" x14ac:dyDescent="0.45">
      <c r="A998" s="20" t="s">
        <v>106</v>
      </c>
      <c r="B998" s="6">
        <v>30</v>
      </c>
      <c r="C998" s="6">
        <v>7</v>
      </c>
      <c r="D998" s="6">
        <v>120</v>
      </c>
      <c r="E998" s="6">
        <v>5</v>
      </c>
      <c r="F998" s="6">
        <v>5</v>
      </c>
      <c r="G998" s="15">
        <v>46085</v>
      </c>
      <c r="H998" s="15" t="str">
        <f t="shared" si="60"/>
        <v>Wednesday</v>
      </c>
      <c r="I998" s="11">
        <v>97</v>
      </c>
      <c r="J998" s="24">
        <f t="shared" si="61"/>
        <v>11640</v>
      </c>
      <c r="K998">
        <f t="shared" si="62"/>
        <v>30</v>
      </c>
      <c r="L998" t="str">
        <f t="shared" si="63"/>
        <v>OK</v>
      </c>
    </row>
    <row r="999" spans="1:12" x14ac:dyDescent="0.45">
      <c r="A999" s="21" t="s">
        <v>119</v>
      </c>
      <c r="B999" s="7">
        <v>-34</v>
      </c>
      <c r="C999" s="7">
        <v>0</v>
      </c>
      <c r="D999" s="7">
        <v>39</v>
      </c>
      <c r="E999" s="7">
        <v>7</v>
      </c>
      <c r="F999" s="7">
        <v>7</v>
      </c>
      <c r="G999" s="16">
        <v>46085</v>
      </c>
      <c r="H999" s="16" t="str">
        <f t="shared" si="60"/>
        <v>Wednesday</v>
      </c>
      <c r="I999" s="12">
        <v>101</v>
      </c>
      <c r="J999" s="9">
        <f t="shared" si="61"/>
        <v>3939</v>
      </c>
      <c r="K999">
        <f t="shared" si="62"/>
        <v>0</v>
      </c>
      <c r="L999" t="str">
        <f t="shared" si="63"/>
        <v>Low Stock</v>
      </c>
    </row>
    <row r="1000" spans="1:12" x14ac:dyDescent="0.45">
      <c r="A1000" s="20" t="s">
        <v>154</v>
      </c>
      <c r="B1000" s="6">
        <v>-225</v>
      </c>
      <c r="C1000" s="6">
        <v>0</v>
      </c>
      <c r="D1000" s="6">
        <v>43</v>
      </c>
      <c r="E1000" s="6">
        <v>7</v>
      </c>
      <c r="F1000" s="6">
        <v>7</v>
      </c>
      <c r="G1000" s="15">
        <v>46083</v>
      </c>
      <c r="H1000" s="15" t="str">
        <f t="shared" si="60"/>
        <v>Monday</v>
      </c>
      <c r="I1000" s="11">
        <v>93</v>
      </c>
      <c r="J1000" s="24">
        <f t="shared" si="61"/>
        <v>3999</v>
      </c>
      <c r="K1000">
        <f t="shared" si="62"/>
        <v>0</v>
      </c>
      <c r="L1000" t="str">
        <f t="shared" si="63"/>
        <v>Low Stock</v>
      </c>
    </row>
    <row r="1001" spans="1:12" x14ac:dyDescent="0.45">
      <c r="A1001" s="21" t="s">
        <v>218</v>
      </c>
      <c r="B1001" s="7">
        <v>-10</v>
      </c>
      <c r="C1001" s="7">
        <v>0</v>
      </c>
      <c r="D1001" s="7">
        <v>10</v>
      </c>
      <c r="E1001" s="7">
        <v>1</v>
      </c>
      <c r="F1001" s="7">
        <v>1</v>
      </c>
      <c r="G1001" s="16">
        <v>46083</v>
      </c>
      <c r="H1001" s="16" t="str">
        <f t="shared" si="60"/>
        <v>Monday</v>
      </c>
      <c r="I1001" s="12">
        <v>93</v>
      </c>
      <c r="J1001" s="9">
        <f t="shared" si="61"/>
        <v>930</v>
      </c>
      <c r="K1001">
        <f t="shared" si="62"/>
        <v>0</v>
      </c>
      <c r="L1001" t="str">
        <f t="shared" si="63"/>
        <v>Low Stock</v>
      </c>
    </row>
    <row r="1002" spans="1:12" x14ac:dyDescent="0.45">
      <c r="A1002" s="20" t="s">
        <v>372</v>
      </c>
      <c r="B1002" s="6">
        <v>-99</v>
      </c>
      <c r="C1002" s="6">
        <v>0</v>
      </c>
      <c r="D1002" s="6">
        <v>9</v>
      </c>
      <c r="E1002" s="6">
        <v>5</v>
      </c>
      <c r="F1002" s="6">
        <v>4</v>
      </c>
      <c r="G1002" s="15">
        <v>46086</v>
      </c>
      <c r="H1002" s="15" t="str">
        <f t="shared" si="60"/>
        <v>Thursday</v>
      </c>
      <c r="I1002" s="11">
        <v>161</v>
      </c>
      <c r="J1002" s="24">
        <f t="shared" si="61"/>
        <v>1449</v>
      </c>
      <c r="K1002">
        <f t="shared" si="62"/>
        <v>0</v>
      </c>
      <c r="L1002" t="str">
        <f t="shared" si="63"/>
        <v>Low Stock</v>
      </c>
    </row>
    <row r="1003" spans="1:12" x14ac:dyDescent="0.45">
      <c r="A1003" s="21" t="s">
        <v>376</v>
      </c>
      <c r="B1003" s="7">
        <v>-2</v>
      </c>
      <c r="C1003" s="7">
        <v>0</v>
      </c>
      <c r="D1003" s="7">
        <v>2</v>
      </c>
      <c r="E1003" s="7">
        <v>2</v>
      </c>
      <c r="F1003" s="7">
        <v>2</v>
      </c>
      <c r="G1003" s="16">
        <v>46083</v>
      </c>
      <c r="H1003" s="16" t="str">
        <f t="shared" si="60"/>
        <v>Monday</v>
      </c>
      <c r="I1003" s="12">
        <v>127</v>
      </c>
      <c r="J1003" s="9">
        <f t="shared" si="61"/>
        <v>254</v>
      </c>
      <c r="K1003">
        <f t="shared" si="62"/>
        <v>0</v>
      </c>
      <c r="L1003" t="str">
        <f t="shared" si="63"/>
        <v>Low Stock</v>
      </c>
    </row>
    <row r="1004" spans="1:12" x14ac:dyDescent="0.45">
      <c r="A1004" s="20" t="s">
        <v>477</v>
      </c>
      <c r="B1004" s="6">
        <v>0</v>
      </c>
      <c r="C1004" s="6">
        <v>0</v>
      </c>
      <c r="D1004" s="6">
        <v>30</v>
      </c>
      <c r="E1004" s="6">
        <v>2</v>
      </c>
      <c r="F1004" s="6">
        <v>2</v>
      </c>
      <c r="G1004" s="15">
        <v>46082</v>
      </c>
      <c r="H1004" s="15" t="str">
        <f t="shared" si="60"/>
        <v>Sunday</v>
      </c>
      <c r="I1004" s="11">
        <v>69</v>
      </c>
      <c r="J1004" s="24">
        <f t="shared" si="61"/>
        <v>2070</v>
      </c>
      <c r="K1004">
        <f t="shared" si="62"/>
        <v>0</v>
      </c>
      <c r="L1004" t="str">
        <f t="shared" si="63"/>
        <v>Low Stock</v>
      </c>
    </row>
    <row r="1005" spans="1:12" x14ac:dyDescent="0.45">
      <c r="A1005" s="21" t="s">
        <v>517</v>
      </c>
      <c r="B1005" s="7">
        <v>3</v>
      </c>
      <c r="C1005" s="7">
        <v>15</v>
      </c>
      <c r="D1005" s="7">
        <v>6</v>
      </c>
      <c r="E1005" s="7">
        <v>5</v>
      </c>
      <c r="F1005" s="7">
        <v>5</v>
      </c>
      <c r="G1005" s="16">
        <v>46083</v>
      </c>
      <c r="H1005" s="16" t="str">
        <f t="shared" si="60"/>
        <v>Monday</v>
      </c>
      <c r="I1005" s="12">
        <v>184</v>
      </c>
      <c r="J1005" s="9">
        <f t="shared" si="61"/>
        <v>1104</v>
      </c>
      <c r="K1005">
        <f t="shared" si="62"/>
        <v>3</v>
      </c>
      <c r="L1005" t="str">
        <f t="shared" si="63"/>
        <v>Low Stock</v>
      </c>
    </row>
    <row r="1006" spans="1:12" x14ac:dyDescent="0.45">
      <c r="A1006" s="20" t="s">
        <v>750</v>
      </c>
      <c r="B1006" s="6">
        <v>210</v>
      </c>
      <c r="C1006" s="6">
        <v>21</v>
      </c>
      <c r="D1006" s="6">
        <v>300</v>
      </c>
      <c r="E1006" s="6">
        <v>11</v>
      </c>
      <c r="F1006" s="6">
        <v>10</v>
      </c>
      <c r="G1006" s="15">
        <v>46082</v>
      </c>
      <c r="H1006" s="15" t="str">
        <f t="shared" si="60"/>
        <v>Sunday</v>
      </c>
      <c r="I1006" s="11">
        <v>117</v>
      </c>
      <c r="J1006" s="24">
        <f t="shared" si="61"/>
        <v>35100</v>
      </c>
      <c r="K1006">
        <f t="shared" si="62"/>
        <v>210</v>
      </c>
      <c r="L1006" t="str">
        <f t="shared" si="63"/>
        <v>OK</v>
      </c>
    </row>
    <row r="1007" spans="1:12" x14ac:dyDescent="0.45">
      <c r="A1007" s="21" t="s">
        <v>762</v>
      </c>
      <c r="B1007" s="7">
        <v>70</v>
      </c>
      <c r="C1007" s="7">
        <v>23</v>
      </c>
      <c r="D1007" s="7">
        <v>90</v>
      </c>
      <c r="E1007" s="7">
        <v>5</v>
      </c>
      <c r="F1007" s="7">
        <v>4</v>
      </c>
      <c r="G1007" s="16">
        <v>46082</v>
      </c>
      <c r="H1007" s="16" t="str">
        <f t="shared" si="60"/>
        <v>Sunday</v>
      </c>
      <c r="I1007" s="12">
        <v>122</v>
      </c>
      <c r="J1007" s="9">
        <f t="shared" si="61"/>
        <v>10980</v>
      </c>
      <c r="K1007">
        <f t="shared" si="62"/>
        <v>70</v>
      </c>
      <c r="L1007" t="str">
        <f t="shared" si="63"/>
        <v>OK</v>
      </c>
    </row>
    <row r="1008" spans="1:12" x14ac:dyDescent="0.45">
      <c r="A1008" s="20" t="s">
        <v>833</v>
      </c>
      <c r="B1008" s="6">
        <v>60</v>
      </c>
      <c r="C1008" s="6">
        <v>20</v>
      </c>
      <c r="D1008" s="6">
        <v>90</v>
      </c>
      <c r="E1008" s="6">
        <v>6</v>
      </c>
      <c r="F1008" s="6">
        <v>6</v>
      </c>
      <c r="G1008" s="15">
        <v>46082</v>
      </c>
      <c r="H1008" s="15" t="str">
        <f t="shared" si="60"/>
        <v>Sunday</v>
      </c>
      <c r="I1008" s="11">
        <v>83</v>
      </c>
      <c r="J1008" s="24">
        <f t="shared" si="61"/>
        <v>7470</v>
      </c>
      <c r="K1008">
        <f t="shared" si="62"/>
        <v>60</v>
      </c>
      <c r="L1008" t="str">
        <f t="shared" si="63"/>
        <v>OK</v>
      </c>
    </row>
    <row r="1009" spans="1:12" x14ac:dyDescent="0.45">
      <c r="A1009" s="21" t="s">
        <v>905</v>
      </c>
      <c r="B1009" s="7">
        <v>7</v>
      </c>
      <c r="C1009" s="7">
        <v>23</v>
      </c>
      <c r="D1009" s="7">
        <v>9</v>
      </c>
      <c r="E1009" s="7">
        <v>9</v>
      </c>
      <c r="F1009" s="7">
        <v>8</v>
      </c>
      <c r="G1009" s="16">
        <v>46087</v>
      </c>
      <c r="H1009" s="16" t="str">
        <f t="shared" si="60"/>
        <v>Friday</v>
      </c>
      <c r="I1009" s="12">
        <v>99</v>
      </c>
      <c r="J1009" s="9">
        <f t="shared" si="61"/>
        <v>891</v>
      </c>
      <c r="K1009">
        <f t="shared" si="62"/>
        <v>7</v>
      </c>
      <c r="L1009" t="str">
        <f t="shared" si="63"/>
        <v>OK</v>
      </c>
    </row>
    <row r="1010" spans="1:12" x14ac:dyDescent="0.45">
      <c r="A1010" s="20" t="s">
        <v>990</v>
      </c>
      <c r="B1010" s="6">
        <v>10</v>
      </c>
      <c r="C1010" s="6">
        <v>30</v>
      </c>
      <c r="D1010" s="6">
        <v>10</v>
      </c>
      <c r="E1010" s="6">
        <v>1</v>
      </c>
      <c r="F1010" s="6">
        <v>1</v>
      </c>
      <c r="G1010" s="15">
        <v>46083</v>
      </c>
      <c r="H1010" s="15" t="str">
        <f t="shared" si="60"/>
        <v>Monday</v>
      </c>
      <c r="I1010" s="11">
        <v>149</v>
      </c>
      <c r="J1010" s="24">
        <f t="shared" si="61"/>
        <v>1490</v>
      </c>
      <c r="K1010">
        <f t="shared" si="62"/>
        <v>10</v>
      </c>
      <c r="L1010" t="str">
        <f t="shared" si="63"/>
        <v>OK</v>
      </c>
    </row>
    <row r="1011" spans="1:12" x14ac:dyDescent="0.45">
      <c r="A1011" s="21" t="s">
        <v>1076</v>
      </c>
      <c r="B1011" s="7">
        <v>30</v>
      </c>
      <c r="C1011" s="7">
        <v>30</v>
      </c>
      <c r="D1011" s="7">
        <v>30</v>
      </c>
      <c r="E1011" s="7">
        <v>2</v>
      </c>
      <c r="F1011" s="7">
        <v>2</v>
      </c>
      <c r="G1011" s="16">
        <v>46088</v>
      </c>
      <c r="H1011" s="16" t="str">
        <f t="shared" si="60"/>
        <v>Saturday</v>
      </c>
      <c r="I1011" s="12">
        <v>121</v>
      </c>
      <c r="J1011" s="9">
        <f t="shared" si="61"/>
        <v>3630</v>
      </c>
      <c r="K1011">
        <f t="shared" si="62"/>
        <v>30</v>
      </c>
      <c r="L1011" t="str">
        <f t="shared" si="63"/>
        <v>OK</v>
      </c>
    </row>
    <row r="1012" spans="1:12" x14ac:dyDescent="0.45">
      <c r="A1012" s="20" t="s">
        <v>1200</v>
      </c>
      <c r="B1012" s="6">
        <v>10</v>
      </c>
      <c r="C1012" s="6">
        <v>30</v>
      </c>
      <c r="D1012" s="6">
        <v>10</v>
      </c>
      <c r="E1012" s="6">
        <v>1</v>
      </c>
      <c r="F1012" s="6">
        <v>1</v>
      </c>
      <c r="G1012" s="15">
        <v>46085</v>
      </c>
      <c r="H1012" s="15" t="str">
        <f t="shared" si="60"/>
        <v>Wednesday</v>
      </c>
      <c r="I1012" s="11">
        <v>79</v>
      </c>
      <c r="J1012" s="24">
        <f t="shared" si="61"/>
        <v>790</v>
      </c>
      <c r="K1012">
        <f t="shared" si="62"/>
        <v>10</v>
      </c>
      <c r="L1012" t="str">
        <f t="shared" si="63"/>
        <v>OK</v>
      </c>
    </row>
    <row r="1013" spans="1:12" x14ac:dyDescent="0.45">
      <c r="A1013" s="21" t="s">
        <v>82</v>
      </c>
      <c r="B1013" s="7">
        <v>-40</v>
      </c>
      <c r="C1013" s="7">
        <v>0</v>
      </c>
      <c r="D1013" s="7">
        <v>40</v>
      </c>
      <c r="E1013" s="7">
        <v>4</v>
      </c>
      <c r="F1013" s="7">
        <v>3</v>
      </c>
      <c r="G1013" s="16">
        <v>46084</v>
      </c>
      <c r="H1013" s="16" t="str">
        <f t="shared" si="60"/>
        <v>Tuesday</v>
      </c>
      <c r="I1013" s="12">
        <v>110</v>
      </c>
      <c r="J1013" s="9">
        <f t="shared" si="61"/>
        <v>4400</v>
      </c>
      <c r="K1013">
        <f t="shared" si="62"/>
        <v>0</v>
      </c>
      <c r="L1013" t="str">
        <f t="shared" si="63"/>
        <v>Low Stock</v>
      </c>
    </row>
    <row r="1014" spans="1:12" x14ac:dyDescent="0.45">
      <c r="A1014" s="20" t="s">
        <v>478</v>
      </c>
      <c r="B1014" s="6">
        <v>-15</v>
      </c>
      <c r="C1014" s="6">
        <v>0</v>
      </c>
      <c r="D1014" s="6">
        <v>45</v>
      </c>
      <c r="E1014" s="6">
        <v>2</v>
      </c>
      <c r="F1014" s="6">
        <v>2</v>
      </c>
      <c r="G1014" s="15">
        <v>46088</v>
      </c>
      <c r="H1014" s="15" t="str">
        <f t="shared" si="60"/>
        <v>Saturday</v>
      </c>
      <c r="I1014" s="11">
        <v>121</v>
      </c>
      <c r="J1014" s="24">
        <f t="shared" si="61"/>
        <v>5445</v>
      </c>
      <c r="K1014">
        <f t="shared" si="62"/>
        <v>0</v>
      </c>
      <c r="L1014" t="str">
        <f t="shared" si="63"/>
        <v>Low Stock</v>
      </c>
    </row>
    <row r="1015" spans="1:12" x14ac:dyDescent="0.45">
      <c r="A1015" s="21" t="s">
        <v>497</v>
      </c>
      <c r="B1015" s="7">
        <v>-60</v>
      </c>
      <c r="C1015" s="7">
        <v>0</v>
      </c>
      <c r="D1015" s="7">
        <v>30</v>
      </c>
      <c r="E1015" s="7">
        <v>1</v>
      </c>
      <c r="F1015" s="7">
        <v>1</v>
      </c>
      <c r="G1015" s="16">
        <v>46085</v>
      </c>
      <c r="H1015" s="16" t="str">
        <f t="shared" si="60"/>
        <v>Wednesday</v>
      </c>
      <c r="I1015" s="12">
        <v>141</v>
      </c>
      <c r="J1015" s="9">
        <f t="shared" si="61"/>
        <v>4230</v>
      </c>
      <c r="K1015">
        <f t="shared" si="62"/>
        <v>0</v>
      </c>
      <c r="L1015" t="str">
        <f t="shared" si="63"/>
        <v>Low Stock</v>
      </c>
    </row>
    <row r="1016" spans="1:12" x14ac:dyDescent="0.45">
      <c r="A1016" s="20" t="s">
        <v>859</v>
      </c>
      <c r="B1016" s="6">
        <v>40</v>
      </c>
      <c r="C1016" s="6">
        <v>30</v>
      </c>
      <c r="D1016" s="6">
        <v>40</v>
      </c>
      <c r="E1016" s="6">
        <v>2</v>
      </c>
      <c r="F1016" s="6">
        <v>2</v>
      </c>
      <c r="G1016" s="15">
        <v>46084</v>
      </c>
      <c r="H1016" s="15" t="str">
        <f t="shared" si="60"/>
        <v>Tuesday</v>
      </c>
      <c r="I1016" s="11">
        <v>187</v>
      </c>
      <c r="J1016" s="24">
        <f t="shared" si="61"/>
        <v>7480</v>
      </c>
      <c r="K1016">
        <f t="shared" si="62"/>
        <v>40</v>
      </c>
      <c r="L1016" t="str">
        <f t="shared" si="63"/>
        <v>OK</v>
      </c>
    </row>
    <row r="1017" spans="1:12" x14ac:dyDescent="0.45">
      <c r="A1017" s="21" t="s">
        <v>900</v>
      </c>
      <c r="B1017" s="7">
        <v>30</v>
      </c>
      <c r="C1017" s="7">
        <v>30</v>
      </c>
      <c r="D1017" s="7">
        <v>30</v>
      </c>
      <c r="E1017" s="7">
        <v>2</v>
      </c>
      <c r="F1017" s="7">
        <v>2</v>
      </c>
      <c r="G1017" s="16">
        <v>46086</v>
      </c>
      <c r="H1017" s="16" t="str">
        <f t="shared" si="60"/>
        <v>Thursday</v>
      </c>
      <c r="I1017" s="12">
        <v>92</v>
      </c>
      <c r="J1017" s="9">
        <f t="shared" si="61"/>
        <v>2760</v>
      </c>
      <c r="K1017">
        <f t="shared" si="62"/>
        <v>30</v>
      </c>
      <c r="L1017" t="str">
        <f t="shared" si="63"/>
        <v>OK</v>
      </c>
    </row>
    <row r="1018" spans="1:12" x14ac:dyDescent="0.45">
      <c r="A1018" s="20" t="s">
        <v>976</v>
      </c>
      <c r="B1018" s="6">
        <v>10</v>
      </c>
      <c r="C1018" s="6">
        <v>30</v>
      </c>
      <c r="D1018" s="6">
        <v>10</v>
      </c>
      <c r="E1018" s="6">
        <v>1</v>
      </c>
      <c r="F1018" s="6">
        <v>1</v>
      </c>
      <c r="G1018" s="15">
        <v>46085</v>
      </c>
      <c r="H1018" s="15" t="str">
        <f t="shared" si="60"/>
        <v>Wednesday</v>
      </c>
      <c r="I1018" s="11">
        <v>86</v>
      </c>
      <c r="J1018" s="24">
        <f t="shared" si="61"/>
        <v>860</v>
      </c>
      <c r="K1018">
        <f t="shared" si="62"/>
        <v>10</v>
      </c>
      <c r="L1018" t="str">
        <f t="shared" si="63"/>
        <v>OK</v>
      </c>
    </row>
    <row r="1019" spans="1:12" x14ac:dyDescent="0.45">
      <c r="A1019" s="21" t="s">
        <v>983</v>
      </c>
      <c r="B1019" s="7">
        <v>60</v>
      </c>
      <c r="C1019" s="7">
        <v>30</v>
      </c>
      <c r="D1019" s="7">
        <v>60</v>
      </c>
      <c r="E1019" s="7">
        <v>1</v>
      </c>
      <c r="F1019" s="7">
        <v>1</v>
      </c>
      <c r="G1019" s="16">
        <v>46087</v>
      </c>
      <c r="H1019" s="16" t="str">
        <f t="shared" si="60"/>
        <v>Friday</v>
      </c>
      <c r="I1019" s="12">
        <v>70</v>
      </c>
      <c r="J1019" s="9">
        <f t="shared" si="61"/>
        <v>4200</v>
      </c>
      <c r="K1019">
        <f t="shared" si="62"/>
        <v>60</v>
      </c>
      <c r="L1019" t="str">
        <f t="shared" si="63"/>
        <v>OK</v>
      </c>
    </row>
    <row r="1020" spans="1:12" x14ac:dyDescent="0.45">
      <c r="A1020" s="20" t="s">
        <v>1244</v>
      </c>
      <c r="B1020" s="6">
        <v>10</v>
      </c>
      <c r="C1020" s="6">
        <v>30</v>
      </c>
      <c r="D1020" s="6">
        <v>10</v>
      </c>
      <c r="E1020" s="6">
        <v>1</v>
      </c>
      <c r="F1020" s="6">
        <v>1</v>
      </c>
      <c r="G1020" s="15">
        <v>46082</v>
      </c>
      <c r="H1020" s="15" t="str">
        <f t="shared" si="60"/>
        <v>Sunday</v>
      </c>
      <c r="I1020" s="11">
        <v>63</v>
      </c>
      <c r="J1020" s="24">
        <f t="shared" si="61"/>
        <v>630</v>
      </c>
      <c r="K1020">
        <f t="shared" si="62"/>
        <v>10</v>
      </c>
      <c r="L1020" t="str">
        <f t="shared" si="63"/>
        <v>OK</v>
      </c>
    </row>
    <row r="1021" spans="1:12" x14ac:dyDescent="0.45">
      <c r="A1021" s="21" t="s">
        <v>83</v>
      </c>
      <c r="B1021" s="7">
        <v>0</v>
      </c>
      <c r="C1021" s="7">
        <v>0</v>
      </c>
      <c r="D1021" s="7">
        <v>30</v>
      </c>
      <c r="E1021" s="7">
        <v>1</v>
      </c>
      <c r="F1021" s="7">
        <v>1</v>
      </c>
      <c r="G1021" s="16">
        <v>46082</v>
      </c>
      <c r="H1021" s="16" t="str">
        <f t="shared" si="60"/>
        <v>Sunday</v>
      </c>
      <c r="I1021" s="12">
        <v>85</v>
      </c>
      <c r="J1021" s="9">
        <f t="shared" si="61"/>
        <v>2550</v>
      </c>
      <c r="K1021">
        <f t="shared" si="62"/>
        <v>0</v>
      </c>
      <c r="L1021" t="str">
        <f t="shared" si="63"/>
        <v>Low Stock</v>
      </c>
    </row>
    <row r="1022" spans="1:12" x14ac:dyDescent="0.45">
      <c r="A1022" s="20" t="s">
        <v>128</v>
      </c>
      <c r="B1022" s="6">
        <v>0</v>
      </c>
      <c r="C1022" s="6">
        <v>0</v>
      </c>
      <c r="D1022" s="6">
        <v>20</v>
      </c>
      <c r="E1022" s="6">
        <v>1</v>
      </c>
      <c r="F1022" s="6">
        <v>1</v>
      </c>
      <c r="G1022" s="15">
        <v>46084</v>
      </c>
      <c r="H1022" s="15" t="str">
        <f t="shared" si="60"/>
        <v>Tuesday</v>
      </c>
      <c r="I1022" s="11">
        <v>71</v>
      </c>
      <c r="J1022" s="24">
        <f t="shared" si="61"/>
        <v>1420</v>
      </c>
      <c r="K1022">
        <f t="shared" si="62"/>
        <v>0</v>
      </c>
      <c r="L1022" t="str">
        <f t="shared" si="63"/>
        <v>Low Stock</v>
      </c>
    </row>
    <row r="1023" spans="1:12" x14ac:dyDescent="0.45">
      <c r="A1023" s="21" t="s">
        <v>227</v>
      </c>
      <c r="B1023" s="7">
        <v>-1</v>
      </c>
      <c r="C1023" s="7">
        <v>0</v>
      </c>
      <c r="D1023" s="7">
        <v>1</v>
      </c>
      <c r="E1023" s="7">
        <v>1</v>
      </c>
      <c r="F1023" s="7">
        <v>1</v>
      </c>
      <c r="G1023" s="16">
        <v>46086</v>
      </c>
      <c r="H1023" s="16" t="str">
        <f t="shared" si="60"/>
        <v>Thursday</v>
      </c>
      <c r="I1023" s="12">
        <v>95</v>
      </c>
      <c r="J1023" s="9">
        <f t="shared" si="61"/>
        <v>95</v>
      </c>
      <c r="K1023">
        <f t="shared" si="62"/>
        <v>0</v>
      </c>
      <c r="L1023" t="str">
        <f t="shared" si="63"/>
        <v>Low Stock</v>
      </c>
    </row>
    <row r="1024" spans="1:12" x14ac:dyDescent="0.45">
      <c r="A1024" s="20" t="s">
        <v>255</v>
      </c>
      <c r="B1024" s="6">
        <v>-2</v>
      </c>
      <c r="C1024" s="6">
        <v>0</v>
      </c>
      <c r="D1024" s="6">
        <v>1</v>
      </c>
      <c r="E1024" s="6">
        <v>1</v>
      </c>
      <c r="F1024" s="6">
        <v>1</v>
      </c>
      <c r="G1024" s="15">
        <v>46086</v>
      </c>
      <c r="H1024" s="15" t="str">
        <f t="shared" si="60"/>
        <v>Thursday</v>
      </c>
      <c r="I1024" s="11">
        <v>148</v>
      </c>
      <c r="J1024" s="24">
        <f t="shared" si="61"/>
        <v>148</v>
      </c>
      <c r="K1024">
        <f t="shared" si="62"/>
        <v>0</v>
      </c>
      <c r="L1024" t="str">
        <f t="shared" si="63"/>
        <v>Low Stock</v>
      </c>
    </row>
    <row r="1025" spans="1:12" x14ac:dyDescent="0.45">
      <c r="A1025" s="21" t="s">
        <v>323</v>
      </c>
      <c r="B1025" s="7">
        <v>-6</v>
      </c>
      <c r="C1025" s="7">
        <v>0</v>
      </c>
      <c r="D1025" s="7">
        <v>6</v>
      </c>
      <c r="E1025" s="7">
        <v>1</v>
      </c>
      <c r="F1025" s="7">
        <v>1</v>
      </c>
      <c r="G1025" s="16">
        <v>46086</v>
      </c>
      <c r="H1025" s="16" t="str">
        <f t="shared" si="60"/>
        <v>Thursday</v>
      </c>
      <c r="I1025" s="12">
        <v>126</v>
      </c>
      <c r="J1025" s="9">
        <f t="shared" si="61"/>
        <v>756</v>
      </c>
      <c r="K1025">
        <f t="shared" si="62"/>
        <v>0</v>
      </c>
      <c r="L1025" t="str">
        <f t="shared" si="63"/>
        <v>Low Stock</v>
      </c>
    </row>
    <row r="1026" spans="1:12" x14ac:dyDescent="0.45">
      <c r="A1026" s="20" t="s">
        <v>595</v>
      </c>
      <c r="B1026" s="6">
        <v>45</v>
      </c>
      <c r="C1026" s="6">
        <v>12</v>
      </c>
      <c r="D1026" s="6">
        <v>105</v>
      </c>
      <c r="E1026" s="6">
        <v>6</v>
      </c>
      <c r="F1026" s="6">
        <v>6</v>
      </c>
      <c r="G1026" s="15">
        <v>46085</v>
      </c>
      <c r="H1026" s="15" t="str">
        <f t="shared" ref="H1026:H1089" si="64">TEXT(G1026,"dddd")</f>
        <v>Wednesday</v>
      </c>
      <c r="I1026" s="11">
        <v>100</v>
      </c>
      <c r="J1026" s="24">
        <f t="shared" ref="J1026:J1089" si="65">D1026*I1026</f>
        <v>10500</v>
      </c>
      <c r="K1026">
        <f t="shared" ref="K1026:K1089" si="66">IF(B1026&lt;0,0,B1026)</f>
        <v>45</v>
      </c>
      <c r="L1026" t="str">
        <f t="shared" ref="L1026:L1089" si="67">IF(K1026&lt;5,"Low Stock","OK")</f>
        <v>OK</v>
      </c>
    </row>
    <row r="1027" spans="1:12" x14ac:dyDescent="0.45">
      <c r="A1027" s="21" t="s">
        <v>615</v>
      </c>
      <c r="B1027" s="7">
        <v>8</v>
      </c>
      <c r="C1027" s="7">
        <v>8</v>
      </c>
      <c r="D1027" s="7">
        <v>30</v>
      </c>
      <c r="E1027" s="7">
        <v>2</v>
      </c>
      <c r="F1027" s="7">
        <v>2</v>
      </c>
      <c r="G1027" s="16">
        <v>46084</v>
      </c>
      <c r="H1027" s="16" t="str">
        <f t="shared" si="64"/>
        <v>Tuesday</v>
      </c>
      <c r="I1027" s="12">
        <v>90</v>
      </c>
      <c r="J1027" s="9">
        <f t="shared" si="65"/>
        <v>2700</v>
      </c>
      <c r="K1027">
        <f t="shared" si="66"/>
        <v>8</v>
      </c>
      <c r="L1027" t="str">
        <f t="shared" si="67"/>
        <v>OK</v>
      </c>
    </row>
    <row r="1028" spans="1:12" x14ac:dyDescent="0.45">
      <c r="A1028" s="20" t="s">
        <v>721</v>
      </c>
      <c r="B1028" s="6">
        <v>483</v>
      </c>
      <c r="C1028" s="6">
        <v>22</v>
      </c>
      <c r="D1028" s="6">
        <v>654</v>
      </c>
      <c r="E1028" s="6">
        <v>69</v>
      </c>
      <c r="F1028" s="6">
        <v>24</v>
      </c>
      <c r="G1028" s="15">
        <v>46083</v>
      </c>
      <c r="H1028" s="15" t="str">
        <f t="shared" si="64"/>
        <v>Monday</v>
      </c>
      <c r="I1028" s="11">
        <v>77</v>
      </c>
      <c r="J1028" s="24">
        <f t="shared" si="65"/>
        <v>50358</v>
      </c>
      <c r="K1028">
        <f t="shared" si="66"/>
        <v>483</v>
      </c>
      <c r="L1028" t="str">
        <f t="shared" si="67"/>
        <v>OK</v>
      </c>
    </row>
    <row r="1029" spans="1:12" x14ac:dyDescent="0.45">
      <c r="A1029" s="21" t="s">
        <v>736</v>
      </c>
      <c r="B1029" s="7">
        <v>60</v>
      </c>
      <c r="C1029" s="7">
        <v>18</v>
      </c>
      <c r="D1029" s="7">
        <v>100</v>
      </c>
      <c r="E1029" s="7">
        <v>7</v>
      </c>
      <c r="F1029" s="7">
        <v>6</v>
      </c>
      <c r="G1029" s="16">
        <v>46088</v>
      </c>
      <c r="H1029" s="16" t="str">
        <f t="shared" si="64"/>
        <v>Saturday</v>
      </c>
      <c r="I1029" s="12">
        <v>67</v>
      </c>
      <c r="J1029" s="9">
        <f t="shared" si="65"/>
        <v>6700</v>
      </c>
      <c r="K1029">
        <f t="shared" si="66"/>
        <v>60</v>
      </c>
      <c r="L1029" t="str">
        <f t="shared" si="67"/>
        <v>OK</v>
      </c>
    </row>
    <row r="1030" spans="1:12" x14ac:dyDescent="0.45">
      <c r="A1030" s="20" t="s">
        <v>810</v>
      </c>
      <c r="B1030" s="6">
        <v>2</v>
      </c>
      <c r="C1030" s="6">
        <v>20</v>
      </c>
      <c r="D1030" s="6">
        <v>3</v>
      </c>
      <c r="E1030" s="6">
        <v>3</v>
      </c>
      <c r="F1030" s="6">
        <v>3</v>
      </c>
      <c r="G1030" s="15">
        <v>46085</v>
      </c>
      <c r="H1030" s="15" t="str">
        <f t="shared" si="64"/>
        <v>Wednesday</v>
      </c>
      <c r="I1030" s="11">
        <v>189</v>
      </c>
      <c r="J1030" s="24">
        <f t="shared" si="65"/>
        <v>567</v>
      </c>
      <c r="K1030">
        <f t="shared" si="66"/>
        <v>2</v>
      </c>
      <c r="L1030" t="str">
        <f t="shared" si="67"/>
        <v>Low Stock</v>
      </c>
    </row>
    <row r="1031" spans="1:12" x14ac:dyDescent="0.45">
      <c r="A1031" s="21" t="s">
        <v>929</v>
      </c>
      <c r="B1031" s="7">
        <v>16</v>
      </c>
      <c r="C1031" s="7">
        <v>18</v>
      </c>
      <c r="D1031" s="7">
        <v>26</v>
      </c>
      <c r="E1031" s="7">
        <v>2</v>
      </c>
      <c r="F1031" s="7">
        <v>2</v>
      </c>
      <c r="G1031" s="16">
        <v>46083</v>
      </c>
      <c r="H1031" s="16" t="str">
        <f t="shared" si="64"/>
        <v>Monday</v>
      </c>
      <c r="I1031" s="12">
        <v>129</v>
      </c>
      <c r="J1031" s="9">
        <f t="shared" si="65"/>
        <v>3354</v>
      </c>
      <c r="K1031">
        <f t="shared" si="66"/>
        <v>16</v>
      </c>
      <c r="L1031" t="str">
        <f t="shared" si="67"/>
        <v>OK</v>
      </c>
    </row>
    <row r="1032" spans="1:12" x14ac:dyDescent="0.45">
      <c r="A1032" s="20" t="s">
        <v>945</v>
      </c>
      <c r="B1032" s="6">
        <v>3</v>
      </c>
      <c r="C1032" s="6">
        <v>30</v>
      </c>
      <c r="D1032" s="6">
        <v>3</v>
      </c>
      <c r="E1032" s="6">
        <v>2</v>
      </c>
      <c r="F1032" s="6">
        <v>2</v>
      </c>
      <c r="G1032" s="15">
        <v>46088</v>
      </c>
      <c r="H1032" s="15" t="str">
        <f t="shared" si="64"/>
        <v>Saturday</v>
      </c>
      <c r="I1032" s="11">
        <v>149</v>
      </c>
      <c r="J1032" s="24">
        <f t="shared" si="65"/>
        <v>447</v>
      </c>
      <c r="K1032">
        <f t="shared" si="66"/>
        <v>3</v>
      </c>
      <c r="L1032" t="str">
        <f t="shared" si="67"/>
        <v>Low Stock</v>
      </c>
    </row>
    <row r="1033" spans="1:12" x14ac:dyDescent="0.45">
      <c r="A1033" s="21" t="s">
        <v>1138</v>
      </c>
      <c r="B1033" s="7">
        <v>10</v>
      </c>
      <c r="C1033" s="7">
        <v>30</v>
      </c>
      <c r="D1033" s="7">
        <v>10</v>
      </c>
      <c r="E1033" s="7">
        <v>1</v>
      </c>
      <c r="F1033" s="7">
        <v>1</v>
      </c>
      <c r="G1033" s="16">
        <v>46082</v>
      </c>
      <c r="H1033" s="16" t="str">
        <f t="shared" si="64"/>
        <v>Sunday</v>
      </c>
      <c r="I1033" s="12">
        <v>85</v>
      </c>
      <c r="J1033" s="9">
        <f t="shared" si="65"/>
        <v>850</v>
      </c>
      <c r="K1033">
        <f t="shared" si="66"/>
        <v>10</v>
      </c>
      <c r="L1033" t="str">
        <f t="shared" si="67"/>
        <v>OK</v>
      </c>
    </row>
    <row r="1034" spans="1:12" x14ac:dyDescent="0.45">
      <c r="A1034" s="20" t="s">
        <v>1201</v>
      </c>
      <c r="B1034" s="6">
        <v>30</v>
      </c>
      <c r="C1034" s="6">
        <v>30</v>
      </c>
      <c r="D1034" s="6">
        <v>30</v>
      </c>
      <c r="E1034" s="6">
        <v>3</v>
      </c>
      <c r="F1034" s="6">
        <v>3</v>
      </c>
      <c r="G1034" s="15">
        <v>46086</v>
      </c>
      <c r="H1034" s="15" t="str">
        <f t="shared" si="64"/>
        <v>Thursday</v>
      </c>
      <c r="I1034" s="11">
        <v>183</v>
      </c>
      <c r="J1034" s="24">
        <f t="shared" si="65"/>
        <v>5490</v>
      </c>
      <c r="K1034">
        <f t="shared" si="66"/>
        <v>30</v>
      </c>
      <c r="L1034" t="str">
        <f t="shared" si="67"/>
        <v>OK</v>
      </c>
    </row>
    <row r="1035" spans="1:12" x14ac:dyDescent="0.45">
      <c r="A1035" s="21" t="s">
        <v>1217</v>
      </c>
      <c r="B1035" s="7">
        <v>5</v>
      </c>
      <c r="C1035" s="7">
        <v>30</v>
      </c>
      <c r="D1035" s="7">
        <v>5</v>
      </c>
      <c r="E1035" s="7">
        <v>4</v>
      </c>
      <c r="F1035" s="7">
        <v>4</v>
      </c>
      <c r="G1035" s="16">
        <v>46085</v>
      </c>
      <c r="H1035" s="16" t="str">
        <f t="shared" si="64"/>
        <v>Wednesday</v>
      </c>
      <c r="I1035" s="12">
        <v>104</v>
      </c>
      <c r="J1035" s="9">
        <f t="shared" si="65"/>
        <v>520</v>
      </c>
      <c r="K1035">
        <f t="shared" si="66"/>
        <v>5</v>
      </c>
      <c r="L1035" t="str">
        <f t="shared" si="67"/>
        <v>OK</v>
      </c>
    </row>
    <row r="1036" spans="1:12" x14ac:dyDescent="0.45">
      <c r="A1036" s="20" t="s">
        <v>77</v>
      </c>
      <c r="B1036" s="6">
        <v>-20</v>
      </c>
      <c r="C1036" s="6">
        <v>0</v>
      </c>
      <c r="D1036" s="6">
        <v>30</v>
      </c>
      <c r="E1036" s="6">
        <v>2</v>
      </c>
      <c r="F1036" s="6">
        <v>2</v>
      </c>
      <c r="G1036" s="15">
        <v>46084</v>
      </c>
      <c r="H1036" s="15" t="str">
        <f t="shared" si="64"/>
        <v>Tuesday</v>
      </c>
      <c r="I1036" s="11">
        <v>62</v>
      </c>
      <c r="J1036" s="24">
        <f t="shared" si="65"/>
        <v>1860</v>
      </c>
      <c r="K1036">
        <f t="shared" si="66"/>
        <v>0</v>
      </c>
      <c r="L1036" t="str">
        <f t="shared" si="67"/>
        <v>Low Stock</v>
      </c>
    </row>
    <row r="1037" spans="1:12" x14ac:dyDescent="0.45">
      <c r="A1037" s="21" t="s">
        <v>209</v>
      </c>
      <c r="B1037" s="7">
        <v>-11</v>
      </c>
      <c r="C1037" s="7">
        <v>0</v>
      </c>
      <c r="D1037" s="7">
        <v>1</v>
      </c>
      <c r="E1037" s="7">
        <v>1</v>
      </c>
      <c r="F1037" s="7">
        <v>1</v>
      </c>
      <c r="G1037" s="16">
        <v>46082</v>
      </c>
      <c r="H1037" s="16" t="str">
        <f t="shared" si="64"/>
        <v>Sunday</v>
      </c>
      <c r="I1037" s="12">
        <v>72</v>
      </c>
      <c r="J1037" s="9">
        <f t="shared" si="65"/>
        <v>72</v>
      </c>
      <c r="K1037">
        <f t="shared" si="66"/>
        <v>0</v>
      </c>
      <c r="L1037" t="str">
        <f t="shared" si="67"/>
        <v>Low Stock</v>
      </c>
    </row>
    <row r="1038" spans="1:12" x14ac:dyDescent="0.45">
      <c r="A1038" s="20" t="s">
        <v>269</v>
      </c>
      <c r="B1038" s="6">
        <v>-1</v>
      </c>
      <c r="C1038" s="6">
        <v>0</v>
      </c>
      <c r="D1038" s="6">
        <v>1</v>
      </c>
      <c r="E1038" s="6">
        <v>1</v>
      </c>
      <c r="F1038" s="6">
        <v>1</v>
      </c>
      <c r="G1038" s="15">
        <v>46084</v>
      </c>
      <c r="H1038" s="15" t="str">
        <f t="shared" si="64"/>
        <v>Tuesday</v>
      </c>
      <c r="I1038" s="11">
        <v>98</v>
      </c>
      <c r="J1038" s="24">
        <f t="shared" si="65"/>
        <v>98</v>
      </c>
      <c r="K1038">
        <f t="shared" si="66"/>
        <v>0</v>
      </c>
      <c r="L1038" t="str">
        <f t="shared" si="67"/>
        <v>Low Stock</v>
      </c>
    </row>
    <row r="1039" spans="1:12" x14ac:dyDescent="0.45">
      <c r="A1039" s="21" t="s">
        <v>0</v>
      </c>
      <c r="B1039" s="7"/>
      <c r="C1039" s="7"/>
      <c r="D1039" s="7"/>
      <c r="E1039" s="7"/>
      <c r="F1039" s="7"/>
      <c r="G1039" s="16">
        <v>46082</v>
      </c>
      <c r="H1039" s="16" t="str">
        <f t="shared" si="64"/>
        <v>Sunday</v>
      </c>
      <c r="I1039" s="12">
        <v>76</v>
      </c>
      <c r="J1039" s="9">
        <f t="shared" si="65"/>
        <v>0</v>
      </c>
      <c r="K1039">
        <f t="shared" si="66"/>
        <v>0</v>
      </c>
      <c r="L1039" t="str">
        <f t="shared" si="67"/>
        <v>Low Stock</v>
      </c>
    </row>
    <row r="1040" spans="1:12" x14ac:dyDescent="0.45">
      <c r="A1040" s="20" t="s">
        <v>773</v>
      </c>
      <c r="B1040" s="6">
        <v>70</v>
      </c>
      <c r="C1040" s="6">
        <v>23</v>
      </c>
      <c r="D1040" s="6">
        <v>90</v>
      </c>
      <c r="E1040" s="6">
        <v>4</v>
      </c>
      <c r="F1040" s="6">
        <v>3</v>
      </c>
      <c r="G1040" s="15">
        <v>46082</v>
      </c>
      <c r="H1040" s="15" t="str">
        <f t="shared" si="64"/>
        <v>Sunday</v>
      </c>
      <c r="I1040" s="11">
        <v>73</v>
      </c>
      <c r="J1040" s="24">
        <f t="shared" si="65"/>
        <v>6570</v>
      </c>
      <c r="K1040">
        <f t="shared" si="66"/>
        <v>70</v>
      </c>
      <c r="L1040" t="str">
        <f t="shared" si="67"/>
        <v>OK</v>
      </c>
    </row>
    <row r="1041" spans="1:12" x14ac:dyDescent="0.45">
      <c r="A1041" s="21" t="s">
        <v>927</v>
      </c>
      <c r="B1041" s="7">
        <v>45</v>
      </c>
      <c r="C1041" s="7">
        <v>30</v>
      </c>
      <c r="D1041" s="7">
        <v>45</v>
      </c>
      <c r="E1041" s="7">
        <v>2</v>
      </c>
      <c r="F1041" s="7">
        <v>2</v>
      </c>
      <c r="G1041" s="16">
        <v>46084</v>
      </c>
      <c r="H1041" s="16" t="str">
        <f t="shared" si="64"/>
        <v>Tuesday</v>
      </c>
      <c r="I1041" s="12">
        <v>84</v>
      </c>
      <c r="J1041" s="9">
        <f t="shared" si="65"/>
        <v>3780</v>
      </c>
      <c r="K1041">
        <f t="shared" si="66"/>
        <v>45</v>
      </c>
      <c r="L1041" t="str">
        <f t="shared" si="67"/>
        <v>OK</v>
      </c>
    </row>
    <row r="1042" spans="1:12" x14ac:dyDescent="0.45">
      <c r="A1042" s="20" t="s">
        <v>963</v>
      </c>
      <c r="B1042" s="6">
        <v>5</v>
      </c>
      <c r="C1042" s="6">
        <v>21</v>
      </c>
      <c r="D1042" s="6">
        <v>7</v>
      </c>
      <c r="E1042" s="6">
        <v>2</v>
      </c>
      <c r="F1042" s="6">
        <v>2</v>
      </c>
      <c r="G1042" s="15">
        <v>46086</v>
      </c>
      <c r="H1042" s="15" t="str">
        <f t="shared" si="64"/>
        <v>Thursday</v>
      </c>
      <c r="I1042" s="11">
        <v>157</v>
      </c>
      <c r="J1042" s="24">
        <f t="shared" si="65"/>
        <v>1099</v>
      </c>
      <c r="K1042">
        <f t="shared" si="66"/>
        <v>5</v>
      </c>
      <c r="L1042" t="str">
        <f t="shared" si="67"/>
        <v>OK</v>
      </c>
    </row>
    <row r="1043" spans="1:12" x14ac:dyDescent="0.45">
      <c r="A1043" s="21" t="s">
        <v>984</v>
      </c>
      <c r="B1043" s="7">
        <v>1</v>
      </c>
      <c r="C1043" s="7">
        <v>30</v>
      </c>
      <c r="D1043" s="7">
        <v>1</v>
      </c>
      <c r="E1043" s="7">
        <v>1</v>
      </c>
      <c r="F1043" s="7">
        <v>1</v>
      </c>
      <c r="G1043" s="16">
        <v>46082</v>
      </c>
      <c r="H1043" s="16" t="str">
        <f t="shared" si="64"/>
        <v>Sunday</v>
      </c>
      <c r="I1043" s="12">
        <v>116</v>
      </c>
      <c r="J1043" s="9">
        <f t="shared" si="65"/>
        <v>116</v>
      </c>
      <c r="K1043">
        <f t="shared" si="66"/>
        <v>1</v>
      </c>
      <c r="L1043" t="str">
        <f t="shared" si="67"/>
        <v>Low Stock</v>
      </c>
    </row>
    <row r="1044" spans="1:12" x14ac:dyDescent="0.45">
      <c r="A1044" s="20" t="s">
        <v>1114</v>
      </c>
      <c r="B1044" s="6">
        <v>25</v>
      </c>
      <c r="C1044" s="6">
        <v>25</v>
      </c>
      <c r="D1044" s="6">
        <v>30</v>
      </c>
      <c r="E1044" s="6">
        <v>3</v>
      </c>
      <c r="F1044" s="6">
        <v>3</v>
      </c>
      <c r="G1044" s="15">
        <v>46086</v>
      </c>
      <c r="H1044" s="15" t="str">
        <f t="shared" si="64"/>
        <v>Thursday</v>
      </c>
      <c r="I1044" s="11">
        <v>81</v>
      </c>
      <c r="J1044" s="24">
        <f t="shared" si="65"/>
        <v>2430</v>
      </c>
      <c r="K1044">
        <f t="shared" si="66"/>
        <v>25</v>
      </c>
      <c r="L1044" t="str">
        <f t="shared" si="67"/>
        <v>OK</v>
      </c>
    </row>
    <row r="1045" spans="1:12" x14ac:dyDescent="0.45">
      <c r="A1045" s="21" t="s">
        <v>183</v>
      </c>
      <c r="B1045" s="7">
        <v>0</v>
      </c>
      <c r="C1045" s="7">
        <v>0</v>
      </c>
      <c r="D1045" s="7">
        <v>10</v>
      </c>
      <c r="E1045" s="7">
        <v>1</v>
      </c>
      <c r="F1045" s="7">
        <v>1</v>
      </c>
      <c r="G1045" s="16">
        <v>46086</v>
      </c>
      <c r="H1045" s="16" t="str">
        <f t="shared" si="64"/>
        <v>Thursday</v>
      </c>
      <c r="I1045" s="12">
        <v>148</v>
      </c>
      <c r="J1045" s="9">
        <f t="shared" si="65"/>
        <v>1480</v>
      </c>
      <c r="K1045">
        <f t="shared" si="66"/>
        <v>0</v>
      </c>
      <c r="L1045" t="str">
        <f t="shared" si="67"/>
        <v>Low Stock</v>
      </c>
    </row>
    <row r="1046" spans="1:12" x14ac:dyDescent="0.45">
      <c r="A1046" s="20" t="s">
        <v>511</v>
      </c>
      <c r="B1046" s="6">
        <v>40</v>
      </c>
      <c r="C1046" s="6">
        <v>8</v>
      </c>
      <c r="D1046" s="6">
        <v>140</v>
      </c>
      <c r="E1046" s="6">
        <v>5</v>
      </c>
      <c r="F1046" s="6">
        <v>5</v>
      </c>
      <c r="G1046" s="15">
        <v>46085</v>
      </c>
      <c r="H1046" s="15" t="str">
        <f t="shared" si="64"/>
        <v>Wednesday</v>
      </c>
      <c r="I1046" s="11">
        <v>146</v>
      </c>
      <c r="J1046" s="24">
        <f t="shared" si="65"/>
        <v>20440</v>
      </c>
      <c r="K1046">
        <f t="shared" si="66"/>
        <v>40</v>
      </c>
      <c r="L1046" t="str">
        <f t="shared" si="67"/>
        <v>OK</v>
      </c>
    </row>
    <row r="1047" spans="1:12" x14ac:dyDescent="0.45">
      <c r="A1047" s="21" t="s">
        <v>551</v>
      </c>
      <c r="B1047" s="7">
        <v>15</v>
      </c>
      <c r="C1047" s="7">
        <v>15</v>
      </c>
      <c r="D1047" s="7">
        <v>30</v>
      </c>
      <c r="E1047" s="7">
        <v>2</v>
      </c>
      <c r="F1047" s="7">
        <v>2</v>
      </c>
      <c r="G1047" s="16">
        <v>46084</v>
      </c>
      <c r="H1047" s="16" t="str">
        <f t="shared" si="64"/>
        <v>Tuesday</v>
      </c>
      <c r="I1047" s="12">
        <v>67</v>
      </c>
      <c r="J1047" s="9">
        <f t="shared" si="65"/>
        <v>2010</v>
      </c>
      <c r="K1047">
        <f t="shared" si="66"/>
        <v>15</v>
      </c>
      <c r="L1047" t="str">
        <f t="shared" si="67"/>
        <v>OK</v>
      </c>
    </row>
    <row r="1048" spans="1:12" x14ac:dyDescent="0.45">
      <c r="A1048" s="20" t="s">
        <v>694</v>
      </c>
      <c r="B1048" s="6">
        <v>10</v>
      </c>
      <c r="C1048" s="6">
        <v>15</v>
      </c>
      <c r="D1048" s="6">
        <v>20</v>
      </c>
      <c r="E1048" s="6">
        <v>2</v>
      </c>
      <c r="F1048" s="6">
        <v>2</v>
      </c>
      <c r="G1048" s="15">
        <v>46084</v>
      </c>
      <c r="H1048" s="15" t="str">
        <f t="shared" si="64"/>
        <v>Tuesday</v>
      </c>
      <c r="I1048" s="11">
        <v>171</v>
      </c>
      <c r="J1048" s="24">
        <f t="shared" si="65"/>
        <v>3420</v>
      </c>
      <c r="K1048">
        <f t="shared" si="66"/>
        <v>10</v>
      </c>
      <c r="L1048" t="str">
        <f t="shared" si="67"/>
        <v>OK</v>
      </c>
    </row>
    <row r="1049" spans="1:12" x14ac:dyDescent="0.45">
      <c r="A1049" s="21" t="s">
        <v>738</v>
      </c>
      <c r="B1049" s="7">
        <v>165</v>
      </c>
      <c r="C1049" s="7">
        <v>27</v>
      </c>
      <c r="D1049" s="7">
        <v>180</v>
      </c>
      <c r="E1049" s="7">
        <v>10</v>
      </c>
      <c r="F1049" s="7">
        <v>8</v>
      </c>
      <c r="G1049" s="16">
        <v>46085</v>
      </c>
      <c r="H1049" s="16" t="str">
        <f t="shared" si="64"/>
        <v>Wednesday</v>
      </c>
      <c r="I1049" s="12">
        <v>139</v>
      </c>
      <c r="J1049" s="9">
        <f t="shared" si="65"/>
        <v>25020</v>
      </c>
      <c r="K1049">
        <f t="shared" si="66"/>
        <v>165</v>
      </c>
      <c r="L1049" t="str">
        <f t="shared" si="67"/>
        <v>OK</v>
      </c>
    </row>
    <row r="1050" spans="1:12" x14ac:dyDescent="0.45">
      <c r="A1050" s="20" t="s">
        <v>783</v>
      </c>
      <c r="B1050" s="6">
        <v>20</v>
      </c>
      <c r="C1050" s="6">
        <v>30</v>
      </c>
      <c r="D1050" s="6">
        <v>20</v>
      </c>
      <c r="E1050" s="6">
        <v>2</v>
      </c>
      <c r="F1050" s="6">
        <v>2</v>
      </c>
      <c r="G1050" s="15">
        <v>46085</v>
      </c>
      <c r="H1050" s="15" t="str">
        <f t="shared" si="64"/>
        <v>Wednesday</v>
      </c>
      <c r="I1050" s="11">
        <v>146</v>
      </c>
      <c r="J1050" s="24">
        <f t="shared" si="65"/>
        <v>2920</v>
      </c>
      <c r="K1050">
        <f t="shared" si="66"/>
        <v>20</v>
      </c>
      <c r="L1050" t="str">
        <f t="shared" si="67"/>
        <v>OK</v>
      </c>
    </row>
    <row r="1051" spans="1:12" x14ac:dyDescent="0.45">
      <c r="A1051" s="21" t="s">
        <v>802</v>
      </c>
      <c r="B1051" s="7">
        <v>30</v>
      </c>
      <c r="C1051" s="7">
        <v>30</v>
      </c>
      <c r="D1051" s="7">
        <v>30</v>
      </c>
      <c r="E1051" s="7">
        <v>3</v>
      </c>
      <c r="F1051" s="7">
        <v>3</v>
      </c>
      <c r="G1051" s="16">
        <v>46086</v>
      </c>
      <c r="H1051" s="16" t="str">
        <f t="shared" si="64"/>
        <v>Thursday</v>
      </c>
      <c r="I1051" s="12">
        <v>135</v>
      </c>
      <c r="J1051" s="9">
        <f t="shared" si="65"/>
        <v>4050</v>
      </c>
      <c r="K1051">
        <f t="shared" si="66"/>
        <v>30</v>
      </c>
      <c r="L1051" t="str">
        <f t="shared" si="67"/>
        <v>OK</v>
      </c>
    </row>
    <row r="1052" spans="1:12" x14ac:dyDescent="0.45">
      <c r="A1052" s="20" t="s">
        <v>1162</v>
      </c>
      <c r="B1052" s="6">
        <v>20</v>
      </c>
      <c r="C1052" s="6">
        <v>30</v>
      </c>
      <c r="D1052" s="6">
        <v>20</v>
      </c>
      <c r="E1052" s="6">
        <v>2</v>
      </c>
      <c r="F1052" s="6">
        <v>2</v>
      </c>
      <c r="G1052" s="15">
        <v>46084</v>
      </c>
      <c r="H1052" s="15" t="str">
        <f t="shared" si="64"/>
        <v>Tuesday</v>
      </c>
      <c r="I1052" s="11">
        <v>122</v>
      </c>
      <c r="J1052" s="24">
        <f t="shared" si="65"/>
        <v>2440</v>
      </c>
      <c r="K1052">
        <f t="shared" si="66"/>
        <v>20</v>
      </c>
      <c r="L1052" t="str">
        <f t="shared" si="67"/>
        <v>OK</v>
      </c>
    </row>
    <row r="1053" spans="1:12" x14ac:dyDescent="0.45">
      <c r="A1053" s="21" t="s">
        <v>1229</v>
      </c>
      <c r="B1053" s="7">
        <v>4</v>
      </c>
      <c r="C1053" s="7">
        <v>24</v>
      </c>
      <c r="D1053" s="7">
        <v>5</v>
      </c>
      <c r="E1053" s="7">
        <v>4</v>
      </c>
      <c r="F1053" s="7">
        <v>4</v>
      </c>
      <c r="G1053" s="16">
        <v>46085</v>
      </c>
      <c r="H1053" s="16" t="str">
        <f t="shared" si="64"/>
        <v>Wednesday</v>
      </c>
      <c r="I1053" s="12">
        <v>175</v>
      </c>
      <c r="J1053" s="9">
        <f t="shared" si="65"/>
        <v>875</v>
      </c>
      <c r="K1053">
        <f t="shared" si="66"/>
        <v>4</v>
      </c>
      <c r="L1053" t="str">
        <f t="shared" si="67"/>
        <v>Low Stock</v>
      </c>
    </row>
    <row r="1054" spans="1:12" x14ac:dyDescent="0.45">
      <c r="A1054" s="20" t="s">
        <v>124</v>
      </c>
      <c r="B1054" s="6">
        <v>-4</v>
      </c>
      <c r="C1054" s="6">
        <v>0</v>
      </c>
      <c r="D1054" s="6">
        <v>2</v>
      </c>
      <c r="E1054" s="6">
        <v>2</v>
      </c>
      <c r="F1054" s="6">
        <v>2</v>
      </c>
      <c r="G1054" s="15">
        <v>46082</v>
      </c>
      <c r="H1054" s="15" t="str">
        <f t="shared" si="64"/>
        <v>Sunday</v>
      </c>
      <c r="I1054" s="11">
        <v>181</v>
      </c>
      <c r="J1054" s="24">
        <f t="shared" si="65"/>
        <v>362</v>
      </c>
      <c r="K1054">
        <f t="shared" si="66"/>
        <v>0</v>
      </c>
      <c r="L1054" t="str">
        <f t="shared" si="67"/>
        <v>Low Stock</v>
      </c>
    </row>
    <row r="1055" spans="1:12" x14ac:dyDescent="0.45">
      <c r="A1055" s="21" t="s">
        <v>355</v>
      </c>
      <c r="B1055" s="7">
        <v>-6</v>
      </c>
      <c r="C1055" s="7">
        <v>0</v>
      </c>
      <c r="D1055" s="7">
        <v>1</v>
      </c>
      <c r="E1055" s="7">
        <v>1</v>
      </c>
      <c r="F1055" s="7">
        <v>1</v>
      </c>
      <c r="G1055" s="16">
        <v>46083</v>
      </c>
      <c r="H1055" s="16" t="str">
        <f t="shared" si="64"/>
        <v>Monday</v>
      </c>
      <c r="I1055" s="12">
        <v>196</v>
      </c>
      <c r="J1055" s="9">
        <f t="shared" si="65"/>
        <v>196</v>
      </c>
      <c r="K1055">
        <f t="shared" si="66"/>
        <v>0</v>
      </c>
      <c r="L1055" t="str">
        <f t="shared" si="67"/>
        <v>Low Stock</v>
      </c>
    </row>
    <row r="1056" spans="1:12" x14ac:dyDescent="0.45">
      <c r="A1056" s="20" t="s">
        <v>390</v>
      </c>
      <c r="B1056" s="6">
        <v>0</v>
      </c>
      <c r="C1056" s="6">
        <v>0</v>
      </c>
      <c r="D1056" s="6">
        <v>1</v>
      </c>
      <c r="E1056" s="6">
        <v>1</v>
      </c>
      <c r="F1056" s="6">
        <v>1</v>
      </c>
      <c r="G1056" s="15">
        <v>46087</v>
      </c>
      <c r="H1056" s="15" t="str">
        <f t="shared" si="64"/>
        <v>Friday</v>
      </c>
      <c r="I1056" s="11">
        <v>174</v>
      </c>
      <c r="J1056" s="24">
        <f t="shared" si="65"/>
        <v>174</v>
      </c>
      <c r="K1056">
        <f t="shared" si="66"/>
        <v>0</v>
      </c>
      <c r="L1056" t="str">
        <f t="shared" si="67"/>
        <v>Low Stock</v>
      </c>
    </row>
    <row r="1057" spans="1:12" x14ac:dyDescent="0.45">
      <c r="A1057" s="21" t="s">
        <v>432</v>
      </c>
      <c r="B1057" s="7">
        <v>-39</v>
      </c>
      <c r="C1057" s="7">
        <v>0</v>
      </c>
      <c r="D1057" s="7">
        <v>35</v>
      </c>
      <c r="E1057" s="7">
        <v>5</v>
      </c>
      <c r="F1057" s="7">
        <v>5</v>
      </c>
      <c r="G1057" s="16">
        <v>46083</v>
      </c>
      <c r="H1057" s="16" t="str">
        <f t="shared" si="64"/>
        <v>Monday</v>
      </c>
      <c r="I1057" s="12">
        <v>97</v>
      </c>
      <c r="J1057" s="9">
        <f t="shared" si="65"/>
        <v>3395</v>
      </c>
      <c r="K1057">
        <f t="shared" si="66"/>
        <v>0</v>
      </c>
      <c r="L1057" t="str">
        <f t="shared" si="67"/>
        <v>Low Stock</v>
      </c>
    </row>
    <row r="1058" spans="1:12" x14ac:dyDescent="0.45">
      <c r="A1058" s="20" t="s">
        <v>447</v>
      </c>
      <c r="B1058" s="6">
        <v>-1</v>
      </c>
      <c r="C1058" s="6">
        <v>0</v>
      </c>
      <c r="D1058" s="6">
        <v>10</v>
      </c>
      <c r="E1058" s="6">
        <v>1</v>
      </c>
      <c r="F1058" s="6">
        <v>1</v>
      </c>
      <c r="G1058" s="15">
        <v>46082</v>
      </c>
      <c r="H1058" s="15" t="str">
        <f t="shared" si="64"/>
        <v>Sunday</v>
      </c>
      <c r="I1058" s="11">
        <v>189</v>
      </c>
      <c r="J1058" s="24">
        <f t="shared" si="65"/>
        <v>1890</v>
      </c>
      <c r="K1058">
        <f t="shared" si="66"/>
        <v>0</v>
      </c>
      <c r="L1058" t="str">
        <f t="shared" si="67"/>
        <v>Low Stock</v>
      </c>
    </row>
    <row r="1059" spans="1:12" x14ac:dyDescent="0.45">
      <c r="A1059" s="21" t="s">
        <v>513</v>
      </c>
      <c r="B1059" s="7">
        <v>10</v>
      </c>
      <c r="C1059" s="7">
        <v>10</v>
      </c>
      <c r="D1059" s="7">
        <v>30</v>
      </c>
      <c r="E1059" s="7">
        <v>3</v>
      </c>
      <c r="F1059" s="7">
        <v>3</v>
      </c>
      <c r="G1059" s="16">
        <v>46086</v>
      </c>
      <c r="H1059" s="16" t="str">
        <f t="shared" si="64"/>
        <v>Thursday</v>
      </c>
      <c r="I1059" s="12">
        <v>64</v>
      </c>
      <c r="J1059" s="9">
        <f t="shared" si="65"/>
        <v>1920</v>
      </c>
      <c r="K1059">
        <f t="shared" si="66"/>
        <v>10</v>
      </c>
      <c r="L1059" t="str">
        <f t="shared" si="67"/>
        <v>OK</v>
      </c>
    </row>
    <row r="1060" spans="1:12" x14ac:dyDescent="0.45">
      <c r="A1060" s="20" t="s">
        <v>734</v>
      </c>
      <c r="B1060" s="6">
        <v>30</v>
      </c>
      <c r="C1060" s="6">
        <v>22</v>
      </c>
      <c r="D1060" s="6">
        <v>40</v>
      </c>
      <c r="E1060" s="6">
        <v>3</v>
      </c>
      <c r="F1060" s="6">
        <v>2</v>
      </c>
      <c r="G1060" s="15">
        <v>46085</v>
      </c>
      <c r="H1060" s="15" t="str">
        <f t="shared" si="64"/>
        <v>Wednesday</v>
      </c>
      <c r="I1060" s="11">
        <v>85</v>
      </c>
      <c r="J1060" s="24">
        <f t="shared" si="65"/>
        <v>3400</v>
      </c>
      <c r="K1060">
        <f t="shared" si="66"/>
        <v>30</v>
      </c>
      <c r="L1060" t="str">
        <f t="shared" si="67"/>
        <v>OK</v>
      </c>
    </row>
    <row r="1061" spans="1:12" x14ac:dyDescent="0.45">
      <c r="A1061" s="21" t="s">
        <v>837</v>
      </c>
      <c r="B1061" s="7">
        <v>2</v>
      </c>
      <c r="C1061" s="7">
        <v>20</v>
      </c>
      <c r="D1061" s="7">
        <v>3</v>
      </c>
      <c r="E1061" s="7">
        <v>2</v>
      </c>
      <c r="F1061" s="7">
        <v>2</v>
      </c>
      <c r="G1061" s="16">
        <v>46082</v>
      </c>
      <c r="H1061" s="16" t="str">
        <f t="shared" si="64"/>
        <v>Sunday</v>
      </c>
      <c r="I1061" s="12">
        <v>140</v>
      </c>
      <c r="J1061" s="9">
        <f t="shared" si="65"/>
        <v>420</v>
      </c>
      <c r="K1061">
        <f t="shared" si="66"/>
        <v>2</v>
      </c>
      <c r="L1061" t="str">
        <f t="shared" si="67"/>
        <v>Low Stock</v>
      </c>
    </row>
    <row r="1062" spans="1:12" x14ac:dyDescent="0.45">
      <c r="A1062" s="20" t="s">
        <v>949</v>
      </c>
      <c r="B1062" s="6">
        <v>50</v>
      </c>
      <c r="C1062" s="6">
        <v>30</v>
      </c>
      <c r="D1062" s="6">
        <v>50</v>
      </c>
      <c r="E1062" s="6">
        <v>2</v>
      </c>
      <c r="F1062" s="6">
        <v>2</v>
      </c>
      <c r="G1062" s="15">
        <v>46084</v>
      </c>
      <c r="H1062" s="15" t="str">
        <f t="shared" si="64"/>
        <v>Tuesday</v>
      </c>
      <c r="I1062" s="11">
        <v>88</v>
      </c>
      <c r="J1062" s="24">
        <f t="shared" si="65"/>
        <v>4400</v>
      </c>
      <c r="K1062">
        <f t="shared" si="66"/>
        <v>50</v>
      </c>
      <c r="L1062" t="str">
        <f t="shared" si="67"/>
        <v>OK</v>
      </c>
    </row>
    <row r="1063" spans="1:12" x14ac:dyDescent="0.45">
      <c r="A1063" s="21" t="s">
        <v>1097</v>
      </c>
      <c r="B1063" s="7">
        <v>17</v>
      </c>
      <c r="C1063" s="7">
        <v>25</v>
      </c>
      <c r="D1063" s="7">
        <v>20</v>
      </c>
      <c r="E1063" s="7">
        <v>2</v>
      </c>
      <c r="F1063" s="7">
        <v>2</v>
      </c>
      <c r="G1063" s="16">
        <v>46086</v>
      </c>
      <c r="H1063" s="16" t="str">
        <f t="shared" si="64"/>
        <v>Thursday</v>
      </c>
      <c r="I1063" s="12">
        <v>134</v>
      </c>
      <c r="J1063" s="9">
        <f t="shared" si="65"/>
        <v>2680</v>
      </c>
      <c r="K1063">
        <f t="shared" si="66"/>
        <v>17</v>
      </c>
      <c r="L1063" t="str">
        <f t="shared" si="67"/>
        <v>OK</v>
      </c>
    </row>
    <row r="1064" spans="1:12" x14ac:dyDescent="0.45">
      <c r="A1064" s="20" t="s">
        <v>1106</v>
      </c>
      <c r="B1064" s="6">
        <v>15</v>
      </c>
      <c r="C1064" s="6">
        <v>30</v>
      </c>
      <c r="D1064" s="6">
        <v>15</v>
      </c>
      <c r="E1064" s="6">
        <v>1</v>
      </c>
      <c r="F1064" s="6">
        <v>1</v>
      </c>
      <c r="G1064" s="15">
        <v>46085</v>
      </c>
      <c r="H1064" s="15" t="str">
        <f t="shared" si="64"/>
        <v>Wednesday</v>
      </c>
      <c r="I1064" s="11">
        <v>125</v>
      </c>
      <c r="J1064" s="24">
        <f t="shared" si="65"/>
        <v>1875</v>
      </c>
      <c r="K1064">
        <f t="shared" si="66"/>
        <v>15</v>
      </c>
      <c r="L1064" t="str">
        <f t="shared" si="67"/>
        <v>OK</v>
      </c>
    </row>
    <row r="1065" spans="1:12" x14ac:dyDescent="0.45">
      <c r="A1065" s="21" t="s">
        <v>1152</v>
      </c>
      <c r="B1065" s="7">
        <v>96</v>
      </c>
      <c r="C1065" s="7">
        <v>26</v>
      </c>
      <c r="D1065" s="7">
        <v>107</v>
      </c>
      <c r="E1065" s="7">
        <v>9</v>
      </c>
      <c r="F1065" s="7">
        <v>8</v>
      </c>
      <c r="G1065" s="16">
        <v>46083</v>
      </c>
      <c r="H1065" s="16" t="str">
        <f t="shared" si="64"/>
        <v>Monday</v>
      </c>
      <c r="I1065" s="12">
        <v>149</v>
      </c>
      <c r="J1065" s="9">
        <f t="shared" si="65"/>
        <v>15943</v>
      </c>
      <c r="K1065">
        <f t="shared" si="66"/>
        <v>96</v>
      </c>
      <c r="L1065" t="str">
        <f t="shared" si="67"/>
        <v>OK</v>
      </c>
    </row>
    <row r="1066" spans="1:12" x14ac:dyDescent="0.45">
      <c r="A1066" s="20" t="s">
        <v>1237</v>
      </c>
      <c r="B1066" s="6">
        <v>1</v>
      </c>
      <c r="C1066" s="6">
        <v>30</v>
      </c>
      <c r="D1066" s="6">
        <v>1</v>
      </c>
      <c r="E1066" s="6">
        <v>1</v>
      </c>
      <c r="F1066" s="6">
        <v>1</v>
      </c>
      <c r="G1066" s="15">
        <v>46083</v>
      </c>
      <c r="H1066" s="15" t="str">
        <f t="shared" si="64"/>
        <v>Monday</v>
      </c>
      <c r="I1066" s="11">
        <v>132</v>
      </c>
      <c r="J1066" s="24">
        <f t="shared" si="65"/>
        <v>132</v>
      </c>
      <c r="K1066">
        <f t="shared" si="66"/>
        <v>1</v>
      </c>
      <c r="L1066" t="str">
        <f t="shared" si="67"/>
        <v>Low Stock</v>
      </c>
    </row>
    <row r="1067" spans="1:12" x14ac:dyDescent="0.45">
      <c r="A1067" s="21" t="s">
        <v>1256</v>
      </c>
      <c r="B1067" s="7">
        <v>1</v>
      </c>
      <c r="C1067" s="7">
        <v>30</v>
      </c>
      <c r="D1067" s="7">
        <v>1</v>
      </c>
      <c r="E1067" s="7">
        <v>1</v>
      </c>
      <c r="F1067" s="7">
        <v>1</v>
      </c>
      <c r="G1067" s="16">
        <v>46082</v>
      </c>
      <c r="H1067" s="16" t="str">
        <f t="shared" si="64"/>
        <v>Sunday</v>
      </c>
      <c r="I1067" s="12">
        <v>130</v>
      </c>
      <c r="J1067" s="9">
        <f t="shared" si="65"/>
        <v>130</v>
      </c>
      <c r="K1067">
        <f t="shared" si="66"/>
        <v>1</v>
      </c>
      <c r="L1067" t="str">
        <f t="shared" si="67"/>
        <v>Low Stock</v>
      </c>
    </row>
    <row r="1068" spans="1:12" x14ac:dyDescent="0.45">
      <c r="A1068" s="20" t="s">
        <v>1263</v>
      </c>
      <c r="B1068" s="6">
        <v>30</v>
      </c>
      <c r="C1068" s="6">
        <v>30</v>
      </c>
      <c r="D1068" s="6">
        <v>30</v>
      </c>
      <c r="E1068" s="6">
        <v>1</v>
      </c>
      <c r="F1068" s="6">
        <v>1</v>
      </c>
      <c r="G1068" s="15">
        <v>46087</v>
      </c>
      <c r="H1068" s="15" t="str">
        <f t="shared" si="64"/>
        <v>Friday</v>
      </c>
      <c r="I1068" s="11">
        <v>82</v>
      </c>
      <c r="J1068" s="24">
        <f t="shared" si="65"/>
        <v>2460</v>
      </c>
      <c r="K1068">
        <f t="shared" si="66"/>
        <v>30</v>
      </c>
      <c r="L1068" t="str">
        <f t="shared" si="67"/>
        <v>OK</v>
      </c>
    </row>
    <row r="1069" spans="1:12" x14ac:dyDescent="0.45">
      <c r="A1069" s="21" t="s">
        <v>178</v>
      </c>
      <c r="B1069" s="7">
        <v>20</v>
      </c>
      <c r="C1069" s="7">
        <v>7</v>
      </c>
      <c r="D1069" s="7">
        <v>80</v>
      </c>
      <c r="E1069" s="7">
        <v>4</v>
      </c>
      <c r="F1069" s="7">
        <v>4</v>
      </c>
      <c r="G1069" s="16">
        <v>46088</v>
      </c>
      <c r="H1069" s="16" t="str">
        <f t="shared" si="64"/>
        <v>Saturday</v>
      </c>
      <c r="I1069" s="12">
        <v>64</v>
      </c>
      <c r="J1069" s="9">
        <f t="shared" si="65"/>
        <v>5120</v>
      </c>
      <c r="K1069">
        <f t="shared" si="66"/>
        <v>20</v>
      </c>
      <c r="L1069" t="str">
        <f t="shared" si="67"/>
        <v>OK</v>
      </c>
    </row>
    <row r="1070" spans="1:12" x14ac:dyDescent="0.45">
      <c r="A1070" s="20" t="s">
        <v>229</v>
      </c>
      <c r="B1070" s="6">
        <v>-1</v>
      </c>
      <c r="C1070" s="6">
        <v>0</v>
      </c>
      <c r="D1070" s="6">
        <v>2</v>
      </c>
      <c r="E1070" s="6">
        <v>4</v>
      </c>
      <c r="F1070" s="6">
        <v>4</v>
      </c>
      <c r="G1070" s="15">
        <v>46087</v>
      </c>
      <c r="H1070" s="15" t="str">
        <f t="shared" si="64"/>
        <v>Friday</v>
      </c>
      <c r="I1070" s="11">
        <v>79</v>
      </c>
      <c r="J1070" s="24">
        <f t="shared" si="65"/>
        <v>158</v>
      </c>
      <c r="K1070">
        <f t="shared" si="66"/>
        <v>0</v>
      </c>
      <c r="L1070" t="str">
        <f t="shared" si="67"/>
        <v>Low Stock</v>
      </c>
    </row>
    <row r="1071" spans="1:12" x14ac:dyDescent="0.45">
      <c r="A1071" s="21" t="s">
        <v>302</v>
      </c>
      <c r="B1071" s="7">
        <v>0</v>
      </c>
      <c r="C1071" s="7">
        <v>0</v>
      </c>
      <c r="D1071" s="7">
        <v>50</v>
      </c>
      <c r="E1071" s="7">
        <v>4</v>
      </c>
      <c r="F1071" s="7">
        <v>3</v>
      </c>
      <c r="G1071" s="16">
        <v>46082</v>
      </c>
      <c r="H1071" s="16" t="str">
        <f t="shared" si="64"/>
        <v>Sunday</v>
      </c>
      <c r="I1071" s="12">
        <v>184</v>
      </c>
      <c r="J1071" s="9">
        <f t="shared" si="65"/>
        <v>9200</v>
      </c>
      <c r="K1071">
        <f t="shared" si="66"/>
        <v>0</v>
      </c>
      <c r="L1071" t="str">
        <f t="shared" si="67"/>
        <v>Low Stock</v>
      </c>
    </row>
    <row r="1072" spans="1:12" x14ac:dyDescent="0.45">
      <c r="A1072" s="20" t="s">
        <v>324</v>
      </c>
      <c r="B1072" s="6">
        <v>-1</v>
      </c>
      <c r="C1072" s="6">
        <v>0</v>
      </c>
      <c r="D1072" s="6">
        <v>1</v>
      </c>
      <c r="E1072" s="6">
        <v>1</v>
      </c>
      <c r="F1072" s="6">
        <v>1</v>
      </c>
      <c r="G1072" s="15">
        <v>46088</v>
      </c>
      <c r="H1072" s="15" t="str">
        <f t="shared" si="64"/>
        <v>Saturday</v>
      </c>
      <c r="I1072" s="11">
        <v>147</v>
      </c>
      <c r="J1072" s="24">
        <f t="shared" si="65"/>
        <v>147</v>
      </c>
      <c r="K1072">
        <f t="shared" si="66"/>
        <v>0</v>
      </c>
      <c r="L1072" t="str">
        <f t="shared" si="67"/>
        <v>Low Stock</v>
      </c>
    </row>
    <row r="1073" spans="1:12" x14ac:dyDescent="0.45">
      <c r="A1073" s="21" t="s">
        <v>331</v>
      </c>
      <c r="B1073" s="7">
        <v>-10</v>
      </c>
      <c r="C1073" s="7">
        <v>0</v>
      </c>
      <c r="D1073" s="7">
        <v>10</v>
      </c>
      <c r="E1073" s="7">
        <v>1</v>
      </c>
      <c r="F1073" s="7">
        <v>1</v>
      </c>
      <c r="G1073" s="16">
        <v>46088</v>
      </c>
      <c r="H1073" s="16" t="str">
        <f t="shared" si="64"/>
        <v>Saturday</v>
      </c>
      <c r="I1073" s="12">
        <v>105</v>
      </c>
      <c r="J1073" s="9">
        <f t="shared" si="65"/>
        <v>1050</v>
      </c>
      <c r="K1073">
        <f t="shared" si="66"/>
        <v>0</v>
      </c>
      <c r="L1073" t="str">
        <f t="shared" si="67"/>
        <v>Low Stock</v>
      </c>
    </row>
    <row r="1074" spans="1:12" x14ac:dyDescent="0.45">
      <c r="A1074" s="20" t="s">
        <v>646</v>
      </c>
      <c r="B1074" s="6">
        <v>10</v>
      </c>
      <c r="C1074" s="6">
        <v>15</v>
      </c>
      <c r="D1074" s="6">
        <v>20</v>
      </c>
      <c r="E1074" s="6">
        <v>2</v>
      </c>
      <c r="F1074" s="6">
        <v>2</v>
      </c>
      <c r="G1074" s="15">
        <v>46088</v>
      </c>
      <c r="H1074" s="15" t="str">
        <f t="shared" si="64"/>
        <v>Saturday</v>
      </c>
      <c r="I1074" s="11">
        <v>92</v>
      </c>
      <c r="J1074" s="24">
        <f t="shared" si="65"/>
        <v>1840</v>
      </c>
      <c r="K1074">
        <f t="shared" si="66"/>
        <v>10</v>
      </c>
      <c r="L1074" t="str">
        <f t="shared" si="67"/>
        <v>OK</v>
      </c>
    </row>
    <row r="1075" spans="1:12" x14ac:dyDescent="0.45">
      <c r="A1075" s="21" t="s">
        <v>809</v>
      </c>
      <c r="B1075" s="7">
        <v>75</v>
      </c>
      <c r="C1075" s="7">
        <v>30</v>
      </c>
      <c r="D1075" s="7">
        <v>75</v>
      </c>
      <c r="E1075" s="7">
        <v>2</v>
      </c>
      <c r="F1075" s="7">
        <v>2</v>
      </c>
      <c r="G1075" s="16">
        <v>46086</v>
      </c>
      <c r="H1075" s="16" t="str">
        <f t="shared" si="64"/>
        <v>Thursday</v>
      </c>
      <c r="I1075" s="12">
        <v>103</v>
      </c>
      <c r="J1075" s="9">
        <f t="shared" si="65"/>
        <v>7725</v>
      </c>
      <c r="K1075">
        <f t="shared" si="66"/>
        <v>75</v>
      </c>
      <c r="L1075" t="str">
        <f t="shared" si="67"/>
        <v>OK</v>
      </c>
    </row>
    <row r="1076" spans="1:12" x14ac:dyDescent="0.45">
      <c r="A1076" s="20" t="s">
        <v>822</v>
      </c>
      <c r="B1076" s="6">
        <v>70</v>
      </c>
      <c r="C1076" s="6">
        <v>26</v>
      </c>
      <c r="D1076" s="6">
        <v>80</v>
      </c>
      <c r="E1076" s="6">
        <v>6</v>
      </c>
      <c r="F1076" s="6">
        <v>4</v>
      </c>
      <c r="G1076" s="15">
        <v>46082</v>
      </c>
      <c r="H1076" s="15" t="str">
        <f t="shared" si="64"/>
        <v>Sunday</v>
      </c>
      <c r="I1076" s="11">
        <v>92</v>
      </c>
      <c r="J1076" s="24">
        <f t="shared" si="65"/>
        <v>7360</v>
      </c>
      <c r="K1076">
        <f t="shared" si="66"/>
        <v>70</v>
      </c>
      <c r="L1076" t="str">
        <f t="shared" si="67"/>
        <v>OK</v>
      </c>
    </row>
    <row r="1077" spans="1:12" x14ac:dyDescent="0.45">
      <c r="A1077" s="21" t="s">
        <v>841</v>
      </c>
      <c r="B1077" s="7">
        <v>45</v>
      </c>
      <c r="C1077" s="7">
        <v>30</v>
      </c>
      <c r="D1077" s="7">
        <v>45</v>
      </c>
      <c r="E1077" s="7">
        <v>3</v>
      </c>
      <c r="F1077" s="7">
        <v>3</v>
      </c>
      <c r="G1077" s="16">
        <v>46087</v>
      </c>
      <c r="H1077" s="16" t="str">
        <f t="shared" si="64"/>
        <v>Friday</v>
      </c>
      <c r="I1077" s="12">
        <v>81</v>
      </c>
      <c r="J1077" s="9">
        <f t="shared" si="65"/>
        <v>3645</v>
      </c>
      <c r="K1077">
        <f t="shared" si="66"/>
        <v>45</v>
      </c>
      <c r="L1077" t="str">
        <f t="shared" si="67"/>
        <v>OK</v>
      </c>
    </row>
    <row r="1078" spans="1:12" x14ac:dyDescent="0.45">
      <c r="A1078" s="20" t="s">
        <v>921</v>
      </c>
      <c r="B1078" s="6">
        <v>28</v>
      </c>
      <c r="C1078" s="6">
        <v>30</v>
      </c>
      <c r="D1078" s="6">
        <v>28</v>
      </c>
      <c r="E1078" s="6">
        <v>1</v>
      </c>
      <c r="F1078" s="6">
        <v>1</v>
      </c>
      <c r="G1078" s="15">
        <v>46088</v>
      </c>
      <c r="H1078" s="15" t="str">
        <f t="shared" si="64"/>
        <v>Saturday</v>
      </c>
      <c r="I1078" s="11">
        <v>109</v>
      </c>
      <c r="J1078" s="24">
        <f t="shared" si="65"/>
        <v>3052</v>
      </c>
      <c r="K1078">
        <f t="shared" si="66"/>
        <v>28</v>
      </c>
      <c r="L1078" t="str">
        <f t="shared" si="67"/>
        <v>OK</v>
      </c>
    </row>
    <row r="1079" spans="1:12" x14ac:dyDescent="0.45">
      <c r="A1079" s="21" t="s">
        <v>964</v>
      </c>
      <c r="B1079" s="7">
        <v>10</v>
      </c>
      <c r="C1079" s="7">
        <v>30</v>
      </c>
      <c r="D1079" s="7">
        <v>10</v>
      </c>
      <c r="E1079" s="7">
        <v>1</v>
      </c>
      <c r="F1079" s="7">
        <v>1</v>
      </c>
      <c r="G1079" s="16">
        <v>46083</v>
      </c>
      <c r="H1079" s="16" t="str">
        <f t="shared" si="64"/>
        <v>Monday</v>
      </c>
      <c r="I1079" s="12">
        <v>103</v>
      </c>
      <c r="J1079" s="9">
        <f t="shared" si="65"/>
        <v>1030</v>
      </c>
      <c r="K1079">
        <f t="shared" si="66"/>
        <v>10</v>
      </c>
      <c r="L1079" t="str">
        <f t="shared" si="67"/>
        <v>OK</v>
      </c>
    </row>
    <row r="1080" spans="1:12" x14ac:dyDescent="0.45">
      <c r="A1080" s="20" t="s">
        <v>979</v>
      </c>
      <c r="B1080" s="6">
        <v>3</v>
      </c>
      <c r="C1080" s="6">
        <v>30</v>
      </c>
      <c r="D1080" s="6">
        <v>3</v>
      </c>
      <c r="E1080" s="6">
        <v>2</v>
      </c>
      <c r="F1080" s="6">
        <v>2</v>
      </c>
      <c r="G1080" s="15">
        <v>46088</v>
      </c>
      <c r="H1080" s="15" t="str">
        <f t="shared" si="64"/>
        <v>Saturday</v>
      </c>
      <c r="I1080" s="11">
        <v>103</v>
      </c>
      <c r="J1080" s="24">
        <f t="shared" si="65"/>
        <v>309</v>
      </c>
      <c r="K1080">
        <f t="shared" si="66"/>
        <v>3</v>
      </c>
      <c r="L1080" t="str">
        <f t="shared" si="67"/>
        <v>Low Stock</v>
      </c>
    </row>
    <row r="1081" spans="1:12" x14ac:dyDescent="0.45">
      <c r="A1081" s="21" t="s">
        <v>1077</v>
      </c>
      <c r="B1081" s="7">
        <v>15</v>
      </c>
      <c r="C1081" s="7">
        <v>30</v>
      </c>
      <c r="D1081" s="7">
        <v>15</v>
      </c>
      <c r="E1081" s="7">
        <v>1</v>
      </c>
      <c r="F1081" s="7">
        <v>1</v>
      </c>
      <c r="G1081" s="16">
        <v>46086</v>
      </c>
      <c r="H1081" s="16" t="str">
        <f t="shared" si="64"/>
        <v>Thursday</v>
      </c>
      <c r="I1081" s="12">
        <v>114</v>
      </c>
      <c r="J1081" s="9">
        <f t="shared" si="65"/>
        <v>1710</v>
      </c>
      <c r="K1081">
        <f t="shared" si="66"/>
        <v>15</v>
      </c>
      <c r="L1081" t="str">
        <f t="shared" si="67"/>
        <v>OK</v>
      </c>
    </row>
    <row r="1082" spans="1:12" x14ac:dyDescent="0.45">
      <c r="A1082" s="20" t="s">
        <v>1166</v>
      </c>
      <c r="B1082" s="6">
        <v>15</v>
      </c>
      <c r="C1082" s="6">
        <v>30</v>
      </c>
      <c r="D1082" s="6">
        <v>15</v>
      </c>
      <c r="E1082" s="6">
        <v>1</v>
      </c>
      <c r="F1082" s="6">
        <v>1</v>
      </c>
      <c r="G1082" s="15">
        <v>46082</v>
      </c>
      <c r="H1082" s="15" t="str">
        <f t="shared" si="64"/>
        <v>Sunday</v>
      </c>
      <c r="I1082" s="11">
        <v>129</v>
      </c>
      <c r="J1082" s="24">
        <f t="shared" si="65"/>
        <v>1935</v>
      </c>
      <c r="K1082">
        <f t="shared" si="66"/>
        <v>15</v>
      </c>
      <c r="L1082" t="str">
        <f t="shared" si="67"/>
        <v>OK</v>
      </c>
    </row>
    <row r="1083" spans="1:12" x14ac:dyDescent="0.45">
      <c r="A1083" s="21" t="s">
        <v>307</v>
      </c>
      <c r="B1083" s="7">
        <v>0</v>
      </c>
      <c r="C1083" s="7">
        <v>0</v>
      </c>
      <c r="D1083" s="7">
        <v>1</v>
      </c>
      <c r="E1083" s="7">
        <v>1</v>
      </c>
      <c r="F1083" s="7">
        <v>1</v>
      </c>
      <c r="G1083" s="16">
        <v>46088</v>
      </c>
      <c r="H1083" s="16" t="str">
        <f t="shared" si="64"/>
        <v>Saturday</v>
      </c>
      <c r="I1083" s="12">
        <v>71</v>
      </c>
      <c r="J1083" s="9">
        <f t="shared" si="65"/>
        <v>71</v>
      </c>
      <c r="K1083">
        <f t="shared" si="66"/>
        <v>0</v>
      </c>
      <c r="L1083" t="str">
        <f t="shared" si="67"/>
        <v>Low Stock</v>
      </c>
    </row>
    <row r="1084" spans="1:12" x14ac:dyDescent="0.45">
      <c r="A1084" s="20" t="s">
        <v>476</v>
      </c>
      <c r="B1084" s="6">
        <v>-30</v>
      </c>
      <c r="C1084" s="6">
        <v>0</v>
      </c>
      <c r="D1084" s="6">
        <v>37</v>
      </c>
      <c r="E1084" s="6">
        <v>5</v>
      </c>
      <c r="F1084" s="6">
        <v>5</v>
      </c>
      <c r="G1084" s="15">
        <v>46083</v>
      </c>
      <c r="H1084" s="15" t="str">
        <f t="shared" si="64"/>
        <v>Monday</v>
      </c>
      <c r="I1084" s="11">
        <v>69</v>
      </c>
      <c r="J1084" s="24">
        <f t="shared" si="65"/>
        <v>2553</v>
      </c>
      <c r="K1084">
        <f t="shared" si="66"/>
        <v>0</v>
      </c>
      <c r="L1084" t="str">
        <f t="shared" si="67"/>
        <v>Low Stock</v>
      </c>
    </row>
    <row r="1085" spans="1:12" x14ac:dyDescent="0.45">
      <c r="A1085" s="21" t="s">
        <v>631</v>
      </c>
      <c r="B1085" s="7">
        <v>40</v>
      </c>
      <c r="C1085" s="7">
        <v>15</v>
      </c>
      <c r="D1085" s="7">
        <v>80</v>
      </c>
      <c r="E1085" s="7">
        <v>4</v>
      </c>
      <c r="F1085" s="7">
        <v>4</v>
      </c>
      <c r="G1085" s="16">
        <v>46084</v>
      </c>
      <c r="H1085" s="16" t="str">
        <f t="shared" si="64"/>
        <v>Tuesday</v>
      </c>
      <c r="I1085" s="12">
        <v>127</v>
      </c>
      <c r="J1085" s="9">
        <f t="shared" si="65"/>
        <v>10160</v>
      </c>
      <c r="K1085">
        <f t="shared" si="66"/>
        <v>40</v>
      </c>
      <c r="L1085" t="str">
        <f t="shared" si="67"/>
        <v>OK</v>
      </c>
    </row>
    <row r="1086" spans="1:12" x14ac:dyDescent="0.45">
      <c r="A1086" s="20" t="s">
        <v>701</v>
      </c>
      <c r="B1086" s="6">
        <v>10</v>
      </c>
      <c r="C1086" s="6">
        <v>15</v>
      </c>
      <c r="D1086" s="6">
        <v>20</v>
      </c>
      <c r="E1086" s="6">
        <v>1</v>
      </c>
      <c r="F1086" s="6">
        <v>1</v>
      </c>
      <c r="G1086" s="15">
        <v>46087</v>
      </c>
      <c r="H1086" s="15" t="str">
        <f t="shared" si="64"/>
        <v>Friday</v>
      </c>
      <c r="I1086" s="11">
        <v>100</v>
      </c>
      <c r="J1086" s="24">
        <f t="shared" si="65"/>
        <v>2000</v>
      </c>
      <c r="K1086">
        <f t="shared" si="66"/>
        <v>10</v>
      </c>
      <c r="L1086" t="str">
        <f t="shared" si="67"/>
        <v>OK</v>
      </c>
    </row>
    <row r="1087" spans="1:12" x14ac:dyDescent="0.45">
      <c r="A1087" s="21" t="s">
        <v>788</v>
      </c>
      <c r="B1087" s="7">
        <v>20</v>
      </c>
      <c r="C1087" s="7">
        <v>30</v>
      </c>
      <c r="D1087" s="7">
        <v>20</v>
      </c>
      <c r="E1087" s="7">
        <v>2</v>
      </c>
      <c r="F1087" s="7">
        <v>2</v>
      </c>
      <c r="G1087" s="16">
        <v>46087</v>
      </c>
      <c r="H1087" s="16" t="str">
        <f t="shared" si="64"/>
        <v>Friday</v>
      </c>
      <c r="I1087" s="12">
        <v>127</v>
      </c>
      <c r="J1087" s="9">
        <f t="shared" si="65"/>
        <v>2540</v>
      </c>
      <c r="K1087">
        <f t="shared" si="66"/>
        <v>20</v>
      </c>
      <c r="L1087" t="str">
        <f t="shared" si="67"/>
        <v>OK</v>
      </c>
    </row>
    <row r="1088" spans="1:12" x14ac:dyDescent="0.45">
      <c r="A1088" s="20" t="s">
        <v>811</v>
      </c>
      <c r="B1088" s="6">
        <v>30</v>
      </c>
      <c r="C1088" s="6">
        <v>30</v>
      </c>
      <c r="D1088" s="6">
        <v>30</v>
      </c>
      <c r="E1088" s="6">
        <v>3</v>
      </c>
      <c r="F1088" s="6">
        <v>3</v>
      </c>
      <c r="G1088" s="15">
        <v>46087</v>
      </c>
      <c r="H1088" s="15" t="str">
        <f t="shared" si="64"/>
        <v>Friday</v>
      </c>
      <c r="I1088" s="11">
        <v>175</v>
      </c>
      <c r="J1088" s="24">
        <f t="shared" si="65"/>
        <v>5250</v>
      </c>
      <c r="K1088">
        <f t="shared" si="66"/>
        <v>30</v>
      </c>
      <c r="L1088" t="str">
        <f t="shared" si="67"/>
        <v>OK</v>
      </c>
    </row>
    <row r="1089" spans="1:12" x14ac:dyDescent="0.45">
      <c r="A1089" s="21" t="s">
        <v>869</v>
      </c>
      <c r="B1089" s="7">
        <v>2</v>
      </c>
      <c r="C1089" s="7">
        <v>20</v>
      </c>
      <c r="D1089" s="7">
        <v>3</v>
      </c>
      <c r="E1089" s="7">
        <v>3</v>
      </c>
      <c r="F1089" s="7">
        <v>3</v>
      </c>
      <c r="G1089" s="16">
        <v>46084</v>
      </c>
      <c r="H1089" s="16" t="str">
        <f t="shared" si="64"/>
        <v>Tuesday</v>
      </c>
      <c r="I1089" s="12">
        <v>89</v>
      </c>
      <c r="J1089" s="9">
        <f t="shared" si="65"/>
        <v>267</v>
      </c>
      <c r="K1089">
        <f t="shared" si="66"/>
        <v>2</v>
      </c>
      <c r="L1089" t="str">
        <f t="shared" si="67"/>
        <v>Low Stock</v>
      </c>
    </row>
    <row r="1090" spans="1:12" x14ac:dyDescent="0.45">
      <c r="A1090" s="20" t="s">
        <v>968</v>
      </c>
      <c r="B1090" s="6">
        <v>4</v>
      </c>
      <c r="C1090" s="6">
        <v>30</v>
      </c>
      <c r="D1090" s="6">
        <v>4</v>
      </c>
      <c r="E1090" s="6">
        <v>4</v>
      </c>
      <c r="F1090" s="6">
        <v>4</v>
      </c>
      <c r="G1090" s="15">
        <v>46087</v>
      </c>
      <c r="H1090" s="15" t="str">
        <f t="shared" ref="H1090:H1153" si="68">TEXT(G1090,"dddd")</f>
        <v>Friday</v>
      </c>
      <c r="I1090" s="11">
        <v>124</v>
      </c>
      <c r="J1090" s="24">
        <f t="shared" ref="J1090:J1153" si="69">D1090*I1090</f>
        <v>496</v>
      </c>
      <c r="K1090">
        <f t="shared" ref="K1090:K1153" si="70">IF(B1090&lt;0,0,B1090)</f>
        <v>4</v>
      </c>
      <c r="L1090" t="str">
        <f t="shared" ref="L1090:L1153" si="71">IF(K1090&lt;5,"Low Stock","OK")</f>
        <v>Low Stock</v>
      </c>
    </row>
    <row r="1091" spans="1:12" x14ac:dyDescent="0.45">
      <c r="A1091" s="21" t="s">
        <v>1063</v>
      </c>
      <c r="B1091" s="7">
        <v>10</v>
      </c>
      <c r="C1091" s="7">
        <v>30</v>
      </c>
      <c r="D1091" s="7">
        <v>10</v>
      </c>
      <c r="E1091" s="7">
        <v>1</v>
      </c>
      <c r="F1091" s="7">
        <v>1</v>
      </c>
      <c r="G1091" s="16">
        <v>46088</v>
      </c>
      <c r="H1091" s="16" t="str">
        <f t="shared" si="68"/>
        <v>Saturday</v>
      </c>
      <c r="I1091" s="12">
        <v>60</v>
      </c>
      <c r="J1091" s="9">
        <f t="shared" si="69"/>
        <v>600</v>
      </c>
      <c r="K1091">
        <f t="shared" si="70"/>
        <v>10</v>
      </c>
      <c r="L1091" t="str">
        <f t="shared" si="71"/>
        <v>OK</v>
      </c>
    </row>
    <row r="1092" spans="1:12" x14ac:dyDescent="0.45">
      <c r="A1092" s="20" t="s">
        <v>1139</v>
      </c>
      <c r="B1092" s="6">
        <v>30</v>
      </c>
      <c r="C1092" s="6">
        <v>30</v>
      </c>
      <c r="D1092" s="6">
        <v>30</v>
      </c>
      <c r="E1092" s="6">
        <v>1</v>
      </c>
      <c r="F1092" s="6">
        <v>1</v>
      </c>
      <c r="G1092" s="15">
        <v>46085</v>
      </c>
      <c r="H1092" s="15" t="str">
        <f t="shared" si="68"/>
        <v>Wednesday</v>
      </c>
      <c r="I1092" s="11">
        <v>103</v>
      </c>
      <c r="J1092" s="24">
        <f t="shared" si="69"/>
        <v>3090</v>
      </c>
      <c r="K1092">
        <f t="shared" si="70"/>
        <v>30</v>
      </c>
      <c r="L1092" t="str">
        <f t="shared" si="71"/>
        <v>OK</v>
      </c>
    </row>
    <row r="1093" spans="1:12" x14ac:dyDescent="0.45">
      <c r="A1093" s="21" t="s">
        <v>309</v>
      </c>
      <c r="B1093" s="7">
        <v>-1</v>
      </c>
      <c r="C1093" s="7">
        <v>0</v>
      </c>
      <c r="D1093" s="7">
        <v>7</v>
      </c>
      <c r="E1093" s="7">
        <v>4</v>
      </c>
      <c r="F1093" s="7">
        <v>4</v>
      </c>
      <c r="G1093" s="16">
        <v>46088</v>
      </c>
      <c r="H1093" s="16" t="str">
        <f t="shared" si="68"/>
        <v>Saturday</v>
      </c>
      <c r="I1093" s="12">
        <v>130</v>
      </c>
      <c r="J1093" s="9">
        <f t="shared" si="69"/>
        <v>910</v>
      </c>
      <c r="K1093">
        <f t="shared" si="70"/>
        <v>0</v>
      </c>
      <c r="L1093" t="str">
        <f t="shared" si="71"/>
        <v>Low Stock</v>
      </c>
    </row>
    <row r="1094" spans="1:12" x14ac:dyDescent="0.45">
      <c r="A1094" s="20" t="s">
        <v>486</v>
      </c>
      <c r="B1094" s="6">
        <v>0</v>
      </c>
      <c r="C1094" s="6">
        <v>0</v>
      </c>
      <c r="D1094" s="6">
        <v>10</v>
      </c>
      <c r="E1094" s="6">
        <v>1</v>
      </c>
      <c r="F1094" s="6">
        <v>1</v>
      </c>
      <c r="G1094" s="15">
        <v>46087</v>
      </c>
      <c r="H1094" s="15" t="str">
        <f t="shared" si="68"/>
        <v>Friday</v>
      </c>
      <c r="I1094" s="11">
        <v>111</v>
      </c>
      <c r="J1094" s="24">
        <f t="shared" si="69"/>
        <v>1110</v>
      </c>
      <c r="K1094">
        <f t="shared" si="70"/>
        <v>0</v>
      </c>
      <c r="L1094" t="str">
        <f t="shared" si="71"/>
        <v>Low Stock</v>
      </c>
    </row>
    <row r="1095" spans="1:12" x14ac:dyDescent="0.45">
      <c r="A1095" s="21" t="s">
        <v>507</v>
      </c>
      <c r="B1095" s="7">
        <v>360</v>
      </c>
      <c r="C1095" s="7">
        <v>10</v>
      </c>
      <c r="D1095" s="7">
        <v>1020</v>
      </c>
      <c r="E1095" s="7">
        <v>50</v>
      </c>
      <c r="F1095" s="7">
        <v>25</v>
      </c>
      <c r="G1095" s="16">
        <v>46086</v>
      </c>
      <c r="H1095" s="16" t="str">
        <f t="shared" si="68"/>
        <v>Thursday</v>
      </c>
      <c r="I1095" s="12">
        <v>89</v>
      </c>
      <c r="J1095" s="9">
        <f t="shared" si="69"/>
        <v>90780</v>
      </c>
      <c r="K1095">
        <f t="shared" si="70"/>
        <v>360</v>
      </c>
      <c r="L1095" t="str">
        <f t="shared" si="71"/>
        <v>OK</v>
      </c>
    </row>
    <row r="1096" spans="1:12" x14ac:dyDescent="0.45">
      <c r="A1096" s="20" t="s">
        <v>556</v>
      </c>
      <c r="B1096" s="6">
        <v>15</v>
      </c>
      <c r="C1096" s="6">
        <v>15</v>
      </c>
      <c r="D1096" s="6">
        <v>30</v>
      </c>
      <c r="E1096" s="6">
        <v>1</v>
      </c>
      <c r="F1096" s="6">
        <v>1</v>
      </c>
      <c r="G1096" s="15">
        <v>46088</v>
      </c>
      <c r="H1096" s="15" t="str">
        <f t="shared" si="68"/>
        <v>Saturday</v>
      </c>
      <c r="I1096" s="11">
        <v>65</v>
      </c>
      <c r="J1096" s="24">
        <f t="shared" si="69"/>
        <v>1950</v>
      </c>
      <c r="K1096">
        <f t="shared" si="70"/>
        <v>15</v>
      </c>
      <c r="L1096" t="str">
        <f t="shared" si="71"/>
        <v>OK</v>
      </c>
    </row>
    <row r="1097" spans="1:12" x14ac:dyDescent="0.45">
      <c r="A1097" s="21" t="s">
        <v>562</v>
      </c>
      <c r="B1097" s="7">
        <v>15</v>
      </c>
      <c r="C1097" s="7">
        <v>15</v>
      </c>
      <c r="D1097" s="7">
        <v>30</v>
      </c>
      <c r="E1097" s="7">
        <v>1</v>
      </c>
      <c r="F1097" s="7">
        <v>1</v>
      </c>
      <c r="G1097" s="16">
        <v>46085</v>
      </c>
      <c r="H1097" s="16" t="str">
        <f t="shared" si="68"/>
        <v>Wednesday</v>
      </c>
      <c r="I1097" s="12">
        <v>95</v>
      </c>
      <c r="J1097" s="9">
        <f t="shared" si="69"/>
        <v>2850</v>
      </c>
      <c r="K1097">
        <f t="shared" si="70"/>
        <v>15</v>
      </c>
      <c r="L1097" t="str">
        <f t="shared" si="71"/>
        <v>OK</v>
      </c>
    </row>
    <row r="1098" spans="1:12" x14ac:dyDescent="0.45">
      <c r="A1098" s="20" t="s">
        <v>593</v>
      </c>
      <c r="B1098" s="6">
        <v>5</v>
      </c>
      <c r="C1098" s="6">
        <v>12</v>
      </c>
      <c r="D1098" s="6">
        <v>12</v>
      </c>
      <c r="E1098" s="6">
        <v>12</v>
      </c>
      <c r="F1098" s="6">
        <v>9</v>
      </c>
      <c r="G1098" s="15">
        <v>46087</v>
      </c>
      <c r="H1098" s="15" t="str">
        <f t="shared" si="68"/>
        <v>Friday</v>
      </c>
      <c r="I1098" s="11">
        <v>97</v>
      </c>
      <c r="J1098" s="24">
        <f t="shared" si="69"/>
        <v>1164</v>
      </c>
      <c r="K1098">
        <f t="shared" si="70"/>
        <v>5</v>
      </c>
      <c r="L1098" t="str">
        <f t="shared" si="71"/>
        <v>OK</v>
      </c>
    </row>
    <row r="1099" spans="1:12" x14ac:dyDescent="0.45">
      <c r="A1099" s="21" t="s">
        <v>606</v>
      </c>
      <c r="B1099" s="7">
        <v>12</v>
      </c>
      <c r="C1099" s="7">
        <v>12</v>
      </c>
      <c r="D1099" s="7">
        <v>28</v>
      </c>
      <c r="E1099" s="7">
        <v>6</v>
      </c>
      <c r="F1099" s="7">
        <v>5</v>
      </c>
      <c r="G1099" s="16">
        <v>46084</v>
      </c>
      <c r="H1099" s="16" t="str">
        <f t="shared" si="68"/>
        <v>Tuesday</v>
      </c>
      <c r="I1099" s="12">
        <v>92</v>
      </c>
      <c r="J1099" s="9">
        <f t="shared" si="69"/>
        <v>2576</v>
      </c>
      <c r="K1099">
        <f t="shared" si="70"/>
        <v>12</v>
      </c>
      <c r="L1099" t="str">
        <f t="shared" si="71"/>
        <v>OK</v>
      </c>
    </row>
    <row r="1100" spans="1:12" x14ac:dyDescent="0.45">
      <c r="A1100" s="20" t="s">
        <v>629</v>
      </c>
      <c r="B1100" s="6">
        <v>60</v>
      </c>
      <c r="C1100" s="6">
        <v>15</v>
      </c>
      <c r="D1100" s="6">
        <v>120</v>
      </c>
      <c r="E1100" s="6">
        <v>5</v>
      </c>
      <c r="F1100" s="6">
        <v>5</v>
      </c>
      <c r="G1100" s="15">
        <v>46083</v>
      </c>
      <c r="H1100" s="15" t="str">
        <f t="shared" si="68"/>
        <v>Monday</v>
      </c>
      <c r="I1100" s="11">
        <v>91</v>
      </c>
      <c r="J1100" s="24">
        <f t="shared" si="69"/>
        <v>10920</v>
      </c>
      <c r="K1100">
        <f t="shared" si="70"/>
        <v>60</v>
      </c>
      <c r="L1100" t="str">
        <f t="shared" si="71"/>
        <v>OK</v>
      </c>
    </row>
    <row r="1101" spans="1:12" x14ac:dyDescent="0.45">
      <c r="A1101" s="21" t="s">
        <v>716</v>
      </c>
      <c r="B1101" s="7">
        <v>80</v>
      </c>
      <c r="C1101" s="7">
        <v>21</v>
      </c>
      <c r="D1101" s="7">
        <v>110</v>
      </c>
      <c r="E1101" s="7">
        <v>10</v>
      </c>
      <c r="F1101" s="7">
        <v>8</v>
      </c>
      <c r="G1101" s="16">
        <v>46082</v>
      </c>
      <c r="H1101" s="16" t="str">
        <f t="shared" si="68"/>
        <v>Sunday</v>
      </c>
      <c r="I1101" s="12">
        <v>72</v>
      </c>
      <c r="J1101" s="9">
        <f t="shared" si="69"/>
        <v>7920</v>
      </c>
      <c r="K1101">
        <f t="shared" si="70"/>
        <v>80</v>
      </c>
      <c r="L1101" t="str">
        <f t="shared" si="71"/>
        <v>OK</v>
      </c>
    </row>
    <row r="1102" spans="1:12" x14ac:dyDescent="0.45">
      <c r="A1102" s="20" t="s">
        <v>850</v>
      </c>
      <c r="B1102" s="6">
        <v>60</v>
      </c>
      <c r="C1102" s="6">
        <v>30</v>
      </c>
      <c r="D1102" s="6">
        <v>60</v>
      </c>
      <c r="E1102" s="6">
        <v>4</v>
      </c>
      <c r="F1102" s="6">
        <v>4</v>
      </c>
      <c r="G1102" s="15">
        <v>46087</v>
      </c>
      <c r="H1102" s="15" t="str">
        <f t="shared" si="68"/>
        <v>Friday</v>
      </c>
      <c r="I1102" s="11">
        <v>110</v>
      </c>
      <c r="J1102" s="24">
        <f t="shared" si="69"/>
        <v>6600</v>
      </c>
      <c r="K1102">
        <f t="shared" si="70"/>
        <v>60</v>
      </c>
      <c r="L1102" t="str">
        <f t="shared" si="71"/>
        <v>OK</v>
      </c>
    </row>
    <row r="1103" spans="1:12" x14ac:dyDescent="0.45">
      <c r="A1103" s="21" t="s">
        <v>1052</v>
      </c>
      <c r="B1103" s="7">
        <v>15</v>
      </c>
      <c r="C1103" s="7">
        <v>30</v>
      </c>
      <c r="D1103" s="7">
        <v>15</v>
      </c>
      <c r="E1103" s="7">
        <v>1</v>
      </c>
      <c r="F1103" s="7">
        <v>1</v>
      </c>
      <c r="G1103" s="16">
        <v>46083</v>
      </c>
      <c r="H1103" s="16" t="str">
        <f t="shared" si="68"/>
        <v>Monday</v>
      </c>
      <c r="I1103" s="12">
        <v>169</v>
      </c>
      <c r="J1103" s="9">
        <f t="shared" si="69"/>
        <v>2535</v>
      </c>
      <c r="K1103">
        <f t="shared" si="70"/>
        <v>15</v>
      </c>
      <c r="L1103" t="str">
        <f t="shared" si="71"/>
        <v>OK</v>
      </c>
    </row>
    <row r="1104" spans="1:12" x14ac:dyDescent="0.45">
      <c r="A1104" s="20" t="s">
        <v>1087</v>
      </c>
      <c r="B1104" s="6">
        <v>4</v>
      </c>
      <c r="C1104" s="6">
        <v>30</v>
      </c>
      <c r="D1104" s="6">
        <v>4</v>
      </c>
      <c r="E1104" s="6">
        <v>4</v>
      </c>
      <c r="F1104" s="6">
        <v>4</v>
      </c>
      <c r="G1104" s="15">
        <v>46085</v>
      </c>
      <c r="H1104" s="15" t="str">
        <f t="shared" si="68"/>
        <v>Wednesday</v>
      </c>
      <c r="I1104" s="11">
        <v>87</v>
      </c>
      <c r="J1104" s="24">
        <f t="shared" si="69"/>
        <v>348</v>
      </c>
      <c r="K1104">
        <f t="shared" si="70"/>
        <v>4</v>
      </c>
      <c r="L1104" t="str">
        <f t="shared" si="71"/>
        <v>Low Stock</v>
      </c>
    </row>
    <row r="1105" spans="1:12" x14ac:dyDescent="0.45">
      <c r="A1105" s="21" t="s">
        <v>237</v>
      </c>
      <c r="B1105" s="7">
        <v>-2</v>
      </c>
      <c r="C1105" s="7">
        <v>0</v>
      </c>
      <c r="D1105" s="7">
        <v>1</v>
      </c>
      <c r="E1105" s="7">
        <v>1</v>
      </c>
      <c r="F1105" s="7">
        <v>1</v>
      </c>
      <c r="G1105" s="16">
        <v>46088</v>
      </c>
      <c r="H1105" s="16" t="str">
        <f t="shared" si="68"/>
        <v>Saturday</v>
      </c>
      <c r="I1105" s="12">
        <v>178</v>
      </c>
      <c r="J1105" s="9">
        <f t="shared" si="69"/>
        <v>178</v>
      </c>
      <c r="K1105">
        <f t="shared" si="70"/>
        <v>0</v>
      </c>
      <c r="L1105" t="str">
        <f t="shared" si="71"/>
        <v>Low Stock</v>
      </c>
    </row>
    <row r="1106" spans="1:12" x14ac:dyDescent="0.45">
      <c r="A1106" s="20" t="s">
        <v>341</v>
      </c>
      <c r="B1106" s="6">
        <v>0</v>
      </c>
      <c r="C1106" s="6">
        <v>0</v>
      </c>
      <c r="D1106" s="6">
        <v>6</v>
      </c>
      <c r="E1106" s="6">
        <v>4</v>
      </c>
      <c r="F1106" s="6">
        <v>4</v>
      </c>
      <c r="G1106" s="15">
        <v>46086</v>
      </c>
      <c r="H1106" s="15" t="str">
        <f t="shared" si="68"/>
        <v>Thursday</v>
      </c>
      <c r="I1106" s="11">
        <v>122</v>
      </c>
      <c r="J1106" s="24">
        <f t="shared" si="69"/>
        <v>732</v>
      </c>
      <c r="K1106">
        <f t="shared" si="70"/>
        <v>0</v>
      </c>
      <c r="L1106" t="str">
        <f t="shared" si="71"/>
        <v>Low Stock</v>
      </c>
    </row>
    <row r="1107" spans="1:12" x14ac:dyDescent="0.45">
      <c r="A1107" s="21" t="s">
        <v>586</v>
      </c>
      <c r="B1107" s="7">
        <v>30</v>
      </c>
      <c r="C1107" s="7">
        <v>15</v>
      </c>
      <c r="D1107" s="7">
        <v>60</v>
      </c>
      <c r="E1107" s="7">
        <v>3</v>
      </c>
      <c r="F1107" s="7">
        <v>3</v>
      </c>
      <c r="G1107" s="16">
        <v>46082</v>
      </c>
      <c r="H1107" s="16" t="str">
        <f t="shared" si="68"/>
        <v>Sunday</v>
      </c>
      <c r="I1107" s="12">
        <v>113</v>
      </c>
      <c r="J1107" s="9">
        <f t="shared" si="69"/>
        <v>6780</v>
      </c>
      <c r="K1107">
        <f t="shared" si="70"/>
        <v>30</v>
      </c>
      <c r="L1107" t="str">
        <f t="shared" si="71"/>
        <v>OK</v>
      </c>
    </row>
    <row r="1108" spans="1:12" x14ac:dyDescent="0.45">
      <c r="A1108" s="20" t="s">
        <v>654</v>
      </c>
      <c r="B1108" s="6">
        <v>10</v>
      </c>
      <c r="C1108" s="6">
        <v>15</v>
      </c>
      <c r="D1108" s="6">
        <v>20</v>
      </c>
      <c r="E1108" s="6">
        <v>1</v>
      </c>
      <c r="F1108" s="6">
        <v>1</v>
      </c>
      <c r="G1108" s="15">
        <v>46087</v>
      </c>
      <c r="H1108" s="15" t="str">
        <f t="shared" si="68"/>
        <v>Friday</v>
      </c>
      <c r="I1108" s="11">
        <v>75</v>
      </c>
      <c r="J1108" s="24">
        <f t="shared" si="69"/>
        <v>1500</v>
      </c>
      <c r="K1108">
        <f t="shared" si="70"/>
        <v>10</v>
      </c>
      <c r="L1108" t="str">
        <f t="shared" si="71"/>
        <v>OK</v>
      </c>
    </row>
    <row r="1109" spans="1:12" x14ac:dyDescent="0.45">
      <c r="A1109" s="21" t="s">
        <v>932</v>
      </c>
      <c r="B1109" s="7">
        <v>40</v>
      </c>
      <c r="C1109" s="7">
        <v>30</v>
      </c>
      <c r="D1109" s="7">
        <v>40</v>
      </c>
      <c r="E1109" s="7">
        <v>4</v>
      </c>
      <c r="F1109" s="7">
        <v>4</v>
      </c>
      <c r="G1109" s="16">
        <v>46083</v>
      </c>
      <c r="H1109" s="16" t="str">
        <f t="shared" si="68"/>
        <v>Monday</v>
      </c>
      <c r="I1109" s="12">
        <v>67</v>
      </c>
      <c r="J1109" s="9">
        <f t="shared" si="69"/>
        <v>2680</v>
      </c>
      <c r="K1109">
        <f t="shared" si="70"/>
        <v>40</v>
      </c>
      <c r="L1109" t="str">
        <f t="shared" si="71"/>
        <v>OK</v>
      </c>
    </row>
    <row r="1110" spans="1:12" x14ac:dyDescent="0.45">
      <c r="A1110" s="20" t="s">
        <v>997</v>
      </c>
      <c r="B1110" s="6">
        <v>20</v>
      </c>
      <c r="C1110" s="6">
        <v>20</v>
      </c>
      <c r="D1110" s="6">
        <v>30</v>
      </c>
      <c r="E1110" s="6">
        <v>3</v>
      </c>
      <c r="F1110" s="6">
        <v>3</v>
      </c>
      <c r="G1110" s="15">
        <v>46082</v>
      </c>
      <c r="H1110" s="15" t="str">
        <f t="shared" si="68"/>
        <v>Sunday</v>
      </c>
      <c r="I1110" s="11">
        <v>94</v>
      </c>
      <c r="J1110" s="24">
        <f t="shared" si="69"/>
        <v>2820</v>
      </c>
      <c r="K1110">
        <f t="shared" si="70"/>
        <v>20</v>
      </c>
      <c r="L1110" t="str">
        <f t="shared" si="71"/>
        <v>OK</v>
      </c>
    </row>
    <row r="1111" spans="1:12" x14ac:dyDescent="0.45">
      <c r="A1111" s="21" t="s">
        <v>20</v>
      </c>
      <c r="B1111" s="7">
        <v>0</v>
      </c>
      <c r="C1111" s="7">
        <v>0</v>
      </c>
      <c r="D1111" s="7">
        <v>60</v>
      </c>
      <c r="E1111" s="7">
        <v>3</v>
      </c>
      <c r="F1111" s="7">
        <v>3</v>
      </c>
      <c r="G1111" s="16">
        <v>46083</v>
      </c>
      <c r="H1111" s="16" t="str">
        <f t="shared" si="68"/>
        <v>Monday</v>
      </c>
      <c r="I1111" s="12">
        <v>116</v>
      </c>
      <c r="J1111" s="9">
        <f t="shared" si="69"/>
        <v>6960</v>
      </c>
      <c r="K1111">
        <f t="shared" si="70"/>
        <v>0</v>
      </c>
      <c r="L1111" t="str">
        <f t="shared" si="71"/>
        <v>Low Stock</v>
      </c>
    </row>
    <row r="1112" spans="1:12" x14ac:dyDescent="0.45">
      <c r="A1112" s="20" t="s">
        <v>205</v>
      </c>
      <c r="B1112" s="6">
        <v>-11</v>
      </c>
      <c r="C1112" s="6">
        <v>0</v>
      </c>
      <c r="D1112" s="6">
        <v>2</v>
      </c>
      <c r="E1112" s="6">
        <v>2</v>
      </c>
      <c r="F1112" s="6">
        <v>2</v>
      </c>
      <c r="G1112" s="15">
        <v>46082</v>
      </c>
      <c r="H1112" s="15" t="str">
        <f t="shared" si="68"/>
        <v>Sunday</v>
      </c>
      <c r="I1112" s="11">
        <v>70</v>
      </c>
      <c r="J1112" s="24">
        <f t="shared" si="69"/>
        <v>140</v>
      </c>
      <c r="K1112">
        <f t="shared" si="70"/>
        <v>0</v>
      </c>
      <c r="L1112" t="str">
        <f t="shared" si="71"/>
        <v>Low Stock</v>
      </c>
    </row>
    <row r="1113" spans="1:12" x14ac:dyDescent="0.45">
      <c r="A1113" s="21" t="s">
        <v>250</v>
      </c>
      <c r="B1113" s="7">
        <v>-2</v>
      </c>
      <c r="C1113" s="7">
        <v>0</v>
      </c>
      <c r="D1113" s="7">
        <v>1</v>
      </c>
      <c r="E1113" s="7">
        <v>1</v>
      </c>
      <c r="F1113" s="7">
        <v>1</v>
      </c>
      <c r="G1113" s="16">
        <v>46088</v>
      </c>
      <c r="H1113" s="16" t="str">
        <f t="shared" si="68"/>
        <v>Saturday</v>
      </c>
      <c r="I1113" s="12">
        <v>168</v>
      </c>
      <c r="J1113" s="9">
        <f t="shared" si="69"/>
        <v>168</v>
      </c>
      <c r="K1113">
        <f t="shared" si="70"/>
        <v>0</v>
      </c>
      <c r="L1113" t="str">
        <f t="shared" si="71"/>
        <v>Low Stock</v>
      </c>
    </row>
    <row r="1114" spans="1:12" x14ac:dyDescent="0.45">
      <c r="A1114" s="20" t="s">
        <v>327</v>
      </c>
      <c r="B1114" s="6">
        <v>0</v>
      </c>
      <c r="C1114" s="6">
        <v>0</v>
      </c>
      <c r="D1114" s="6">
        <v>1</v>
      </c>
      <c r="E1114" s="6">
        <v>1</v>
      </c>
      <c r="F1114" s="6">
        <v>1</v>
      </c>
      <c r="G1114" s="15">
        <v>46083</v>
      </c>
      <c r="H1114" s="15" t="str">
        <f t="shared" si="68"/>
        <v>Monday</v>
      </c>
      <c r="I1114" s="11">
        <v>105</v>
      </c>
      <c r="J1114" s="24">
        <f t="shared" si="69"/>
        <v>105</v>
      </c>
      <c r="K1114">
        <f t="shared" si="70"/>
        <v>0</v>
      </c>
      <c r="L1114" t="str">
        <f t="shared" si="71"/>
        <v>Low Stock</v>
      </c>
    </row>
    <row r="1115" spans="1:12" x14ac:dyDescent="0.45">
      <c r="A1115" s="21" t="s">
        <v>458</v>
      </c>
      <c r="B1115" s="7">
        <v>0</v>
      </c>
      <c r="C1115" s="7">
        <v>0</v>
      </c>
      <c r="D1115" s="7">
        <v>10</v>
      </c>
      <c r="E1115" s="7">
        <v>1</v>
      </c>
      <c r="F1115" s="7">
        <v>1</v>
      </c>
      <c r="G1115" s="16">
        <v>46087</v>
      </c>
      <c r="H1115" s="16" t="str">
        <f t="shared" si="68"/>
        <v>Friday</v>
      </c>
      <c r="I1115" s="12">
        <v>142</v>
      </c>
      <c r="J1115" s="9">
        <f t="shared" si="69"/>
        <v>1420</v>
      </c>
      <c r="K1115">
        <f t="shared" si="70"/>
        <v>0</v>
      </c>
      <c r="L1115" t="str">
        <f t="shared" si="71"/>
        <v>Low Stock</v>
      </c>
    </row>
    <row r="1116" spans="1:12" x14ac:dyDescent="0.45">
      <c r="A1116" s="20" t="s">
        <v>550</v>
      </c>
      <c r="B1116" s="6">
        <v>60</v>
      </c>
      <c r="C1116" s="6">
        <v>13</v>
      </c>
      <c r="D1116" s="6">
        <v>135</v>
      </c>
      <c r="E1116" s="6">
        <v>3</v>
      </c>
      <c r="F1116" s="6">
        <v>3</v>
      </c>
      <c r="G1116" s="15">
        <v>46083</v>
      </c>
      <c r="H1116" s="15" t="str">
        <f t="shared" si="68"/>
        <v>Monday</v>
      </c>
      <c r="I1116" s="11">
        <v>150</v>
      </c>
      <c r="J1116" s="24">
        <f t="shared" si="69"/>
        <v>20250</v>
      </c>
      <c r="K1116">
        <f t="shared" si="70"/>
        <v>60</v>
      </c>
      <c r="L1116" t="str">
        <f t="shared" si="71"/>
        <v>OK</v>
      </c>
    </row>
    <row r="1117" spans="1:12" x14ac:dyDescent="0.45">
      <c r="A1117" s="21" t="s">
        <v>588</v>
      </c>
      <c r="B1117" s="7">
        <v>1</v>
      </c>
      <c r="C1117" s="7">
        <v>15</v>
      </c>
      <c r="D1117" s="7">
        <v>2</v>
      </c>
      <c r="E1117" s="7">
        <v>2</v>
      </c>
      <c r="F1117" s="7">
        <v>2</v>
      </c>
      <c r="G1117" s="16">
        <v>46086</v>
      </c>
      <c r="H1117" s="16" t="str">
        <f t="shared" si="68"/>
        <v>Thursday</v>
      </c>
      <c r="I1117" s="12">
        <v>81</v>
      </c>
      <c r="J1117" s="9">
        <f t="shared" si="69"/>
        <v>162</v>
      </c>
      <c r="K1117">
        <f t="shared" si="70"/>
        <v>1</v>
      </c>
      <c r="L1117" t="str">
        <f t="shared" si="71"/>
        <v>Low Stock</v>
      </c>
    </row>
    <row r="1118" spans="1:12" x14ac:dyDescent="0.45">
      <c r="A1118" s="20" t="s">
        <v>804</v>
      </c>
      <c r="B1118" s="6">
        <v>90</v>
      </c>
      <c r="C1118" s="6">
        <v>22</v>
      </c>
      <c r="D1118" s="6">
        <v>120</v>
      </c>
      <c r="E1118" s="6">
        <v>4</v>
      </c>
      <c r="F1118" s="6">
        <v>4</v>
      </c>
      <c r="G1118" s="15">
        <v>46088</v>
      </c>
      <c r="H1118" s="15" t="str">
        <f t="shared" si="68"/>
        <v>Saturday</v>
      </c>
      <c r="I1118" s="11">
        <v>110</v>
      </c>
      <c r="J1118" s="24">
        <f t="shared" si="69"/>
        <v>13200</v>
      </c>
      <c r="K1118">
        <f t="shared" si="70"/>
        <v>90</v>
      </c>
      <c r="L1118" t="str">
        <f t="shared" si="71"/>
        <v>OK</v>
      </c>
    </row>
    <row r="1119" spans="1:12" x14ac:dyDescent="0.45">
      <c r="A1119" s="21" t="s">
        <v>806</v>
      </c>
      <c r="B1119" s="7">
        <v>3</v>
      </c>
      <c r="C1119" s="7">
        <v>30</v>
      </c>
      <c r="D1119" s="7">
        <v>3</v>
      </c>
      <c r="E1119" s="7">
        <v>3</v>
      </c>
      <c r="F1119" s="7">
        <v>3</v>
      </c>
      <c r="G1119" s="16">
        <v>46087</v>
      </c>
      <c r="H1119" s="16" t="str">
        <f t="shared" si="68"/>
        <v>Friday</v>
      </c>
      <c r="I1119" s="12">
        <v>116</v>
      </c>
      <c r="J1119" s="9">
        <f t="shared" si="69"/>
        <v>348</v>
      </c>
      <c r="K1119">
        <f t="shared" si="70"/>
        <v>3</v>
      </c>
      <c r="L1119" t="str">
        <f t="shared" si="71"/>
        <v>Low Stock</v>
      </c>
    </row>
    <row r="1120" spans="1:12" x14ac:dyDescent="0.45">
      <c r="A1120" s="20" t="s">
        <v>922</v>
      </c>
      <c r="B1120" s="6">
        <v>60</v>
      </c>
      <c r="C1120" s="6">
        <v>30</v>
      </c>
      <c r="D1120" s="6">
        <v>60</v>
      </c>
      <c r="E1120" s="6">
        <v>4</v>
      </c>
      <c r="F1120" s="6">
        <v>3</v>
      </c>
      <c r="G1120" s="15">
        <v>46084</v>
      </c>
      <c r="H1120" s="15" t="str">
        <f t="shared" si="68"/>
        <v>Tuesday</v>
      </c>
      <c r="I1120" s="11">
        <v>71</v>
      </c>
      <c r="J1120" s="24">
        <f t="shared" si="69"/>
        <v>4260</v>
      </c>
      <c r="K1120">
        <f t="shared" si="70"/>
        <v>60</v>
      </c>
      <c r="L1120" t="str">
        <f t="shared" si="71"/>
        <v>OK</v>
      </c>
    </row>
    <row r="1121" spans="1:12" x14ac:dyDescent="0.45">
      <c r="A1121" s="21" t="s">
        <v>937</v>
      </c>
      <c r="B1121" s="7">
        <v>30</v>
      </c>
      <c r="C1121" s="7">
        <v>18</v>
      </c>
      <c r="D1121" s="7">
        <v>50</v>
      </c>
      <c r="E1121" s="7">
        <v>4</v>
      </c>
      <c r="F1121" s="7">
        <v>4</v>
      </c>
      <c r="G1121" s="16">
        <v>46083</v>
      </c>
      <c r="H1121" s="16" t="str">
        <f t="shared" si="68"/>
        <v>Monday</v>
      </c>
      <c r="I1121" s="12">
        <v>142</v>
      </c>
      <c r="J1121" s="9">
        <f t="shared" si="69"/>
        <v>7100</v>
      </c>
      <c r="K1121">
        <f t="shared" si="70"/>
        <v>30</v>
      </c>
      <c r="L1121" t="str">
        <f t="shared" si="71"/>
        <v>OK</v>
      </c>
    </row>
    <row r="1122" spans="1:12" x14ac:dyDescent="0.45">
      <c r="A1122" s="20" t="s">
        <v>122</v>
      </c>
      <c r="B1122" s="6">
        <v>0</v>
      </c>
      <c r="C1122" s="6">
        <v>0</v>
      </c>
      <c r="D1122" s="6">
        <v>6</v>
      </c>
      <c r="E1122" s="6">
        <v>6</v>
      </c>
      <c r="F1122" s="6">
        <v>5</v>
      </c>
      <c r="G1122" s="15">
        <v>46088</v>
      </c>
      <c r="H1122" s="15" t="str">
        <f t="shared" si="68"/>
        <v>Saturday</v>
      </c>
      <c r="I1122" s="11">
        <v>118</v>
      </c>
      <c r="J1122" s="24">
        <f t="shared" si="69"/>
        <v>708</v>
      </c>
      <c r="K1122">
        <f t="shared" si="70"/>
        <v>0</v>
      </c>
      <c r="L1122" t="str">
        <f t="shared" si="71"/>
        <v>Low Stock</v>
      </c>
    </row>
    <row r="1123" spans="1:12" x14ac:dyDescent="0.45">
      <c r="A1123" s="21" t="s">
        <v>299</v>
      </c>
      <c r="B1123" s="7">
        <v>0</v>
      </c>
      <c r="C1123" s="7">
        <v>0</v>
      </c>
      <c r="D1123" s="7">
        <v>1</v>
      </c>
      <c r="E1123" s="7">
        <v>1</v>
      </c>
      <c r="F1123" s="7">
        <v>1</v>
      </c>
      <c r="G1123" s="16">
        <v>46086</v>
      </c>
      <c r="H1123" s="16" t="str">
        <f t="shared" si="68"/>
        <v>Thursday</v>
      </c>
      <c r="I1123" s="12">
        <v>198</v>
      </c>
      <c r="J1123" s="9">
        <f t="shared" si="69"/>
        <v>198</v>
      </c>
      <c r="K1123">
        <f t="shared" si="70"/>
        <v>0</v>
      </c>
      <c r="L1123" t="str">
        <f t="shared" si="71"/>
        <v>Low Stock</v>
      </c>
    </row>
    <row r="1124" spans="1:12" x14ac:dyDescent="0.45">
      <c r="A1124" s="20" t="s">
        <v>563</v>
      </c>
      <c r="B1124" s="6">
        <v>30</v>
      </c>
      <c r="C1124" s="6">
        <v>12</v>
      </c>
      <c r="D1124" s="6">
        <v>70</v>
      </c>
      <c r="E1124" s="6">
        <v>5</v>
      </c>
      <c r="F1124" s="6">
        <v>5</v>
      </c>
      <c r="G1124" s="15">
        <v>46083</v>
      </c>
      <c r="H1124" s="15" t="str">
        <f t="shared" si="68"/>
        <v>Monday</v>
      </c>
      <c r="I1124" s="11">
        <v>148</v>
      </c>
      <c r="J1124" s="24">
        <f t="shared" si="69"/>
        <v>10360</v>
      </c>
      <c r="K1124">
        <f t="shared" si="70"/>
        <v>30</v>
      </c>
      <c r="L1124" t="str">
        <f t="shared" si="71"/>
        <v>OK</v>
      </c>
    </row>
    <row r="1125" spans="1:12" x14ac:dyDescent="0.45">
      <c r="A1125" s="21" t="s">
        <v>664</v>
      </c>
      <c r="B1125" s="7">
        <v>45</v>
      </c>
      <c r="C1125" s="7">
        <v>15</v>
      </c>
      <c r="D1125" s="7">
        <v>90</v>
      </c>
      <c r="E1125" s="7">
        <v>4</v>
      </c>
      <c r="F1125" s="7">
        <v>4</v>
      </c>
      <c r="G1125" s="16">
        <v>46084</v>
      </c>
      <c r="H1125" s="16" t="str">
        <f t="shared" si="68"/>
        <v>Tuesday</v>
      </c>
      <c r="I1125" s="12">
        <v>132</v>
      </c>
      <c r="J1125" s="9">
        <f t="shared" si="69"/>
        <v>11880</v>
      </c>
      <c r="K1125">
        <f t="shared" si="70"/>
        <v>45</v>
      </c>
      <c r="L1125" t="str">
        <f t="shared" si="71"/>
        <v>OK</v>
      </c>
    </row>
    <row r="1126" spans="1:12" x14ac:dyDescent="0.45">
      <c r="A1126" s="20" t="s">
        <v>676</v>
      </c>
      <c r="B1126" s="6">
        <v>20</v>
      </c>
      <c r="C1126" s="6">
        <v>15</v>
      </c>
      <c r="D1126" s="6">
        <v>40</v>
      </c>
      <c r="E1126" s="6">
        <v>2</v>
      </c>
      <c r="F1126" s="6">
        <v>2</v>
      </c>
      <c r="G1126" s="15">
        <v>46084</v>
      </c>
      <c r="H1126" s="15" t="str">
        <f t="shared" si="68"/>
        <v>Tuesday</v>
      </c>
      <c r="I1126" s="11">
        <v>86</v>
      </c>
      <c r="J1126" s="24">
        <f t="shared" si="69"/>
        <v>3440</v>
      </c>
      <c r="K1126">
        <f t="shared" si="70"/>
        <v>20</v>
      </c>
      <c r="L1126" t="str">
        <f t="shared" si="71"/>
        <v>OK</v>
      </c>
    </row>
    <row r="1127" spans="1:12" x14ac:dyDescent="0.45">
      <c r="A1127" s="21" t="s">
        <v>759</v>
      </c>
      <c r="B1127" s="7">
        <v>30</v>
      </c>
      <c r="C1127" s="7">
        <v>30</v>
      </c>
      <c r="D1127" s="7">
        <v>30</v>
      </c>
      <c r="E1127" s="7">
        <v>2</v>
      </c>
      <c r="F1127" s="7">
        <v>1</v>
      </c>
      <c r="G1127" s="16">
        <v>46086</v>
      </c>
      <c r="H1127" s="16" t="str">
        <f t="shared" si="68"/>
        <v>Thursday</v>
      </c>
      <c r="I1127" s="12">
        <v>114</v>
      </c>
      <c r="J1127" s="9">
        <f t="shared" si="69"/>
        <v>3420</v>
      </c>
      <c r="K1127">
        <f t="shared" si="70"/>
        <v>30</v>
      </c>
      <c r="L1127" t="str">
        <f t="shared" si="71"/>
        <v>OK</v>
      </c>
    </row>
    <row r="1128" spans="1:12" x14ac:dyDescent="0.45">
      <c r="A1128" s="20" t="s">
        <v>791</v>
      </c>
      <c r="B1128" s="6">
        <v>50</v>
      </c>
      <c r="C1128" s="6">
        <v>21</v>
      </c>
      <c r="D1128" s="6">
        <v>70</v>
      </c>
      <c r="E1128" s="6">
        <v>4</v>
      </c>
      <c r="F1128" s="6">
        <v>4</v>
      </c>
      <c r="G1128" s="15">
        <v>46083</v>
      </c>
      <c r="H1128" s="15" t="str">
        <f t="shared" si="68"/>
        <v>Monday</v>
      </c>
      <c r="I1128" s="11">
        <v>126</v>
      </c>
      <c r="J1128" s="24">
        <f t="shared" si="69"/>
        <v>8820</v>
      </c>
      <c r="K1128">
        <f t="shared" si="70"/>
        <v>50</v>
      </c>
      <c r="L1128" t="str">
        <f t="shared" si="71"/>
        <v>OK</v>
      </c>
    </row>
    <row r="1129" spans="1:12" x14ac:dyDescent="0.45">
      <c r="A1129" s="21" t="s">
        <v>1079</v>
      </c>
      <c r="B1129" s="7">
        <v>1</v>
      </c>
      <c r="C1129" s="7">
        <v>30</v>
      </c>
      <c r="D1129" s="7">
        <v>1</v>
      </c>
      <c r="E1129" s="7">
        <v>1</v>
      </c>
      <c r="F1129" s="7">
        <v>1</v>
      </c>
      <c r="G1129" s="16">
        <v>46086</v>
      </c>
      <c r="H1129" s="16" t="str">
        <f t="shared" si="68"/>
        <v>Thursday</v>
      </c>
      <c r="I1129" s="12">
        <v>183</v>
      </c>
      <c r="J1129" s="9">
        <f t="shared" si="69"/>
        <v>183</v>
      </c>
      <c r="K1129">
        <f t="shared" si="70"/>
        <v>1</v>
      </c>
      <c r="L1129" t="str">
        <f t="shared" si="71"/>
        <v>Low Stock</v>
      </c>
    </row>
    <row r="1130" spans="1:12" x14ac:dyDescent="0.45">
      <c r="A1130" s="20" t="s">
        <v>23</v>
      </c>
      <c r="B1130" s="6">
        <v>50</v>
      </c>
      <c r="C1130" s="6">
        <v>7</v>
      </c>
      <c r="D1130" s="6">
        <v>190</v>
      </c>
      <c r="E1130" s="6">
        <v>12</v>
      </c>
      <c r="F1130" s="6">
        <v>9</v>
      </c>
      <c r="G1130" s="15">
        <v>46088</v>
      </c>
      <c r="H1130" s="15" t="str">
        <f t="shared" si="68"/>
        <v>Saturday</v>
      </c>
      <c r="I1130" s="11">
        <v>69</v>
      </c>
      <c r="J1130" s="24">
        <f t="shared" si="69"/>
        <v>13110</v>
      </c>
      <c r="K1130">
        <f t="shared" si="70"/>
        <v>50</v>
      </c>
      <c r="L1130" t="str">
        <f t="shared" si="71"/>
        <v>OK</v>
      </c>
    </row>
    <row r="1131" spans="1:12" x14ac:dyDescent="0.45">
      <c r="A1131" s="21" t="s">
        <v>79</v>
      </c>
      <c r="B1131" s="7">
        <v>0</v>
      </c>
      <c r="C1131" s="7">
        <v>0</v>
      </c>
      <c r="D1131" s="7">
        <v>4</v>
      </c>
      <c r="E1131" s="7">
        <v>1</v>
      </c>
      <c r="F1131" s="7">
        <v>1</v>
      </c>
      <c r="G1131" s="16">
        <v>46082</v>
      </c>
      <c r="H1131" s="16" t="str">
        <f t="shared" si="68"/>
        <v>Sunday</v>
      </c>
      <c r="I1131" s="12">
        <v>136</v>
      </c>
      <c r="J1131" s="9">
        <f t="shared" si="69"/>
        <v>544</v>
      </c>
      <c r="K1131">
        <f t="shared" si="70"/>
        <v>0</v>
      </c>
      <c r="L1131" t="str">
        <f t="shared" si="71"/>
        <v>Low Stock</v>
      </c>
    </row>
    <row r="1132" spans="1:12" x14ac:dyDescent="0.45">
      <c r="A1132" s="20" t="s">
        <v>80</v>
      </c>
      <c r="B1132" s="6">
        <v>0</v>
      </c>
      <c r="C1132" s="6">
        <v>0</v>
      </c>
      <c r="D1132" s="6">
        <v>20</v>
      </c>
      <c r="E1132" s="6">
        <v>1</v>
      </c>
      <c r="F1132" s="6">
        <v>1</v>
      </c>
      <c r="G1132" s="15">
        <v>46086</v>
      </c>
      <c r="H1132" s="15" t="str">
        <f t="shared" si="68"/>
        <v>Thursday</v>
      </c>
      <c r="I1132" s="11">
        <v>149</v>
      </c>
      <c r="J1132" s="24">
        <f t="shared" si="69"/>
        <v>2980</v>
      </c>
      <c r="K1132">
        <f t="shared" si="70"/>
        <v>0</v>
      </c>
      <c r="L1132" t="str">
        <f t="shared" si="71"/>
        <v>Low Stock</v>
      </c>
    </row>
    <row r="1133" spans="1:12" x14ac:dyDescent="0.45">
      <c r="A1133" s="21" t="s">
        <v>157</v>
      </c>
      <c r="B1133" s="7">
        <v>-2</v>
      </c>
      <c r="C1133" s="7">
        <v>0</v>
      </c>
      <c r="D1133" s="7">
        <v>3</v>
      </c>
      <c r="E1133" s="7">
        <v>3</v>
      </c>
      <c r="F1133" s="7">
        <v>3</v>
      </c>
      <c r="G1133" s="16">
        <v>46085</v>
      </c>
      <c r="H1133" s="16" t="str">
        <f t="shared" si="68"/>
        <v>Wednesday</v>
      </c>
      <c r="I1133" s="12">
        <v>117</v>
      </c>
      <c r="J1133" s="9">
        <f t="shared" si="69"/>
        <v>351</v>
      </c>
      <c r="K1133">
        <f t="shared" si="70"/>
        <v>0</v>
      </c>
      <c r="L1133" t="str">
        <f t="shared" si="71"/>
        <v>Low Stock</v>
      </c>
    </row>
    <row r="1134" spans="1:12" x14ac:dyDescent="0.45">
      <c r="A1134" s="20" t="s">
        <v>274</v>
      </c>
      <c r="B1134" s="6">
        <v>-2</v>
      </c>
      <c r="C1134" s="6">
        <v>0</v>
      </c>
      <c r="D1134" s="6">
        <v>1</v>
      </c>
      <c r="E1134" s="6">
        <v>1</v>
      </c>
      <c r="F1134" s="6">
        <v>1</v>
      </c>
      <c r="G1134" s="15">
        <v>46082</v>
      </c>
      <c r="H1134" s="15" t="str">
        <f t="shared" si="68"/>
        <v>Sunday</v>
      </c>
      <c r="I1134" s="11">
        <v>101</v>
      </c>
      <c r="J1134" s="24">
        <f t="shared" si="69"/>
        <v>101</v>
      </c>
      <c r="K1134">
        <f t="shared" si="70"/>
        <v>0</v>
      </c>
      <c r="L1134" t="str">
        <f t="shared" si="71"/>
        <v>Low Stock</v>
      </c>
    </row>
    <row r="1135" spans="1:12" x14ac:dyDescent="0.45">
      <c r="A1135" s="21" t="s">
        <v>321</v>
      </c>
      <c r="B1135" s="7">
        <v>-1</v>
      </c>
      <c r="C1135" s="7">
        <v>0</v>
      </c>
      <c r="D1135" s="7">
        <v>1</v>
      </c>
      <c r="E1135" s="7">
        <v>1</v>
      </c>
      <c r="F1135" s="7">
        <v>1</v>
      </c>
      <c r="G1135" s="16">
        <v>46086</v>
      </c>
      <c r="H1135" s="16" t="str">
        <f t="shared" si="68"/>
        <v>Thursday</v>
      </c>
      <c r="I1135" s="12">
        <v>109</v>
      </c>
      <c r="J1135" s="9">
        <f t="shared" si="69"/>
        <v>109</v>
      </c>
      <c r="K1135">
        <f t="shared" si="70"/>
        <v>0</v>
      </c>
      <c r="L1135" t="str">
        <f t="shared" si="71"/>
        <v>Low Stock</v>
      </c>
    </row>
    <row r="1136" spans="1:12" x14ac:dyDescent="0.45">
      <c r="A1136" s="20" t="s">
        <v>637</v>
      </c>
      <c r="B1136" s="6">
        <v>10</v>
      </c>
      <c r="C1136" s="6">
        <v>15</v>
      </c>
      <c r="D1136" s="6">
        <v>20</v>
      </c>
      <c r="E1136" s="6">
        <v>1</v>
      </c>
      <c r="F1136" s="6">
        <v>1</v>
      </c>
      <c r="G1136" s="15">
        <v>46084</v>
      </c>
      <c r="H1136" s="15" t="str">
        <f t="shared" si="68"/>
        <v>Tuesday</v>
      </c>
      <c r="I1136" s="11">
        <v>86</v>
      </c>
      <c r="J1136" s="24">
        <f t="shared" si="69"/>
        <v>1720</v>
      </c>
      <c r="K1136">
        <f t="shared" si="70"/>
        <v>10</v>
      </c>
      <c r="L1136" t="str">
        <f t="shared" si="71"/>
        <v>OK</v>
      </c>
    </row>
    <row r="1137" spans="1:12" x14ac:dyDescent="0.45">
      <c r="A1137" s="21" t="s">
        <v>790</v>
      </c>
      <c r="B1137" s="7">
        <v>30</v>
      </c>
      <c r="C1137" s="7">
        <v>22</v>
      </c>
      <c r="D1137" s="7">
        <v>40</v>
      </c>
      <c r="E1137" s="7">
        <v>4</v>
      </c>
      <c r="F1137" s="7">
        <v>4</v>
      </c>
      <c r="G1137" s="16">
        <v>46082</v>
      </c>
      <c r="H1137" s="16" t="str">
        <f t="shared" si="68"/>
        <v>Sunday</v>
      </c>
      <c r="I1137" s="12">
        <v>73</v>
      </c>
      <c r="J1137" s="9">
        <f t="shared" si="69"/>
        <v>2920</v>
      </c>
      <c r="K1137">
        <f t="shared" si="70"/>
        <v>30</v>
      </c>
      <c r="L1137" t="str">
        <f t="shared" si="71"/>
        <v>OK</v>
      </c>
    </row>
    <row r="1138" spans="1:12" x14ac:dyDescent="0.45">
      <c r="A1138" s="20" t="s">
        <v>885</v>
      </c>
      <c r="B1138" s="6">
        <v>5</v>
      </c>
      <c r="C1138" s="6">
        <v>16</v>
      </c>
      <c r="D1138" s="6">
        <v>9</v>
      </c>
      <c r="E1138" s="6">
        <v>9</v>
      </c>
      <c r="F1138" s="6">
        <v>8</v>
      </c>
      <c r="G1138" s="15">
        <v>46085</v>
      </c>
      <c r="H1138" s="15" t="str">
        <f t="shared" si="68"/>
        <v>Wednesday</v>
      </c>
      <c r="I1138" s="11">
        <v>98</v>
      </c>
      <c r="J1138" s="24">
        <f t="shared" si="69"/>
        <v>882</v>
      </c>
      <c r="K1138">
        <f t="shared" si="70"/>
        <v>5</v>
      </c>
      <c r="L1138" t="str">
        <f t="shared" si="71"/>
        <v>OK</v>
      </c>
    </row>
    <row r="1139" spans="1:12" x14ac:dyDescent="0.45">
      <c r="A1139" s="21" t="s">
        <v>1211</v>
      </c>
      <c r="B1139" s="7">
        <v>15</v>
      </c>
      <c r="C1139" s="7">
        <v>30</v>
      </c>
      <c r="D1139" s="7">
        <v>15</v>
      </c>
      <c r="E1139" s="7">
        <v>1</v>
      </c>
      <c r="F1139" s="7">
        <v>1</v>
      </c>
      <c r="G1139" s="16">
        <v>46083</v>
      </c>
      <c r="H1139" s="16" t="str">
        <f t="shared" si="68"/>
        <v>Monday</v>
      </c>
      <c r="I1139" s="12">
        <v>112</v>
      </c>
      <c r="J1139" s="9">
        <f t="shared" si="69"/>
        <v>1680</v>
      </c>
      <c r="K1139">
        <f t="shared" si="70"/>
        <v>15</v>
      </c>
      <c r="L1139" t="str">
        <f t="shared" si="71"/>
        <v>OK</v>
      </c>
    </row>
    <row r="1140" spans="1:12" x14ac:dyDescent="0.45">
      <c r="A1140" s="20" t="s">
        <v>25</v>
      </c>
      <c r="B1140" s="6">
        <v>-16</v>
      </c>
      <c r="C1140" s="6">
        <v>0</v>
      </c>
      <c r="D1140" s="6">
        <v>20</v>
      </c>
      <c r="E1140" s="6">
        <v>19</v>
      </c>
      <c r="F1140" s="6">
        <v>14</v>
      </c>
      <c r="G1140" s="15">
        <v>46088</v>
      </c>
      <c r="H1140" s="15" t="str">
        <f t="shared" si="68"/>
        <v>Saturday</v>
      </c>
      <c r="I1140" s="11">
        <v>126</v>
      </c>
      <c r="J1140" s="24">
        <f t="shared" si="69"/>
        <v>2520</v>
      </c>
      <c r="K1140">
        <f t="shared" si="70"/>
        <v>0</v>
      </c>
      <c r="L1140" t="str">
        <f t="shared" si="71"/>
        <v>Low Stock</v>
      </c>
    </row>
    <row r="1141" spans="1:12" x14ac:dyDescent="0.45">
      <c r="A1141" s="21" t="s">
        <v>304</v>
      </c>
      <c r="B1141" s="7">
        <v>-15</v>
      </c>
      <c r="C1141" s="7">
        <v>0</v>
      </c>
      <c r="D1141" s="7">
        <v>30</v>
      </c>
      <c r="E1141" s="7">
        <v>2</v>
      </c>
      <c r="F1141" s="7">
        <v>2</v>
      </c>
      <c r="G1141" s="16">
        <v>46088</v>
      </c>
      <c r="H1141" s="16" t="str">
        <f t="shared" si="68"/>
        <v>Saturday</v>
      </c>
      <c r="I1141" s="12">
        <v>85</v>
      </c>
      <c r="J1141" s="9">
        <f t="shared" si="69"/>
        <v>2550</v>
      </c>
      <c r="K1141">
        <f t="shared" si="70"/>
        <v>0</v>
      </c>
      <c r="L1141" t="str">
        <f t="shared" si="71"/>
        <v>Low Stock</v>
      </c>
    </row>
    <row r="1142" spans="1:12" x14ac:dyDescent="0.45">
      <c r="A1142" s="20" t="s">
        <v>626</v>
      </c>
      <c r="B1142" s="6">
        <v>10</v>
      </c>
      <c r="C1142" s="6">
        <v>10</v>
      </c>
      <c r="D1142" s="6">
        <v>30</v>
      </c>
      <c r="E1142" s="6">
        <v>3</v>
      </c>
      <c r="F1142" s="6">
        <v>3</v>
      </c>
      <c r="G1142" s="15">
        <v>46086</v>
      </c>
      <c r="H1142" s="15" t="str">
        <f t="shared" si="68"/>
        <v>Thursday</v>
      </c>
      <c r="I1142" s="11">
        <v>125</v>
      </c>
      <c r="J1142" s="24">
        <f t="shared" si="69"/>
        <v>3750</v>
      </c>
      <c r="K1142">
        <f t="shared" si="70"/>
        <v>10</v>
      </c>
      <c r="L1142" t="str">
        <f t="shared" si="71"/>
        <v>OK</v>
      </c>
    </row>
    <row r="1143" spans="1:12" x14ac:dyDescent="0.45">
      <c r="A1143" s="21" t="s">
        <v>769</v>
      </c>
      <c r="B1143" s="7">
        <v>70</v>
      </c>
      <c r="C1143" s="7">
        <v>30</v>
      </c>
      <c r="D1143" s="7">
        <v>70</v>
      </c>
      <c r="E1143" s="7">
        <v>4</v>
      </c>
      <c r="F1143" s="7">
        <v>4</v>
      </c>
      <c r="G1143" s="16">
        <v>46082</v>
      </c>
      <c r="H1143" s="16" t="str">
        <f t="shared" si="68"/>
        <v>Sunday</v>
      </c>
      <c r="I1143" s="12">
        <v>146</v>
      </c>
      <c r="J1143" s="9">
        <f t="shared" si="69"/>
        <v>10220</v>
      </c>
      <c r="K1143">
        <f t="shared" si="70"/>
        <v>70</v>
      </c>
      <c r="L1143" t="str">
        <f t="shared" si="71"/>
        <v>OK</v>
      </c>
    </row>
    <row r="1144" spans="1:12" x14ac:dyDescent="0.45">
      <c r="A1144" s="20" t="s">
        <v>1132</v>
      </c>
      <c r="B1144" s="6">
        <v>2</v>
      </c>
      <c r="C1144" s="6">
        <v>30</v>
      </c>
      <c r="D1144" s="6">
        <v>2</v>
      </c>
      <c r="E1144" s="6">
        <v>2</v>
      </c>
      <c r="F1144" s="6">
        <v>2</v>
      </c>
      <c r="G1144" s="15">
        <v>46082</v>
      </c>
      <c r="H1144" s="15" t="str">
        <f t="shared" si="68"/>
        <v>Sunday</v>
      </c>
      <c r="I1144" s="11">
        <v>72</v>
      </c>
      <c r="J1144" s="24">
        <f t="shared" si="69"/>
        <v>144</v>
      </c>
      <c r="K1144">
        <f t="shared" si="70"/>
        <v>2</v>
      </c>
      <c r="L1144" t="str">
        <f t="shared" si="71"/>
        <v>Low Stock</v>
      </c>
    </row>
    <row r="1145" spans="1:12" x14ac:dyDescent="0.45">
      <c r="A1145" s="21" t="s">
        <v>1174</v>
      </c>
      <c r="B1145" s="7">
        <v>28</v>
      </c>
      <c r="C1145" s="7">
        <v>30</v>
      </c>
      <c r="D1145" s="7">
        <v>28</v>
      </c>
      <c r="E1145" s="7">
        <v>2</v>
      </c>
      <c r="F1145" s="7">
        <v>2</v>
      </c>
      <c r="G1145" s="16">
        <v>46082</v>
      </c>
      <c r="H1145" s="16" t="str">
        <f t="shared" si="68"/>
        <v>Sunday</v>
      </c>
      <c r="I1145" s="12">
        <v>144</v>
      </c>
      <c r="J1145" s="9">
        <f t="shared" si="69"/>
        <v>4032</v>
      </c>
      <c r="K1145">
        <f t="shared" si="70"/>
        <v>28</v>
      </c>
      <c r="L1145" t="str">
        <f t="shared" si="71"/>
        <v>OK</v>
      </c>
    </row>
    <row r="1146" spans="1:12" x14ac:dyDescent="0.45">
      <c r="A1146" s="20" t="s">
        <v>1179</v>
      </c>
      <c r="B1146" s="6">
        <v>20</v>
      </c>
      <c r="C1146" s="6">
        <v>30</v>
      </c>
      <c r="D1146" s="6">
        <v>20</v>
      </c>
      <c r="E1146" s="6">
        <v>1</v>
      </c>
      <c r="F1146" s="6">
        <v>1</v>
      </c>
      <c r="G1146" s="15">
        <v>46084</v>
      </c>
      <c r="H1146" s="15" t="str">
        <f t="shared" si="68"/>
        <v>Tuesday</v>
      </c>
      <c r="I1146" s="11">
        <v>71</v>
      </c>
      <c r="J1146" s="24">
        <f t="shared" si="69"/>
        <v>1420</v>
      </c>
      <c r="K1146">
        <f t="shared" si="70"/>
        <v>20</v>
      </c>
      <c r="L1146" t="str">
        <f t="shared" si="71"/>
        <v>OK</v>
      </c>
    </row>
    <row r="1147" spans="1:12" x14ac:dyDescent="0.45">
      <c r="A1147" s="21" t="s">
        <v>1202</v>
      </c>
      <c r="B1147" s="7">
        <v>20</v>
      </c>
      <c r="C1147" s="7">
        <v>30</v>
      </c>
      <c r="D1147" s="7">
        <v>20</v>
      </c>
      <c r="E1147" s="7">
        <v>2</v>
      </c>
      <c r="F1147" s="7">
        <v>2</v>
      </c>
      <c r="G1147" s="16">
        <v>46087</v>
      </c>
      <c r="H1147" s="16" t="str">
        <f t="shared" si="68"/>
        <v>Friday</v>
      </c>
      <c r="I1147" s="12">
        <v>119</v>
      </c>
      <c r="J1147" s="9">
        <f t="shared" si="69"/>
        <v>2380</v>
      </c>
      <c r="K1147">
        <f t="shared" si="70"/>
        <v>20</v>
      </c>
      <c r="L1147" t="str">
        <f t="shared" si="71"/>
        <v>OK</v>
      </c>
    </row>
    <row r="1148" spans="1:12" x14ac:dyDescent="0.45">
      <c r="A1148" s="20" t="s">
        <v>1265</v>
      </c>
      <c r="B1148" s="6">
        <v>2</v>
      </c>
      <c r="C1148" s="6">
        <v>30</v>
      </c>
      <c r="D1148" s="6">
        <v>2</v>
      </c>
      <c r="E1148" s="6">
        <v>2</v>
      </c>
      <c r="F1148" s="6">
        <v>2</v>
      </c>
      <c r="G1148" s="15">
        <v>46088</v>
      </c>
      <c r="H1148" s="15" t="str">
        <f t="shared" si="68"/>
        <v>Saturday</v>
      </c>
      <c r="I1148" s="11">
        <v>73</v>
      </c>
      <c r="J1148" s="24">
        <f t="shared" si="69"/>
        <v>146</v>
      </c>
      <c r="K1148">
        <f t="shared" si="70"/>
        <v>2</v>
      </c>
      <c r="L1148" t="str">
        <f t="shared" si="71"/>
        <v>Low Stock</v>
      </c>
    </row>
    <row r="1149" spans="1:12" x14ac:dyDescent="0.45">
      <c r="A1149" s="21" t="s">
        <v>17</v>
      </c>
      <c r="B1149" s="7">
        <v>20</v>
      </c>
      <c r="C1149" s="7">
        <v>2</v>
      </c>
      <c r="D1149" s="7">
        <v>220</v>
      </c>
      <c r="E1149" s="7">
        <v>16</v>
      </c>
      <c r="F1149" s="7">
        <v>13</v>
      </c>
      <c r="G1149" s="16">
        <v>46088</v>
      </c>
      <c r="H1149" s="16" t="str">
        <f t="shared" si="68"/>
        <v>Saturday</v>
      </c>
      <c r="I1149" s="12">
        <v>107</v>
      </c>
      <c r="J1149" s="9">
        <f t="shared" si="69"/>
        <v>23540</v>
      </c>
      <c r="K1149">
        <f t="shared" si="70"/>
        <v>20</v>
      </c>
      <c r="L1149" t="str">
        <f t="shared" si="71"/>
        <v>OK</v>
      </c>
    </row>
    <row r="1150" spans="1:12" x14ac:dyDescent="0.45">
      <c r="A1150" s="20" t="s">
        <v>207</v>
      </c>
      <c r="B1150" s="6">
        <v>-1</v>
      </c>
      <c r="C1150" s="6">
        <v>0</v>
      </c>
      <c r="D1150" s="6">
        <v>1</v>
      </c>
      <c r="E1150" s="6">
        <v>1</v>
      </c>
      <c r="F1150" s="6">
        <v>1</v>
      </c>
      <c r="G1150" s="15">
        <v>46088</v>
      </c>
      <c r="H1150" s="15" t="str">
        <f t="shared" si="68"/>
        <v>Saturday</v>
      </c>
      <c r="I1150" s="11">
        <v>114</v>
      </c>
      <c r="J1150" s="24">
        <f t="shared" si="69"/>
        <v>114</v>
      </c>
      <c r="K1150">
        <f t="shared" si="70"/>
        <v>0</v>
      </c>
      <c r="L1150" t="str">
        <f t="shared" si="71"/>
        <v>Low Stock</v>
      </c>
    </row>
    <row r="1151" spans="1:12" x14ac:dyDescent="0.45">
      <c r="A1151" s="21" t="s">
        <v>226</v>
      </c>
      <c r="B1151" s="7">
        <v>-2</v>
      </c>
      <c r="C1151" s="7">
        <v>0</v>
      </c>
      <c r="D1151" s="7">
        <v>2</v>
      </c>
      <c r="E1151" s="7">
        <v>2</v>
      </c>
      <c r="F1151" s="7">
        <v>2</v>
      </c>
      <c r="G1151" s="16">
        <v>46085</v>
      </c>
      <c r="H1151" s="16" t="str">
        <f t="shared" si="68"/>
        <v>Wednesday</v>
      </c>
      <c r="I1151" s="12">
        <v>189</v>
      </c>
      <c r="J1151" s="9">
        <f t="shared" si="69"/>
        <v>378</v>
      </c>
      <c r="K1151">
        <f t="shared" si="70"/>
        <v>0</v>
      </c>
      <c r="L1151" t="str">
        <f t="shared" si="71"/>
        <v>Low Stock</v>
      </c>
    </row>
    <row r="1152" spans="1:12" x14ac:dyDescent="0.45">
      <c r="A1152" s="20" t="s">
        <v>370</v>
      </c>
      <c r="B1152" s="6">
        <v>-12</v>
      </c>
      <c r="C1152" s="6">
        <v>0</v>
      </c>
      <c r="D1152" s="6">
        <v>2</v>
      </c>
      <c r="E1152" s="6">
        <v>2</v>
      </c>
      <c r="F1152" s="6">
        <v>2</v>
      </c>
      <c r="G1152" s="15">
        <v>46083</v>
      </c>
      <c r="H1152" s="15" t="str">
        <f t="shared" si="68"/>
        <v>Monday</v>
      </c>
      <c r="I1152" s="11">
        <v>136</v>
      </c>
      <c r="J1152" s="24">
        <f t="shared" si="69"/>
        <v>272</v>
      </c>
      <c r="K1152">
        <f t="shared" si="70"/>
        <v>0</v>
      </c>
      <c r="L1152" t="str">
        <f t="shared" si="71"/>
        <v>Low Stock</v>
      </c>
    </row>
    <row r="1153" spans="1:12" x14ac:dyDescent="0.45">
      <c r="A1153" s="21" t="s">
        <v>542</v>
      </c>
      <c r="B1153" s="7">
        <v>4</v>
      </c>
      <c r="C1153" s="7">
        <v>15</v>
      </c>
      <c r="D1153" s="7">
        <v>8</v>
      </c>
      <c r="E1153" s="7">
        <v>5</v>
      </c>
      <c r="F1153" s="7">
        <v>4</v>
      </c>
      <c r="G1153" s="16">
        <v>46084</v>
      </c>
      <c r="H1153" s="16" t="str">
        <f t="shared" si="68"/>
        <v>Tuesday</v>
      </c>
      <c r="I1153" s="12">
        <v>192</v>
      </c>
      <c r="J1153" s="9">
        <f t="shared" si="69"/>
        <v>1536</v>
      </c>
      <c r="K1153">
        <f t="shared" si="70"/>
        <v>4</v>
      </c>
      <c r="L1153" t="str">
        <f t="shared" si="71"/>
        <v>Low Stock</v>
      </c>
    </row>
    <row r="1154" spans="1:12" x14ac:dyDescent="0.45">
      <c r="A1154" s="20" t="s">
        <v>698</v>
      </c>
      <c r="B1154" s="6">
        <v>1</v>
      </c>
      <c r="C1154" s="6">
        <v>15</v>
      </c>
      <c r="D1154" s="6">
        <v>2</v>
      </c>
      <c r="E1154" s="6">
        <v>2</v>
      </c>
      <c r="F1154" s="6">
        <v>2</v>
      </c>
      <c r="G1154" s="15">
        <v>46087</v>
      </c>
      <c r="H1154" s="15" t="str">
        <f t="shared" ref="H1154:H1217" si="72">TEXT(G1154,"dddd")</f>
        <v>Friday</v>
      </c>
      <c r="I1154" s="11">
        <v>147</v>
      </c>
      <c r="J1154" s="24">
        <f t="shared" ref="J1154:J1217" si="73">D1154*I1154</f>
        <v>294</v>
      </c>
      <c r="K1154">
        <f t="shared" ref="K1154:K1217" si="74">IF(B1154&lt;0,0,B1154)</f>
        <v>1</v>
      </c>
      <c r="L1154" t="str">
        <f t="shared" ref="L1154:L1217" si="75">IF(K1154&lt;5,"Low Stock","OK")</f>
        <v>Low Stock</v>
      </c>
    </row>
    <row r="1155" spans="1:12" x14ac:dyDescent="0.45">
      <c r="A1155" s="21" t="s">
        <v>771</v>
      </c>
      <c r="B1155" s="7">
        <v>20</v>
      </c>
      <c r="C1155" s="7">
        <v>30</v>
      </c>
      <c r="D1155" s="7">
        <v>20</v>
      </c>
      <c r="E1155" s="7">
        <v>2</v>
      </c>
      <c r="F1155" s="7">
        <v>2</v>
      </c>
      <c r="G1155" s="16">
        <v>46088</v>
      </c>
      <c r="H1155" s="16" t="str">
        <f t="shared" si="72"/>
        <v>Saturday</v>
      </c>
      <c r="I1155" s="12">
        <v>89</v>
      </c>
      <c r="J1155" s="9">
        <f t="shared" si="73"/>
        <v>1780</v>
      </c>
      <c r="K1155">
        <f t="shared" si="74"/>
        <v>20</v>
      </c>
      <c r="L1155" t="str">
        <f t="shared" si="75"/>
        <v>OK</v>
      </c>
    </row>
    <row r="1156" spans="1:12" x14ac:dyDescent="0.45">
      <c r="A1156" s="20" t="s">
        <v>775</v>
      </c>
      <c r="B1156" s="6">
        <v>2</v>
      </c>
      <c r="C1156" s="6">
        <v>30</v>
      </c>
      <c r="D1156" s="6">
        <v>2</v>
      </c>
      <c r="E1156" s="6">
        <v>2</v>
      </c>
      <c r="F1156" s="6">
        <v>2</v>
      </c>
      <c r="G1156" s="15">
        <v>46086</v>
      </c>
      <c r="H1156" s="15" t="str">
        <f t="shared" si="72"/>
        <v>Thursday</v>
      </c>
      <c r="I1156" s="11">
        <v>135</v>
      </c>
      <c r="J1156" s="24">
        <f t="shared" si="73"/>
        <v>270</v>
      </c>
      <c r="K1156">
        <f t="shared" si="74"/>
        <v>2</v>
      </c>
      <c r="L1156" t="str">
        <f t="shared" si="75"/>
        <v>Low Stock</v>
      </c>
    </row>
    <row r="1157" spans="1:12" x14ac:dyDescent="0.45">
      <c r="A1157" s="21" t="s">
        <v>18</v>
      </c>
      <c r="B1157" s="7">
        <v>-14</v>
      </c>
      <c r="C1157" s="7">
        <v>0</v>
      </c>
      <c r="D1157" s="7">
        <v>105</v>
      </c>
      <c r="E1157" s="7">
        <v>4</v>
      </c>
      <c r="F1157" s="7">
        <v>3</v>
      </c>
      <c r="G1157" s="16">
        <v>46084</v>
      </c>
      <c r="H1157" s="16" t="str">
        <f t="shared" si="72"/>
        <v>Tuesday</v>
      </c>
      <c r="I1157" s="12">
        <v>87</v>
      </c>
      <c r="J1157" s="9">
        <f t="shared" si="73"/>
        <v>9135</v>
      </c>
      <c r="K1157">
        <f t="shared" si="74"/>
        <v>0</v>
      </c>
      <c r="L1157" t="str">
        <f t="shared" si="75"/>
        <v>Low Stock</v>
      </c>
    </row>
    <row r="1158" spans="1:12" x14ac:dyDescent="0.45">
      <c r="A1158" s="20" t="s">
        <v>151</v>
      </c>
      <c r="B1158" s="6">
        <v>-10</v>
      </c>
      <c r="C1158" s="6">
        <v>0</v>
      </c>
      <c r="D1158" s="6">
        <v>2</v>
      </c>
      <c r="E1158" s="6">
        <v>2</v>
      </c>
      <c r="F1158" s="6">
        <v>2</v>
      </c>
      <c r="G1158" s="15">
        <v>46088</v>
      </c>
      <c r="H1158" s="15" t="str">
        <f t="shared" si="72"/>
        <v>Saturday</v>
      </c>
      <c r="I1158" s="11">
        <v>117</v>
      </c>
      <c r="J1158" s="24">
        <f t="shared" si="73"/>
        <v>234</v>
      </c>
      <c r="K1158">
        <f t="shared" si="74"/>
        <v>0</v>
      </c>
      <c r="L1158" t="str">
        <f t="shared" si="75"/>
        <v>Low Stock</v>
      </c>
    </row>
    <row r="1159" spans="1:12" x14ac:dyDescent="0.45">
      <c r="A1159" s="21" t="s">
        <v>451</v>
      </c>
      <c r="B1159" s="7">
        <v>0</v>
      </c>
      <c r="C1159" s="7">
        <v>0</v>
      </c>
      <c r="D1159" s="7">
        <v>10</v>
      </c>
      <c r="E1159" s="7">
        <v>1</v>
      </c>
      <c r="F1159" s="7">
        <v>1</v>
      </c>
      <c r="G1159" s="16">
        <v>46083</v>
      </c>
      <c r="H1159" s="16" t="str">
        <f t="shared" si="72"/>
        <v>Monday</v>
      </c>
      <c r="I1159" s="12">
        <v>128</v>
      </c>
      <c r="J1159" s="9">
        <f t="shared" si="73"/>
        <v>1280</v>
      </c>
      <c r="K1159">
        <f t="shared" si="74"/>
        <v>0</v>
      </c>
      <c r="L1159" t="str">
        <f t="shared" si="75"/>
        <v>Low Stock</v>
      </c>
    </row>
    <row r="1160" spans="1:12" x14ac:dyDescent="0.45">
      <c r="A1160" s="20" t="s">
        <v>640</v>
      </c>
      <c r="B1160" s="6">
        <v>10</v>
      </c>
      <c r="C1160" s="6">
        <v>10</v>
      </c>
      <c r="D1160" s="6">
        <v>30</v>
      </c>
      <c r="E1160" s="6">
        <v>3</v>
      </c>
      <c r="F1160" s="6">
        <v>3</v>
      </c>
      <c r="G1160" s="15">
        <v>46085</v>
      </c>
      <c r="H1160" s="15" t="str">
        <f t="shared" si="72"/>
        <v>Wednesday</v>
      </c>
      <c r="I1160" s="11">
        <v>75</v>
      </c>
      <c r="J1160" s="24">
        <f t="shared" si="73"/>
        <v>2250</v>
      </c>
      <c r="K1160">
        <f t="shared" si="74"/>
        <v>10</v>
      </c>
      <c r="L1160" t="str">
        <f t="shared" si="75"/>
        <v>OK</v>
      </c>
    </row>
    <row r="1161" spans="1:12" x14ac:dyDescent="0.45">
      <c r="A1161" s="21" t="s">
        <v>801</v>
      </c>
      <c r="B1161" s="7">
        <v>90</v>
      </c>
      <c r="C1161" s="7">
        <v>18</v>
      </c>
      <c r="D1161" s="7">
        <v>150</v>
      </c>
      <c r="E1161" s="7">
        <v>6</v>
      </c>
      <c r="F1161" s="7">
        <v>5</v>
      </c>
      <c r="G1161" s="16">
        <v>46088</v>
      </c>
      <c r="H1161" s="16" t="str">
        <f t="shared" si="72"/>
        <v>Saturday</v>
      </c>
      <c r="I1161" s="12">
        <v>140</v>
      </c>
      <c r="J1161" s="9">
        <f t="shared" si="73"/>
        <v>21000</v>
      </c>
      <c r="K1161">
        <f t="shared" si="74"/>
        <v>90</v>
      </c>
      <c r="L1161" t="str">
        <f t="shared" si="75"/>
        <v>OK</v>
      </c>
    </row>
    <row r="1162" spans="1:12" x14ac:dyDescent="0.45">
      <c r="A1162" s="20" t="s">
        <v>848</v>
      </c>
      <c r="B1162" s="6">
        <v>30</v>
      </c>
      <c r="C1162" s="6">
        <v>30</v>
      </c>
      <c r="D1162" s="6">
        <v>30</v>
      </c>
      <c r="E1162" s="6">
        <v>1</v>
      </c>
      <c r="F1162" s="6">
        <v>1</v>
      </c>
      <c r="G1162" s="15">
        <v>46085</v>
      </c>
      <c r="H1162" s="15" t="str">
        <f t="shared" si="72"/>
        <v>Wednesday</v>
      </c>
      <c r="I1162" s="11">
        <v>115</v>
      </c>
      <c r="J1162" s="24">
        <f t="shared" si="73"/>
        <v>3450</v>
      </c>
      <c r="K1162">
        <f t="shared" si="74"/>
        <v>30</v>
      </c>
      <c r="L1162" t="str">
        <f t="shared" si="75"/>
        <v>OK</v>
      </c>
    </row>
    <row r="1163" spans="1:12" x14ac:dyDescent="0.45">
      <c r="A1163" s="21" t="s">
        <v>1113</v>
      </c>
      <c r="B1163" s="7">
        <v>10</v>
      </c>
      <c r="C1163" s="7">
        <v>30</v>
      </c>
      <c r="D1163" s="7">
        <v>10</v>
      </c>
      <c r="E1163" s="7">
        <v>1</v>
      </c>
      <c r="F1163" s="7">
        <v>1</v>
      </c>
      <c r="G1163" s="16">
        <v>46086</v>
      </c>
      <c r="H1163" s="16" t="str">
        <f t="shared" si="72"/>
        <v>Thursday</v>
      </c>
      <c r="I1163" s="12">
        <v>115</v>
      </c>
      <c r="J1163" s="9">
        <f t="shared" si="73"/>
        <v>1150</v>
      </c>
      <c r="K1163">
        <f t="shared" si="74"/>
        <v>10</v>
      </c>
      <c r="L1163" t="str">
        <f t="shared" si="75"/>
        <v>OK</v>
      </c>
    </row>
    <row r="1164" spans="1:12" x14ac:dyDescent="0.45">
      <c r="A1164" s="20" t="s">
        <v>1160</v>
      </c>
      <c r="B1164" s="6">
        <v>3</v>
      </c>
      <c r="C1164" s="6">
        <v>30</v>
      </c>
      <c r="D1164" s="6">
        <v>3</v>
      </c>
      <c r="E1164" s="6">
        <v>3</v>
      </c>
      <c r="F1164" s="6">
        <v>3</v>
      </c>
      <c r="G1164" s="15">
        <v>46084</v>
      </c>
      <c r="H1164" s="15" t="str">
        <f t="shared" si="72"/>
        <v>Tuesday</v>
      </c>
      <c r="I1164" s="11">
        <v>86</v>
      </c>
      <c r="J1164" s="24">
        <f t="shared" si="73"/>
        <v>258</v>
      </c>
      <c r="K1164">
        <f t="shared" si="74"/>
        <v>3</v>
      </c>
      <c r="L1164" t="str">
        <f t="shared" si="75"/>
        <v>Low Stock</v>
      </c>
    </row>
    <row r="1165" spans="1:12" x14ac:dyDescent="0.45">
      <c r="A1165" s="21" t="s">
        <v>1227</v>
      </c>
      <c r="B1165" s="7">
        <v>5</v>
      </c>
      <c r="C1165" s="7">
        <v>30</v>
      </c>
      <c r="D1165" s="7">
        <v>5</v>
      </c>
      <c r="E1165" s="7">
        <v>5</v>
      </c>
      <c r="F1165" s="7">
        <v>4</v>
      </c>
      <c r="G1165" s="16">
        <v>46085</v>
      </c>
      <c r="H1165" s="16" t="str">
        <f t="shared" si="72"/>
        <v>Wednesday</v>
      </c>
      <c r="I1165" s="12">
        <v>140</v>
      </c>
      <c r="J1165" s="9">
        <f t="shared" si="73"/>
        <v>700</v>
      </c>
      <c r="K1165">
        <f t="shared" si="74"/>
        <v>5</v>
      </c>
      <c r="L1165" t="str">
        <f t="shared" si="75"/>
        <v>OK</v>
      </c>
    </row>
    <row r="1166" spans="1:12" x14ac:dyDescent="0.45">
      <c r="A1166" s="20" t="s">
        <v>112</v>
      </c>
      <c r="B1166" s="6">
        <v>10</v>
      </c>
      <c r="C1166" s="6">
        <v>3</v>
      </c>
      <c r="D1166" s="6">
        <v>90</v>
      </c>
      <c r="E1166" s="6">
        <v>2</v>
      </c>
      <c r="F1166" s="6">
        <v>2</v>
      </c>
      <c r="G1166" s="15">
        <v>46085</v>
      </c>
      <c r="H1166" s="15" t="str">
        <f t="shared" si="72"/>
        <v>Wednesday</v>
      </c>
      <c r="I1166" s="11">
        <v>98</v>
      </c>
      <c r="J1166" s="24">
        <f t="shared" si="73"/>
        <v>8820</v>
      </c>
      <c r="K1166">
        <f t="shared" si="74"/>
        <v>10</v>
      </c>
      <c r="L1166" t="str">
        <f t="shared" si="75"/>
        <v>OK</v>
      </c>
    </row>
    <row r="1167" spans="1:12" x14ac:dyDescent="0.45">
      <c r="A1167" s="21" t="s">
        <v>295</v>
      </c>
      <c r="B1167" s="7">
        <v>-2</v>
      </c>
      <c r="C1167" s="7">
        <v>0</v>
      </c>
      <c r="D1167" s="7">
        <v>1</v>
      </c>
      <c r="E1167" s="7">
        <v>1</v>
      </c>
      <c r="F1167" s="7">
        <v>1</v>
      </c>
      <c r="G1167" s="16">
        <v>46083</v>
      </c>
      <c r="H1167" s="16" t="str">
        <f t="shared" si="72"/>
        <v>Monday</v>
      </c>
      <c r="I1167" s="12">
        <v>199</v>
      </c>
      <c r="J1167" s="9">
        <f t="shared" si="73"/>
        <v>199</v>
      </c>
      <c r="K1167">
        <f t="shared" si="74"/>
        <v>0</v>
      </c>
      <c r="L1167" t="str">
        <f t="shared" si="75"/>
        <v>Low Stock</v>
      </c>
    </row>
    <row r="1168" spans="1:12" x14ac:dyDescent="0.45">
      <c r="A1168" s="20" t="s">
        <v>320</v>
      </c>
      <c r="B1168" s="6">
        <v>0</v>
      </c>
      <c r="C1168" s="6">
        <v>0</v>
      </c>
      <c r="D1168" s="6">
        <v>1</v>
      </c>
      <c r="E1168" s="6">
        <v>1</v>
      </c>
      <c r="F1168" s="6">
        <v>1</v>
      </c>
      <c r="G1168" s="15">
        <v>46085</v>
      </c>
      <c r="H1168" s="15" t="str">
        <f t="shared" si="72"/>
        <v>Wednesday</v>
      </c>
      <c r="I1168" s="11">
        <v>102</v>
      </c>
      <c r="J1168" s="24">
        <f t="shared" si="73"/>
        <v>102</v>
      </c>
      <c r="K1168">
        <f t="shared" si="74"/>
        <v>0</v>
      </c>
      <c r="L1168" t="str">
        <f t="shared" si="75"/>
        <v>Low Stock</v>
      </c>
    </row>
    <row r="1169" spans="1:12" x14ac:dyDescent="0.45">
      <c r="A1169" s="21" t="s">
        <v>357</v>
      </c>
      <c r="B1169" s="7">
        <v>-12</v>
      </c>
      <c r="C1169" s="7">
        <v>0</v>
      </c>
      <c r="D1169" s="7">
        <v>15</v>
      </c>
      <c r="E1169" s="7">
        <v>1</v>
      </c>
      <c r="F1169" s="7">
        <v>1</v>
      </c>
      <c r="G1169" s="16">
        <v>46084</v>
      </c>
      <c r="H1169" s="16" t="str">
        <f t="shared" si="72"/>
        <v>Tuesday</v>
      </c>
      <c r="I1169" s="12">
        <v>103</v>
      </c>
      <c r="J1169" s="9">
        <f t="shared" si="73"/>
        <v>1545</v>
      </c>
      <c r="K1169">
        <f t="shared" si="74"/>
        <v>0</v>
      </c>
      <c r="L1169" t="str">
        <f t="shared" si="75"/>
        <v>Low Stock</v>
      </c>
    </row>
    <row r="1170" spans="1:12" x14ac:dyDescent="0.45">
      <c r="A1170" s="20" t="s">
        <v>488</v>
      </c>
      <c r="B1170" s="6">
        <v>-15</v>
      </c>
      <c r="C1170" s="6">
        <v>0</v>
      </c>
      <c r="D1170" s="6">
        <v>15</v>
      </c>
      <c r="E1170" s="6">
        <v>1</v>
      </c>
      <c r="F1170" s="6">
        <v>1</v>
      </c>
      <c r="G1170" s="15">
        <v>46084</v>
      </c>
      <c r="H1170" s="15" t="str">
        <f t="shared" si="72"/>
        <v>Tuesday</v>
      </c>
      <c r="I1170" s="11">
        <v>130</v>
      </c>
      <c r="J1170" s="24">
        <f t="shared" si="73"/>
        <v>1950</v>
      </c>
      <c r="K1170">
        <f t="shared" si="74"/>
        <v>0</v>
      </c>
      <c r="L1170" t="str">
        <f t="shared" si="75"/>
        <v>Low Stock</v>
      </c>
    </row>
    <row r="1171" spans="1:12" x14ac:dyDescent="0.45">
      <c r="A1171" s="21" t="s">
        <v>564</v>
      </c>
      <c r="B1171" s="7">
        <v>15</v>
      </c>
      <c r="C1171" s="7">
        <v>15</v>
      </c>
      <c r="D1171" s="7">
        <v>30</v>
      </c>
      <c r="E1171" s="7">
        <v>2</v>
      </c>
      <c r="F1171" s="7">
        <v>2</v>
      </c>
      <c r="G1171" s="16">
        <v>46082</v>
      </c>
      <c r="H1171" s="16" t="str">
        <f t="shared" si="72"/>
        <v>Sunday</v>
      </c>
      <c r="I1171" s="12">
        <v>129</v>
      </c>
      <c r="J1171" s="9">
        <f t="shared" si="73"/>
        <v>3870</v>
      </c>
      <c r="K1171">
        <f t="shared" si="74"/>
        <v>15</v>
      </c>
      <c r="L1171" t="str">
        <f t="shared" si="75"/>
        <v>OK</v>
      </c>
    </row>
    <row r="1172" spans="1:12" x14ac:dyDescent="0.45">
      <c r="A1172" s="20" t="s">
        <v>622</v>
      </c>
      <c r="B1172" s="6">
        <v>10</v>
      </c>
      <c r="C1172" s="6">
        <v>10</v>
      </c>
      <c r="D1172" s="6">
        <v>30</v>
      </c>
      <c r="E1172" s="6">
        <v>1</v>
      </c>
      <c r="F1172" s="6">
        <v>1</v>
      </c>
      <c r="G1172" s="15">
        <v>46084</v>
      </c>
      <c r="H1172" s="15" t="str">
        <f t="shared" si="72"/>
        <v>Tuesday</v>
      </c>
      <c r="I1172" s="11">
        <v>121</v>
      </c>
      <c r="J1172" s="24">
        <f t="shared" si="73"/>
        <v>3630</v>
      </c>
      <c r="K1172">
        <f t="shared" si="74"/>
        <v>10</v>
      </c>
      <c r="L1172" t="str">
        <f t="shared" si="75"/>
        <v>OK</v>
      </c>
    </row>
    <row r="1173" spans="1:12" x14ac:dyDescent="0.45">
      <c r="A1173" s="21" t="s">
        <v>649</v>
      </c>
      <c r="B1173" s="7">
        <v>10</v>
      </c>
      <c r="C1173" s="7">
        <v>15</v>
      </c>
      <c r="D1173" s="7">
        <v>20</v>
      </c>
      <c r="E1173" s="7">
        <v>1</v>
      </c>
      <c r="F1173" s="7">
        <v>1</v>
      </c>
      <c r="G1173" s="16">
        <v>46085</v>
      </c>
      <c r="H1173" s="16" t="str">
        <f t="shared" si="72"/>
        <v>Wednesday</v>
      </c>
      <c r="I1173" s="12">
        <v>64</v>
      </c>
      <c r="J1173" s="9">
        <f t="shared" si="73"/>
        <v>1280</v>
      </c>
      <c r="K1173">
        <f t="shared" si="74"/>
        <v>10</v>
      </c>
      <c r="L1173" t="str">
        <f t="shared" si="75"/>
        <v>OK</v>
      </c>
    </row>
    <row r="1174" spans="1:12" x14ac:dyDescent="0.45">
      <c r="A1174" s="20" t="s">
        <v>876</v>
      </c>
      <c r="B1174" s="6">
        <v>30</v>
      </c>
      <c r="C1174" s="6">
        <v>30</v>
      </c>
      <c r="D1174" s="6">
        <v>30</v>
      </c>
      <c r="E1174" s="6">
        <v>2</v>
      </c>
      <c r="F1174" s="6">
        <v>2</v>
      </c>
      <c r="G1174" s="15">
        <v>46084</v>
      </c>
      <c r="H1174" s="15" t="str">
        <f t="shared" si="72"/>
        <v>Tuesday</v>
      </c>
      <c r="I1174" s="11">
        <v>103</v>
      </c>
      <c r="J1174" s="24">
        <f t="shared" si="73"/>
        <v>3090</v>
      </c>
      <c r="K1174">
        <f t="shared" si="74"/>
        <v>30</v>
      </c>
      <c r="L1174" t="str">
        <f t="shared" si="75"/>
        <v>OK</v>
      </c>
    </row>
    <row r="1175" spans="1:12" x14ac:dyDescent="0.45">
      <c r="A1175" s="21" t="s">
        <v>886</v>
      </c>
      <c r="B1175" s="7">
        <v>4</v>
      </c>
      <c r="C1175" s="7">
        <v>24</v>
      </c>
      <c r="D1175" s="7">
        <v>5</v>
      </c>
      <c r="E1175" s="7">
        <v>5</v>
      </c>
      <c r="F1175" s="7">
        <v>5</v>
      </c>
      <c r="G1175" s="16">
        <v>46085</v>
      </c>
      <c r="H1175" s="16" t="str">
        <f t="shared" si="72"/>
        <v>Wednesday</v>
      </c>
      <c r="I1175" s="12">
        <v>142</v>
      </c>
      <c r="J1175" s="9">
        <f t="shared" si="73"/>
        <v>710</v>
      </c>
      <c r="K1175">
        <f t="shared" si="74"/>
        <v>4</v>
      </c>
      <c r="L1175" t="str">
        <f t="shared" si="75"/>
        <v>Low Stock</v>
      </c>
    </row>
    <row r="1176" spans="1:12" x14ac:dyDescent="0.45">
      <c r="A1176" s="20" t="s">
        <v>899</v>
      </c>
      <c r="B1176" s="6">
        <v>45</v>
      </c>
      <c r="C1176" s="6">
        <v>30</v>
      </c>
      <c r="D1176" s="6">
        <v>45</v>
      </c>
      <c r="E1176" s="6">
        <v>1</v>
      </c>
      <c r="F1176" s="6">
        <v>1</v>
      </c>
      <c r="G1176" s="15">
        <v>46085</v>
      </c>
      <c r="H1176" s="15" t="str">
        <f t="shared" si="72"/>
        <v>Wednesday</v>
      </c>
      <c r="I1176" s="11">
        <v>71</v>
      </c>
      <c r="J1176" s="24">
        <f t="shared" si="73"/>
        <v>3195</v>
      </c>
      <c r="K1176">
        <f t="shared" si="74"/>
        <v>45</v>
      </c>
      <c r="L1176" t="str">
        <f t="shared" si="75"/>
        <v>OK</v>
      </c>
    </row>
    <row r="1177" spans="1:12" x14ac:dyDescent="0.45">
      <c r="A1177" s="21" t="s">
        <v>1024</v>
      </c>
      <c r="B1177" s="7">
        <v>1</v>
      </c>
      <c r="C1177" s="7">
        <v>30</v>
      </c>
      <c r="D1177" s="7">
        <v>1</v>
      </c>
      <c r="E1177" s="7">
        <v>1</v>
      </c>
      <c r="F1177" s="7">
        <v>1</v>
      </c>
      <c r="G1177" s="16">
        <v>46084</v>
      </c>
      <c r="H1177" s="16" t="str">
        <f t="shared" si="72"/>
        <v>Tuesday</v>
      </c>
      <c r="I1177" s="12">
        <v>121</v>
      </c>
      <c r="J1177" s="9">
        <f t="shared" si="73"/>
        <v>121</v>
      </c>
      <c r="K1177">
        <f t="shared" si="74"/>
        <v>1</v>
      </c>
      <c r="L1177" t="str">
        <f t="shared" si="75"/>
        <v>Low Stock</v>
      </c>
    </row>
    <row r="1178" spans="1:12" x14ac:dyDescent="0.45">
      <c r="A1178" s="20" t="s">
        <v>231</v>
      </c>
      <c r="B1178" s="6">
        <v>0</v>
      </c>
      <c r="C1178" s="6">
        <v>0</v>
      </c>
      <c r="D1178" s="6">
        <v>20</v>
      </c>
      <c r="E1178" s="6">
        <v>1</v>
      </c>
      <c r="F1178" s="6">
        <v>1</v>
      </c>
      <c r="G1178" s="15">
        <v>46082</v>
      </c>
      <c r="H1178" s="15" t="str">
        <f t="shared" si="72"/>
        <v>Sunday</v>
      </c>
      <c r="I1178" s="11">
        <v>142</v>
      </c>
      <c r="J1178" s="24">
        <f t="shared" si="73"/>
        <v>2840</v>
      </c>
      <c r="K1178">
        <f t="shared" si="74"/>
        <v>0</v>
      </c>
      <c r="L1178" t="str">
        <f t="shared" si="75"/>
        <v>Low Stock</v>
      </c>
    </row>
    <row r="1179" spans="1:12" x14ac:dyDescent="0.45">
      <c r="A1179" s="21" t="s">
        <v>253</v>
      </c>
      <c r="B1179" s="7">
        <v>-8</v>
      </c>
      <c r="C1179" s="7">
        <v>0</v>
      </c>
      <c r="D1179" s="7">
        <v>3</v>
      </c>
      <c r="E1179" s="7">
        <v>3</v>
      </c>
      <c r="F1179" s="7">
        <v>3</v>
      </c>
      <c r="G1179" s="16">
        <v>46088</v>
      </c>
      <c r="H1179" s="16" t="str">
        <f t="shared" si="72"/>
        <v>Saturday</v>
      </c>
      <c r="I1179" s="12">
        <v>93</v>
      </c>
      <c r="J1179" s="9">
        <f t="shared" si="73"/>
        <v>279</v>
      </c>
      <c r="K1179">
        <f t="shared" si="74"/>
        <v>0</v>
      </c>
      <c r="L1179" t="str">
        <f t="shared" si="75"/>
        <v>Low Stock</v>
      </c>
    </row>
    <row r="1180" spans="1:12" x14ac:dyDescent="0.45">
      <c r="A1180" s="20" t="s">
        <v>689</v>
      </c>
      <c r="B1180" s="6">
        <v>1</v>
      </c>
      <c r="C1180" s="6">
        <v>15</v>
      </c>
      <c r="D1180" s="6">
        <v>2</v>
      </c>
      <c r="E1180" s="6">
        <v>2</v>
      </c>
      <c r="F1180" s="6">
        <v>2</v>
      </c>
      <c r="G1180" s="15">
        <v>46086</v>
      </c>
      <c r="H1180" s="15" t="str">
        <f t="shared" si="72"/>
        <v>Thursday</v>
      </c>
      <c r="I1180" s="11">
        <v>127</v>
      </c>
      <c r="J1180" s="24">
        <f t="shared" si="73"/>
        <v>254</v>
      </c>
      <c r="K1180">
        <f t="shared" si="74"/>
        <v>1</v>
      </c>
      <c r="L1180" t="str">
        <f t="shared" si="75"/>
        <v>Low Stock</v>
      </c>
    </row>
    <row r="1181" spans="1:12" x14ac:dyDescent="0.45">
      <c r="A1181" s="21" t="s">
        <v>887</v>
      </c>
      <c r="B1181" s="7">
        <v>30</v>
      </c>
      <c r="C1181" s="7">
        <v>18</v>
      </c>
      <c r="D1181" s="7">
        <v>50</v>
      </c>
      <c r="E1181" s="7">
        <v>5</v>
      </c>
      <c r="F1181" s="7">
        <v>5</v>
      </c>
      <c r="G1181" s="16">
        <v>46088</v>
      </c>
      <c r="H1181" s="16" t="str">
        <f t="shared" si="72"/>
        <v>Saturday</v>
      </c>
      <c r="I1181" s="12">
        <v>125</v>
      </c>
      <c r="J1181" s="9">
        <f t="shared" si="73"/>
        <v>6250</v>
      </c>
      <c r="K1181">
        <f t="shared" si="74"/>
        <v>30</v>
      </c>
      <c r="L1181" t="str">
        <f t="shared" si="75"/>
        <v>OK</v>
      </c>
    </row>
    <row r="1182" spans="1:12" x14ac:dyDescent="0.45">
      <c r="A1182" s="20" t="s">
        <v>890</v>
      </c>
      <c r="B1182" s="6">
        <v>3</v>
      </c>
      <c r="C1182" s="6">
        <v>22</v>
      </c>
      <c r="D1182" s="6">
        <v>4</v>
      </c>
      <c r="E1182" s="6">
        <v>4</v>
      </c>
      <c r="F1182" s="6">
        <v>3</v>
      </c>
      <c r="G1182" s="15">
        <v>46087</v>
      </c>
      <c r="H1182" s="15" t="str">
        <f t="shared" si="72"/>
        <v>Friday</v>
      </c>
      <c r="I1182" s="11">
        <v>142</v>
      </c>
      <c r="J1182" s="24">
        <f t="shared" si="73"/>
        <v>568</v>
      </c>
      <c r="K1182">
        <f t="shared" si="74"/>
        <v>3</v>
      </c>
      <c r="L1182" t="str">
        <f t="shared" si="75"/>
        <v>Low Stock</v>
      </c>
    </row>
    <row r="1183" spans="1:12" x14ac:dyDescent="0.45">
      <c r="A1183" s="21" t="s">
        <v>954</v>
      </c>
      <c r="B1183" s="7">
        <v>1</v>
      </c>
      <c r="C1183" s="7">
        <v>30</v>
      </c>
      <c r="D1183" s="7">
        <v>1</v>
      </c>
      <c r="E1183" s="7">
        <v>1</v>
      </c>
      <c r="F1183" s="7">
        <v>1</v>
      </c>
      <c r="G1183" s="16">
        <v>46088</v>
      </c>
      <c r="H1183" s="16" t="str">
        <f t="shared" si="72"/>
        <v>Saturday</v>
      </c>
      <c r="I1183" s="12">
        <v>111</v>
      </c>
      <c r="J1183" s="9">
        <f t="shared" si="73"/>
        <v>111</v>
      </c>
      <c r="K1183">
        <f t="shared" si="74"/>
        <v>1</v>
      </c>
      <c r="L1183" t="str">
        <f t="shared" si="75"/>
        <v>Low Stock</v>
      </c>
    </row>
    <row r="1184" spans="1:12" x14ac:dyDescent="0.45">
      <c r="A1184" s="20" t="s">
        <v>1158</v>
      </c>
      <c r="B1184" s="6">
        <v>7</v>
      </c>
      <c r="C1184" s="6">
        <v>26</v>
      </c>
      <c r="D1184" s="6">
        <v>8</v>
      </c>
      <c r="E1184" s="6">
        <v>3</v>
      </c>
      <c r="F1184" s="6">
        <v>3</v>
      </c>
      <c r="G1184" s="15">
        <v>46087</v>
      </c>
      <c r="H1184" s="15" t="str">
        <f t="shared" si="72"/>
        <v>Friday</v>
      </c>
      <c r="I1184" s="11">
        <v>126</v>
      </c>
      <c r="J1184" s="24">
        <f t="shared" si="73"/>
        <v>1008</v>
      </c>
      <c r="K1184">
        <f t="shared" si="74"/>
        <v>7</v>
      </c>
      <c r="L1184" t="str">
        <f t="shared" si="75"/>
        <v>OK</v>
      </c>
    </row>
    <row r="1185" spans="1:12" x14ac:dyDescent="0.45">
      <c r="A1185" s="21" t="s">
        <v>1261</v>
      </c>
      <c r="B1185" s="7">
        <v>15</v>
      </c>
      <c r="C1185" s="7">
        <v>30</v>
      </c>
      <c r="D1185" s="7">
        <v>15</v>
      </c>
      <c r="E1185" s="7">
        <v>1</v>
      </c>
      <c r="F1185" s="7">
        <v>1</v>
      </c>
      <c r="G1185" s="16">
        <v>46085</v>
      </c>
      <c r="H1185" s="16" t="str">
        <f t="shared" si="72"/>
        <v>Wednesday</v>
      </c>
      <c r="I1185" s="12">
        <v>82</v>
      </c>
      <c r="J1185" s="9">
        <f t="shared" si="73"/>
        <v>1230</v>
      </c>
      <c r="K1185">
        <f t="shared" si="74"/>
        <v>15</v>
      </c>
      <c r="L1185" t="str">
        <f t="shared" si="75"/>
        <v>OK</v>
      </c>
    </row>
    <row r="1186" spans="1:12" x14ac:dyDescent="0.45">
      <c r="A1186" s="20" t="s">
        <v>34</v>
      </c>
      <c r="B1186" s="6">
        <v>40</v>
      </c>
      <c r="C1186" s="6">
        <v>6</v>
      </c>
      <c r="D1186" s="6">
        <v>180</v>
      </c>
      <c r="E1186" s="6">
        <v>11</v>
      </c>
      <c r="F1186" s="6">
        <v>11</v>
      </c>
      <c r="G1186" s="15">
        <v>46088</v>
      </c>
      <c r="H1186" s="15" t="str">
        <f t="shared" si="72"/>
        <v>Saturday</v>
      </c>
      <c r="I1186" s="11">
        <v>117</v>
      </c>
      <c r="J1186" s="24">
        <f t="shared" si="73"/>
        <v>21060</v>
      </c>
      <c r="K1186">
        <f t="shared" si="74"/>
        <v>40</v>
      </c>
      <c r="L1186" t="str">
        <f t="shared" si="75"/>
        <v>OK</v>
      </c>
    </row>
    <row r="1187" spans="1:12" x14ac:dyDescent="0.45">
      <c r="A1187" s="21" t="s">
        <v>65</v>
      </c>
      <c r="B1187" s="7">
        <v>-1</v>
      </c>
      <c r="C1187" s="7">
        <v>0</v>
      </c>
      <c r="D1187" s="7">
        <v>1</v>
      </c>
      <c r="E1187" s="7">
        <v>1</v>
      </c>
      <c r="F1187" s="7">
        <v>1</v>
      </c>
      <c r="G1187" s="16">
        <v>46087</v>
      </c>
      <c r="H1187" s="16" t="str">
        <f t="shared" si="72"/>
        <v>Friday</v>
      </c>
      <c r="I1187" s="12">
        <v>156</v>
      </c>
      <c r="J1187" s="9">
        <f t="shared" si="73"/>
        <v>156</v>
      </c>
      <c r="K1187">
        <f t="shared" si="74"/>
        <v>0</v>
      </c>
      <c r="L1187" t="str">
        <f t="shared" si="75"/>
        <v>Low Stock</v>
      </c>
    </row>
    <row r="1188" spans="1:12" x14ac:dyDescent="0.45">
      <c r="A1188" s="20" t="s">
        <v>123</v>
      </c>
      <c r="B1188" s="6">
        <v>10</v>
      </c>
      <c r="C1188" s="6">
        <v>6</v>
      </c>
      <c r="D1188" s="6">
        <v>50</v>
      </c>
      <c r="E1188" s="6">
        <v>3</v>
      </c>
      <c r="F1188" s="6">
        <v>3</v>
      </c>
      <c r="G1188" s="15">
        <v>46085</v>
      </c>
      <c r="H1188" s="15" t="str">
        <f t="shared" si="72"/>
        <v>Wednesday</v>
      </c>
      <c r="I1188" s="11">
        <v>102</v>
      </c>
      <c r="J1188" s="24">
        <f t="shared" si="73"/>
        <v>5100</v>
      </c>
      <c r="K1188">
        <f t="shared" si="74"/>
        <v>10</v>
      </c>
      <c r="L1188" t="str">
        <f t="shared" si="75"/>
        <v>OK</v>
      </c>
    </row>
    <row r="1189" spans="1:12" x14ac:dyDescent="0.45">
      <c r="A1189" s="21" t="s">
        <v>169</v>
      </c>
      <c r="B1189" s="7">
        <v>-165</v>
      </c>
      <c r="C1189" s="7">
        <v>0</v>
      </c>
      <c r="D1189" s="7">
        <v>60</v>
      </c>
      <c r="E1189" s="7">
        <v>4</v>
      </c>
      <c r="F1189" s="7">
        <v>4</v>
      </c>
      <c r="G1189" s="16">
        <v>46087</v>
      </c>
      <c r="H1189" s="16" t="str">
        <f t="shared" si="72"/>
        <v>Friday</v>
      </c>
      <c r="I1189" s="12">
        <v>78</v>
      </c>
      <c r="J1189" s="9">
        <f t="shared" si="73"/>
        <v>4680</v>
      </c>
      <c r="K1189">
        <f t="shared" si="74"/>
        <v>0</v>
      </c>
      <c r="L1189" t="str">
        <f t="shared" si="75"/>
        <v>Low Stock</v>
      </c>
    </row>
    <row r="1190" spans="1:12" x14ac:dyDescent="0.45">
      <c r="A1190" s="20" t="s">
        <v>181</v>
      </c>
      <c r="B1190" s="6">
        <v>30</v>
      </c>
      <c r="C1190" s="6">
        <v>6</v>
      </c>
      <c r="D1190" s="6">
        <v>150</v>
      </c>
      <c r="E1190" s="6">
        <v>5</v>
      </c>
      <c r="F1190" s="6">
        <v>5</v>
      </c>
      <c r="G1190" s="15">
        <v>46087</v>
      </c>
      <c r="H1190" s="15" t="str">
        <f t="shared" si="72"/>
        <v>Friday</v>
      </c>
      <c r="I1190" s="11">
        <v>114</v>
      </c>
      <c r="J1190" s="24">
        <f t="shared" si="73"/>
        <v>17100</v>
      </c>
      <c r="K1190">
        <f t="shared" si="74"/>
        <v>30</v>
      </c>
      <c r="L1190" t="str">
        <f t="shared" si="75"/>
        <v>OK</v>
      </c>
    </row>
    <row r="1191" spans="1:12" x14ac:dyDescent="0.45">
      <c r="A1191" s="21" t="s">
        <v>223</v>
      </c>
      <c r="B1191" s="7">
        <v>0</v>
      </c>
      <c r="C1191" s="7">
        <v>0</v>
      </c>
      <c r="D1191" s="7">
        <v>2</v>
      </c>
      <c r="E1191" s="7">
        <v>2</v>
      </c>
      <c r="F1191" s="7">
        <v>2</v>
      </c>
      <c r="G1191" s="16">
        <v>46082</v>
      </c>
      <c r="H1191" s="16" t="str">
        <f t="shared" si="72"/>
        <v>Sunday</v>
      </c>
      <c r="I1191" s="12">
        <v>97</v>
      </c>
      <c r="J1191" s="9">
        <f t="shared" si="73"/>
        <v>194</v>
      </c>
      <c r="K1191">
        <f t="shared" si="74"/>
        <v>0</v>
      </c>
      <c r="L1191" t="str">
        <f t="shared" si="75"/>
        <v>Low Stock</v>
      </c>
    </row>
    <row r="1192" spans="1:12" x14ac:dyDescent="0.45">
      <c r="A1192" s="20" t="s">
        <v>346</v>
      </c>
      <c r="B1192" s="6">
        <v>0</v>
      </c>
      <c r="C1192" s="6">
        <v>0</v>
      </c>
      <c r="D1192" s="6">
        <v>1</v>
      </c>
      <c r="E1192" s="6">
        <v>1</v>
      </c>
      <c r="F1192" s="6">
        <v>1</v>
      </c>
      <c r="G1192" s="15">
        <v>46083</v>
      </c>
      <c r="H1192" s="15" t="str">
        <f t="shared" si="72"/>
        <v>Monday</v>
      </c>
      <c r="I1192" s="11">
        <v>132</v>
      </c>
      <c r="J1192" s="24">
        <f t="shared" si="73"/>
        <v>132</v>
      </c>
      <c r="K1192">
        <f t="shared" si="74"/>
        <v>0</v>
      </c>
      <c r="L1192" t="str">
        <f t="shared" si="75"/>
        <v>Low Stock</v>
      </c>
    </row>
    <row r="1193" spans="1:12" x14ac:dyDescent="0.45">
      <c r="A1193" s="21" t="s">
        <v>353</v>
      </c>
      <c r="B1193" s="7">
        <v>0</v>
      </c>
      <c r="C1193" s="7">
        <v>0</v>
      </c>
      <c r="D1193" s="7">
        <v>1</v>
      </c>
      <c r="E1193" s="7">
        <v>1</v>
      </c>
      <c r="F1193" s="7">
        <v>1</v>
      </c>
      <c r="G1193" s="16">
        <v>46082</v>
      </c>
      <c r="H1193" s="16" t="str">
        <f t="shared" si="72"/>
        <v>Sunday</v>
      </c>
      <c r="I1193" s="12">
        <v>186</v>
      </c>
      <c r="J1193" s="9">
        <f t="shared" si="73"/>
        <v>186</v>
      </c>
      <c r="K1193">
        <f t="shared" si="74"/>
        <v>0</v>
      </c>
      <c r="L1193" t="str">
        <f t="shared" si="75"/>
        <v>Low Stock</v>
      </c>
    </row>
    <row r="1194" spans="1:12" x14ac:dyDescent="0.45">
      <c r="A1194" s="20" t="s">
        <v>387</v>
      </c>
      <c r="B1194" s="6">
        <v>10</v>
      </c>
      <c r="C1194" s="6">
        <v>7</v>
      </c>
      <c r="D1194" s="6">
        <v>40</v>
      </c>
      <c r="E1194" s="6">
        <v>3</v>
      </c>
      <c r="F1194" s="6">
        <v>3</v>
      </c>
      <c r="G1194" s="15">
        <v>46084</v>
      </c>
      <c r="H1194" s="15" t="str">
        <f t="shared" si="72"/>
        <v>Tuesday</v>
      </c>
      <c r="I1194" s="11">
        <v>126</v>
      </c>
      <c r="J1194" s="24">
        <f t="shared" si="73"/>
        <v>5040</v>
      </c>
      <c r="K1194">
        <f t="shared" si="74"/>
        <v>10</v>
      </c>
      <c r="L1194" t="str">
        <f t="shared" si="75"/>
        <v>OK</v>
      </c>
    </row>
    <row r="1195" spans="1:12" x14ac:dyDescent="0.45">
      <c r="A1195" s="21" t="s">
        <v>399</v>
      </c>
      <c r="B1195" s="7">
        <v>-115</v>
      </c>
      <c r="C1195" s="7">
        <v>0</v>
      </c>
      <c r="D1195" s="7">
        <v>51</v>
      </c>
      <c r="E1195" s="7">
        <v>3</v>
      </c>
      <c r="F1195" s="7">
        <v>3</v>
      </c>
      <c r="G1195" s="16">
        <v>46082</v>
      </c>
      <c r="H1195" s="16" t="str">
        <f t="shared" si="72"/>
        <v>Sunday</v>
      </c>
      <c r="I1195" s="12">
        <v>90</v>
      </c>
      <c r="J1195" s="9">
        <f t="shared" si="73"/>
        <v>4590</v>
      </c>
      <c r="K1195">
        <f t="shared" si="74"/>
        <v>0</v>
      </c>
      <c r="L1195" t="str">
        <f t="shared" si="75"/>
        <v>Low Stock</v>
      </c>
    </row>
    <row r="1196" spans="1:12" x14ac:dyDescent="0.45">
      <c r="A1196" s="20" t="s">
        <v>695</v>
      </c>
      <c r="B1196" s="6">
        <v>30</v>
      </c>
      <c r="C1196" s="6">
        <v>15</v>
      </c>
      <c r="D1196" s="6">
        <v>60</v>
      </c>
      <c r="E1196" s="6">
        <v>3</v>
      </c>
      <c r="F1196" s="6">
        <v>3</v>
      </c>
      <c r="G1196" s="15">
        <v>46084</v>
      </c>
      <c r="H1196" s="15" t="str">
        <f t="shared" si="72"/>
        <v>Tuesday</v>
      </c>
      <c r="I1196" s="11">
        <v>62</v>
      </c>
      <c r="J1196" s="24">
        <f t="shared" si="73"/>
        <v>3720</v>
      </c>
      <c r="K1196">
        <f t="shared" si="74"/>
        <v>30</v>
      </c>
      <c r="L1196" t="str">
        <f t="shared" si="75"/>
        <v>OK</v>
      </c>
    </row>
    <row r="1197" spans="1:12" x14ac:dyDescent="0.45">
      <c r="A1197" s="21" t="s">
        <v>754</v>
      </c>
      <c r="B1197" s="7">
        <v>70</v>
      </c>
      <c r="C1197" s="7">
        <v>19</v>
      </c>
      <c r="D1197" s="7">
        <v>110</v>
      </c>
      <c r="E1197" s="7">
        <v>7</v>
      </c>
      <c r="F1197" s="7">
        <v>6</v>
      </c>
      <c r="G1197" s="16">
        <v>46085</v>
      </c>
      <c r="H1197" s="16" t="str">
        <f t="shared" si="72"/>
        <v>Wednesday</v>
      </c>
      <c r="I1197" s="12">
        <v>135</v>
      </c>
      <c r="J1197" s="9">
        <f t="shared" si="73"/>
        <v>14850</v>
      </c>
      <c r="K1197">
        <f t="shared" si="74"/>
        <v>70</v>
      </c>
      <c r="L1197" t="str">
        <f t="shared" si="75"/>
        <v>OK</v>
      </c>
    </row>
    <row r="1198" spans="1:12" x14ac:dyDescent="0.45">
      <c r="A1198" s="20" t="s">
        <v>216</v>
      </c>
      <c r="B1198" s="6">
        <v>0</v>
      </c>
      <c r="C1198" s="6">
        <v>0</v>
      </c>
      <c r="D1198" s="6">
        <v>15</v>
      </c>
      <c r="E1198" s="6">
        <v>1</v>
      </c>
      <c r="F1198" s="6">
        <v>1</v>
      </c>
      <c r="G1198" s="15">
        <v>46085</v>
      </c>
      <c r="H1198" s="15" t="str">
        <f t="shared" si="72"/>
        <v>Wednesday</v>
      </c>
      <c r="I1198" s="11">
        <v>85</v>
      </c>
      <c r="J1198" s="24">
        <f t="shared" si="73"/>
        <v>1275</v>
      </c>
      <c r="K1198">
        <f t="shared" si="74"/>
        <v>0</v>
      </c>
      <c r="L1198" t="str">
        <f t="shared" si="75"/>
        <v>Low Stock</v>
      </c>
    </row>
    <row r="1199" spans="1:12" x14ac:dyDescent="0.45">
      <c r="A1199" s="21" t="s">
        <v>318</v>
      </c>
      <c r="B1199" s="7">
        <v>0</v>
      </c>
      <c r="C1199" s="7">
        <v>0</v>
      </c>
      <c r="D1199" s="7">
        <v>10</v>
      </c>
      <c r="E1199" s="7">
        <v>1</v>
      </c>
      <c r="F1199" s="7">
        <v>1</v>
      </c>
      <c r="G1199" s="16">
        <v>46087</v>
      </c>
      <c r="H1199" s="16" t="str">
        <f t="shared" si="72"/>
        <v>Friday</v>
      </c>
      <c r="I1199" s="12">
        <v>93</v>
      </c>
      <c r="J1199" s="9">
        <f t="shared" si="73"/>
        <v>930</v>
      </c>
      <c r="K1199">
        <f t="shared" si="74"/>
        <v>0</v>
      </c>
      <c r="L1199" t="str">
        <f t="shared" si="75"/>
        <v>Low Stock</v>
      </c>
    </row>
    <row r="1200" spans="1:12" x14ac:dyDescent="0.45">
      <c r="A1200" s="20" t="s">
        <v>456</v>
      </c>
      <c r="B1200" s="6">
        <v>-60</v>
      </c>
      <c r="C1200" s="6">
        <v>0</v>
      </c>
      <c r="D1200" s="6">
        <v>80</v>
      </c>
      <c r="E1200" s="6">
        <v>5</v>
      </c>
      <c r="F1200" s="6">
        <v>5</v>
      </c>
      <c r="G1200" s="15">
        <v>46087</v>
      </c>
      <c r="H1200" s="15" t="str">
        <f t="shared" si="72"/>
        <v>Friday</v>
      </c>
      <c r="I1200" s="11">
        <v>132</v>
      </c>
      <c r="J1200" s="24">
        <f t="shared" si="73"/>
        <v>10560</v>
      </c>
      <c r="K1200">
        <f t="shared" si="74"/>
        <v>0</v>
      </c>
      <c r="L1200" t="str">
        <f t="shared" si="75"/>
        <v>Low Stock</v>
      </c>
    </row>
    <row r="1201" spans="1:12" x14ac:dyDescent="0.45">
      <c r="A1201" s="21" t="s">
        <v>537</v>
      </c>
      <c r="B1201" s="7">
        <v>20</v>
      </c>
      <c r="C1201" s="7">
        <v>10</v>
      </c>
      <c r="D1201" s="7">
        <v>60</v>
      </c>
      <c r="E1201" s="7">
        <v>3</v>
      </c>
      <c r="F1201" s="7">
        <v>3</v>
      </c>
      <c r="G1201" s="16">
        <v>46087</v>
      </c>
      <c r="H1201" s="16" t="str">
        <f t="shared" si="72"/>
        <v>Friday</v>
      </c>
      <c r="I1201" s="12">
        <v>122</v>
      </c>
      <c r="J1201" s="9">
        <f t="shared" si="73"/>
        <v>7320</v>
      </c>
      <c r="K1201">
        <f t="shared" si="74"/>
        <v>20</v>
      </c>
      <c r="L1201" t="str">
        <f t="shared" si="75"/>
        <v>OK</v>
      </c>
    </row>
    <row r="1202" spans="1:12" x14ac:dyDescent="0.45">
      <c r="A1202" s="20" t="s">
        <v>679</v>
      </c>
      <c r="B1202" s="6">
        <v>15</v>
      </c>
      <c r="C1202" s="6">
        <v>15</v>
      </c>
      <c r="D1202" s="6">
        <v>30</v>
      </c>
      <c r="E1202" s="6">
        <v>2</v>
      </c>
      <c r="F1202" s="6">
        <v>2</v>
      </c>
      <c r="G1202" s="15">
        <v>46085</v>
      </c>
      <c r="H1202" s="15" t="str">
        <f t="shared" si="72"/>
        <v>Wednesday</v>
      </c>
      <c r="I1202" s="11">
        <v>85</v>
      </c>
      <c r="J1202" s="24">
        <f t="shared" si="73"/>
        <v>2550</v>
      </c>
      <c r="K1202">
        <f t="shared" si="74"/>
        <v>15</v>
      </c>
      <c r="L1202" t="str">
        <f t="shared" si="75"/>
        <v>OK</v>
      </c>
    </row>
    <row r="1203" spans="1:12" x14ac:dyDescent="0.45">
      <c r="A1203" s="21" t="s">
        <v>881</v>
      </c>
      <c r="B1203" s="7">
        <v>3</v>
      </c>
      <c r="C1203" s="7">
        <v>22</v>
      </c>
      <c r="D1203" s="7">
        <v>4</v>
      </c>
      <c r="E1203" s="7">
        <v>3</v>
      </c>
      <c r="F1203" s="7">
        <v>3</v>
      </c>
      <c r="G1203" s="16">
        <v>46086</v>
      </c>
      <c r="H1203" s="16" t="str">
        <f t="shared" si="72"/>
        <v>Thursday</v>
      </c>
      <c r="I1203" s="12">
        <v>76</v>
      </c>
      <c r="J1203" s="9">
        <f t="shared" si="73"/>
        <v>304</v>
      </c>
      <c r="K1203">
        <f t="shared" si="74"/>
        <v>3</v>
      </c>
      <c r="L1203" t="str">
        <f t="shared" si="75"/>
        <v>Low Stock</v>
      </c>
    </row>
    <row r="1204" spans="1:12" x14ac:dyDescent="0.45">
      <c r="A1204" s="20" t="s">
        <v>891</v>
      </c>
      <c r="B1204" s="6">
        <v>75</v>
      </c>
      <c r="C1204" s="6">
        <v>30</v>
      </c>
      <c r="D1204" s="6">
        <v>75</v>
      </c>
      <c r="E1204" s="6">
        <v>7</v>
      </c>
      <c r="F1204" s="6">
        <v>5</v>
      </c>
      <c r="G1204" s="15">
        <v>46083</v>
      </c>
      <c r="H1204" s="15" t="str">
        <f t="shared" si="72"/>
        <v>Monday</v>
      </c>
      <c r="I1204" s="11">
        <v>83</v>
      </c>
      <c r="J1204" s="24">
        <f t="shared" si="73"/>
        <v>6225</v>
      </c>
      <c r="K1204">
        <f t="shared" si="74"/>
        <v>75</v>
      </c>
      <c r="L1204" t="str">
        <f t="shared" si="75"/>
        <v>OK</v>
      </c>
    </row>
    <row r="1205" spans="1:12" x14ac:dyDescent="0.45">
      <c r="A1205" s="21" t="s">
        <v>977</v>
      </c>
      <c r="B1205" s="7">
        <v>30</v>
      </c>
      <c r="C1205" s="7">
        <v>30</v>
      </c>
      <c r="D1205" s="7">
        <v>30</v>
      </c>
      <c r="E1205" s="7">
        <v>2</v>
      </c>
      <c r="F1205" s="7">
        <v>2</v>
      </c>
      <c r="G1205" s="16">
        <v>46087</v>
      </c>
      <c r="H1205" s="16" t="str">
        <f t="shared" si="72"/>
        <v>Friday</v>
      </c>
      <c r="I1205" s="12">
        <v>62</v>
      </c>
      <c r="J1205" s="9">
        <f t="shared" si="73"/>
        <v>1860</v>
      </c>
      <c r="K1205">
        <f t="shared" si="74"/>
        <v>30</v>
      </c>
      <c r="L1205" t="str">
        <f t="shared" si="75"/>
        <v>OK</v>
      </c>
    </row>
    <row r="1206" spans="1:12" x14ac:dyDescent="0.45">
      <c r="A1206" s="20" t="s">
        <v>1144</v>
      </c>
      <c r="B1206" s="6">
        <v>8</v>
      </c>
      <c r="C1206" s="6">
        <v>16</v>
      </c>
      <c r="D1206" s="6">
        <v>15</v>
      </c>
      <c r="E1206" s="6">
        <v>7</v>
      </c>
      <c r="F1206" s="6">
        <v>7</v>
      </c>
      <c r="G1206" s="15">
        <v>46087</v>
      </c>
      <c r="H1206" s="15" t="str">
        <f t="shared" si="72"/>
        <v>Friday</v>
      </c>
      <c r="I1206" s="11">
        <v>144</v>
      </c>
      <c r="J1206" s="24">
        <f t="shared" si="73"/>
        <v>2160</v>
      </c>
      <c r="K1206">
        <f t="shared" si="74"/>
        <v>8</v>
      </c>
      <c r="L1206" t="str">
        <f t="shared" si="75"/>
        <v>OK</v>
      </c>
    </row>
    <row r="1207" spans="1:12" x14ac:dyDescent="0.45">
      <c r="A1207" s="21" t="s">
        <v>81</v>
      </c>
      <c r="B1207" s="7">
        <v>7</v>
      </c>
      <c r="C1207" s="7">
        <v>4</v>
      </c>
      <c r="D1207" s="7">
        <v>49</v>
      </c>
      <c r="E1207" s="7">
        <v>4</v>
      </c>
      <c r="F1207" s="7">
        <v>4</v>
      </c>
      <c r="G1207" s="16">
        <v>46087</v>
      </c>
      <c r="H1207" s="16" t="str">
        <f t="shared" si="72"/>
        <v>Friday</v>
      </c>
      <c r="I1207" s="12">
        <v>100</v>
      </c>
      <c r="J1207" s="9">
        <f t="shared" si="73"/>
        <v>4900</v>
      </c>
      <c r="K1207">
        <f t="shared" si="74"/>
        <v>7</v>
      </c>
      <c r="L1207" t="str">
        <f t="shared" si="75"/>
        <v>OK</v>
      </c>
    </row>
    <row r="1208" spans="1:12" x14ac:dyDescent="0.45">
      <c r="A1208" s="20" t="s">
        <v>105</v>
      </c>
      <c r="B1208" s="6">
        <v>-30</v>
      </c>
      <c r="C1208" s="6">
        <v>0</v>
      </c>
      <c r="D1208" s="6">
        <v>30</v>
      </c>
      <c r="E1208" s="6">
        <v>1</v>
      </c>
      <c r="F1208" s="6">
        <v>1</v>
      </c>
      <c r="G1208" s="15">
        <v>46083</v>
      </c>
      <c r="H1208" s="15" t="str">
        <f t="shared" si="72"/>
        <v>Monday</v>
      </c>
      <c r="I1208" s="11">
        <v>87</v>
      </c>
      <c r="J1208" s="24">
        <f t="shared" si="73"/>
        <v>2610</v>
      </c>
      <c r="K1208">
        <f t="shared" si="74"/>
        <v>0</v>
      </c>
      <c r="L1208" t="str">
        <f t="shared" si="75"/>
        <v>Low Stock</v>
      </c>
    </row>
    <row r="1209" spans="1:12" x14ac:dyDescent="0.45">
      <c r="A1209" s="21" t="s">
        <v>420</v>
      </c>
      <c r="B1209" s="7">
        <v>30</v>
      </c>
      <c r="C1209" s="7">
        <v>5</v>
      </c>
      <c r="D1209" s="7">
        <v>180</v>
      </c>
      <c r="E1209" s="7">
        <v>3</v>
      </c>
      <c r="F1209" s="7">
        <v>3</v>
      </c>
      <c r="G1209" s="16">
        <v>46085</v>
      </c>
      <c r="H1209" s="16" t="str">
        <f t="shared" si="72"/>
        <v>Wednesday</v>
      </c>
      <c r="I1209" s="12">
        <v>143</v>
      </c>
      <c r="J1209" s="9">
        <f t="shared" si="73"/>
        <v>25740</v>
      </c>
      <c r="K1209">
        <f t="shared" si="74"/>
        <v>30</v>
      </c>
      <c r="L1209" t="str">
        <f t="shared" si="75"/>
        <v>OK</v>
      </c>
    </row>
    <row r="1210" spans="1:12" x14ac:dyDescent="0.45">
      <c r="A1210" s="20" t="s">
        <v>579</v>
      </c>
      <c r="B1210" s="6">
        <v>4</v>
      </c>
      <c r="C1210" s="6">
        <v>15</v>
      </c>
      <c r="D1210" s="6">
        <v>8</v>
      </c>
      <c r="E1210" s="6">
        <v>2</v>
      </c>
      <c r="F1210" s="6">
        <v>2</v>
      </c>
      <c r="G1210" s="15">
        <v>46086</v>
      </c>
      <c r="H1210" s="15" t="str">
        <f t="shared" si="72"/>
        <v>Thursday</v>
      </c>
      <c r="I1210" s="11">
        <v>143</v>
      </c>
      <c r="J1210" s="24">
        <f t="shared" si="73"/>
        <v>1144</v>
      </c>
      <c r="K1210">
        <f t="shared" si="74"/>
        <v>4</v>
      </c>
      <c r="L1210" t="str">
        <f t="shared" si="75"/>
        <v>Low Stock</v>
      </c>
    </row>
    <row r="1211" spans="1:12" x14ac:dyDescent="0.45">
      <c r="A1211" s="21" t="s">
        <v>760</v>
      </c>
      <c r="B1211" s="7">
        <v>150</v>
      </c>
      <c r="C1211" s="7">
        <v>27</v>
      </c>
      <c r="D1211" s="7">
        <v>165</v>
      </c>
      <c r="E1211" s="7">
        <v>9</v>
      </c>
      <c r="F1211" s="7">
        <v>8</v>
      </c>
      <c r="G1211" s="16">
        <v>46088</v>
      </c>
      <c r="H1211" s="16" t="str">
        <f t="shared" si="72"/>
        <v>Saturday</v>
      </c>
      <c r="I1211" s="12">
        <v>132</v>
      </c>
      <c r="J1211" s="9">
        <f t="shared" si="73"/>
        <v>21780</v>
      </c>
      <c r="K1211">
        <f t="shared" si="74"/>
        <v>150</v>
      </c>
      <c r="L1211" t="str">
        <f t="shared" si="75"/>
        <v>OK</v>
      </c>
    </row>
    <row r="1212" spans="1:12" x14ac:dyDescent="0.45">
      <c r="A1212" s="20" t="s">
        <v>786</v>
      </c>
      <c r="B1212" s="6">
        <v>80</v>
      </c>
      <c r="C1212" s="6">
        <v>30</v>
      </c>
      <c r="D1212" s="6">
        <v>80</v>
      </c>
      <c r="E1212" s="6">
        <v>6</v>
      </c>
      <c r="F1212" s="6">
        <v>6</v>
      </c>
      <c r="G1212" s="15">
        <v>46083</v>
      </c>
      <c r="H1212" s="15" t="str">
        <f t="shared" si="72"/>
        <v>Monday</v>
      </c>
      <c r="I1212" s="11">
        <v>134</v>
      </c>
      <c r="J1212" s="24">
        <f t="shared" si="73"/>
        <v>10720</v>
      </c>
      <c r="K1212">
        <f t="shared" si="74"/>
        <v>80</v>
      </c>
      <c r="L1212" t="str">
        <f t="shared" si="75"/>
        <v>OK</v>
      </c>
    </row>
    <row r="1213" spans="1:12" x14ac:dyDescent="0.45">
      <c r="A1213" s="21" t="s">
        <v>797</v>
      </c>
      <c r="B1213" s="7">
        <v>20</v>
      </c>
      <c r="C1213" s="7">
        <v>20</v>
      </c>
      <c r="D1213" s="7">
        <v>30</v>
      </c>
      <c r="E1213" s="7">
        <v>3</v>
      </c>
      <c r="F1213" s="7">
        <v>3</v>
      </c>
      <c r="G1213" s="16">
        <v>46088</v>
      </c>
      <c r="H1213" s="16" t="str">
        <f t="shared" si="72"/>
        <v>Saturday</v>
      </c>
      <c r="I1213" s="12">
        <v>125</v>
      </c>
      <c r="J1213" s="9">
        <f t="shared" si="73"/>
        <v>3750</v>
      </c>
      <c r="K1213">
        <f t="shared" si="74"/>
        <v>20</v>
      </c>
      <c r="L1213" t="str">
        <f t="shared" si="75"/>
        <v>OK</v>
      </c>
    </row>
    <row r="1214" spans="1:12" x14ac:dyDescent="0.45">
      <c r="A1214" s="20" t="s">
        <v>866</v>
      </c>
      <c r="B1214" s="6">
        <v>40</v>
      </c>
      <c r="C1214" s="6">
        <v>20</v>
      </c>
      <c r="D1214" s="6">
        <v>60</v>
      </c>
      <c r="E1214" s="6">
        <v>4</v>
      </c>
      <c r="F1214" s="6">
        <v>4</v>
      </c>
      <c r="G1214" s="15">
        <v>46084</v>
      </c>
      <c r="H1214" s="15" t="str">
        <f t="shared" si="72"/>
        <v>Tuesday</v>
      </c>
      <c r="I1214" s="11">
        <v>73</v>
      </c>
      <c r="J1214" s="24">
        <f t="shared" si="73"/>
        <v>4380</v>
      </c>
      <c r="K1214">
        <f t="shared" si="74"/>
        <v>40</v>
      </c>
      <c r="L1214" t="str">
        <f t="shared" si="75"/>
        <v>OK</v>
      </c>
    </row>
    <row r="1215" spans="1:12" x14ac:dyDescent="0.45">
      <c r="A1215" s="21" t="s">
        <v>1009</v>
      </c>
      <c r="B1215" s="7">
        <v>1</v>
      </c>
      <c r="C1215" s="7">
        <v>30</v>
      </c>
      <c r="D1215" s="7">
        <v>1</v>
      </c>
      <c r="E1215" s="7">
        <v>1</v>
      </c>
      <c r="F1215" s="7">
        <v>1</v>
      </c>
      <c r="G1215" s="16">
        <v>46082</v>
      </c>
      <c r="H1215" s="16" t="str">
        <f t="shared" si="72"/>
        <v>Sunday</v>
      </c>
      <c r="I1215" s="12">
        <v>67</v>
      </c>
      <c r="J1215" s="9">
        <f t="shared" si="73"/>
        <v>67</v>
      </c>
      <c r="K1215">
        <f t="shared" si="74"/>
        <v>1</v>
      </c>
      <c r="L1215" t="str">
        <f t="shared" si="75"/>
        <v>Low Stock</v>
      </c>
    </row>
    <row r="1216" spans="1:12" x14ac:dyDescent="0.45">
      <c r="A1216" s="20" t="s">
        <v>402</v>
      </c>
      <c r="B1216" s="6">
        <v>-45</v>
      </c>
      <c r="C1216" s="6">
        <v>0</v>
      </c>
      <c r="D1216" s="6">
        <v>90</v>
      </c>
      <c r="E1216" s="6">
        <v>6</v>
      </c>
      <c r="F1216" s="6">
        <v>5</v>
      </c>
      <c r="G1216" s="15">
        <v>46083</v>
      </c>
      <c r="H1216" s="15" t="str">
        <f t="shared" si="72"/>
        <v>Monday</v>
      </c>
      <c r="I1216" s="11">
        <v>144</v>
      </c>
      <c r="J1216" s="24">
        <f t="shared" si="73"/>
        <v>12960</v>
      </c>
      <c r="K1216">
        <f t="shared" si="74"/>
        <v>0</v>
      </c>
      <c r="L1216" t="str">
        <f t="shared" si="75"/>
        <v>Low Stock</v>
      </c>
    </row>
    <row r="1217" spans="1:12" x14ac:dyDescent="0.45">
      <c r="A1217" s="21" t="s">
        <v>567</v>
      </c>
      <c r="B1217" s="7">
        <v>14</v>
      </c>
      <c r="C1217" s="7">
        <v>10</v>
      </c>
      <c r="D1217" s="7">
        <v>42</v>
      </c>
      <c r="E1217" s="7">
        <v>3</v>
      </c>
      <c r="F1217" s="7">
        <v>3</v>
      </c>
      <c r="G1217" s="16">
        <v>46083</v>
      </c>
      <c r="H1217" s="16" t="str">
        <f t="shared" si="72"/>
        <v>Monday</v>
      </c>
      <c r="I1217" s="12">
        <v>149</v>
      </c>
      <c r="J1217" s="9">
        <f t="shared" si="73"/>
        <v>6258</v>
      </c>
      <c r="K1217">
        <f t="shared" si="74"/>
        <v>14</v>
      </c>
      <c r="L1217" t="str">
        <f t="shared" si="75"/>
        <v>OK</v>
      </c>
    </row>
    <row r="1218" spans="1:12" x14ac:dyDescent="0.45">
      <c r="A1218" s="20" t="s">
        <v>665</v>
      </c>
      <c r="B1218" s="6">
        <v>30</v>
      </c>
      <c r="C1218" s="6">
        <v>12</v>
      </c>
      <c r="D1218" s="6">
        <v>75</v>
      </c>
      <c r="E1218" s="6">
        <v>3</v>
      </c>
      <c r="F1218" s="6">
        <v>3</v>
      </c>
      <c r="G1218" s="15">
        <v>46086</v>
      </c>
      <c r="H1218" s="15" t="str">
        <f t="shared" ref="H1218:H1270" si="76">TEXT(G1218,"dddd")</f>
        <v>Thursday</v>
      </c>
      <c r="I1218" s="11">
        <v>86</v>
      </c>
      <c r="J1218" s="24">
        <f t="shared" ref="J1218:J1270" si="77">D1218*I1218</f>
        <v>6450</v>
      </c>
      <c r="K1218">
        <f t="shared" ref="K1218:K1270" si="78">IF(B1218&lt;0,0,B1218)</f>
        <v>30</v>
      </c>
      <c r="L1218" t="str">
        <f t="shared" ref="L1218:L1270" si="79">IF(K1218&lt;5,"Low Stock","OK")</f>
        <v>OK</v>
      </c>
    </row>
    <row r="1219" spans="1:12" x14ac:dyDescent="0.45">
      <c r="A1219" s="21" t="s">
        <v>732</v>
      </c>
      <c r="B1219" s="7">
        <v>240</v>
      </c>
      <c r="C1219" s="7">
        <v>17</v>
      </c>
      <c r="D1219" s="7">
        <v>420</v>
      </c>
      <c r="E1219" s="7">
        <v>18</v>
      </c>
      <c r="F1219" s="7">
        <v>14</v>
      </c>
      <c r="G1219" s="16">
        <v>46083</v>
      </c>
      <c r="H1219" s="16" t="str">
        <f t="shared" si="76"/>
        <v>Monday</v>
      </c>
      <c r="I1219" s="12">
        <v>108</v>
      </c>
      <c r="J1219" s="9">
        <f t="shared" si="77"/>
        <v>45360</v>
      </c>
      <c r="K1219">
        <f t="shared" si="78"/>
        <v>240</v>
      </c>
      <c r="L1219" t="str">
        <f t="shared" si="79"/>
        <v>OK</v>
      </c>
    </row>
    <row r="1220" spans="1:12" x14ac:dyDescent="0.45">
      <c r="A1220" s="20" t="s">
        <v>933</v>
      </c>
      <c r="B1220" s="6">
        <v>20</v>
      </c>
      <c r="C1220" s="6">
        <v>30</v>
      </c>
      <c r="D1220" s="6">
        <v>20</v>
      </c>
      <c r="E1220" s="6">
        <v>2</v>
      </c>
      <c r="F1220" s="6">
        <v>2</v>
      </c>
      <c r="G1220" s="15">
        <v>46088</v>
      </c>
      <c r="H1220" s="15" t="str">
        <f t="shared" si="76"/>
        <v>Saturday</v>
      </c>
      <c r="I1220" s="11">
        <v>73</v>
      </c>
      <c r="J1220" s="24">
        <f t="shared" si="77"/>
        <v>1460</v>
      </c>
      <c r="K1220">
        <f t="shared" si="78"/>
        <v>20</v>
      </c>
      <c r="L1220" t="str">
        <f t="shared" si="79"/>
        <v>OK</v>
      </c>
    </row>
    <row r="1221" spans="1:12" x14ac:dyDescent="0.45">
      <c r="A1221" s="21" t="s">
        <v>1037</v>
      </c>
      <c r="B1221" s="7">
        <v>20</v>
      </c>
      <c r="C1221" s="7">
        <v>30</v>
      </c>
      <c r="D1221" s="7">
        <v>20</v>
      </c>
      <c r="E1221" s="7">
        <v>2</v>
      </c>
      <c r="F1221" s="7">
        <v>2</v>
      </c>
      <c r="G1221" s="16">
        <v>46082</v>
      </c>
      <c r="H1221" s="16" t="str">
        <f t="shared" si="76"/>
        <v>Sunday</v>
      </c>
      <c r="I1221" s="12">
        <v>90</v>
      </c>
      <c r="J1221" s="9">
        <f t="shared" si="77"/>
        <v>1800</v>
      </c>
      <c r="K1221">
        <f t="shared" si="78"/>
        <v>20</v>
      </c>
      <c r="L1221" t="str">
        <f t="shared" si="79"/>
        <v>OK</v>
      </c>
    </row>
    <row r="1222" spans="1:12" x14ac:dyDescent="0.45">
      <c r="A1222" s="20" t="s">
        <v>1062</v>
      </c>
      <c r="B1222" s="6">
        <v>37</v>
      </c>
      <c r="C1222" s="6">
        <v>27</v>
      </c>
      <c r="D1222" s="6">
        <v>40</v>
      </c>
      <c r="E1222" s="6">
        <v>4</v>
      </c>
      <c r="F1222" s="6">
        <v>3</v>
      </c>
      <c r="G1222" s="15">
        <v>46088</v>
      </c>
      <c r="H1222" s="15" t="str">
        <f t="shared" si="76"/>
        <v>Saturday</v>
      </c>
      <c r="I1222" s="11">
        <v>85</v>
      </c>
      <c r="J1222" s="24">
        <f t="shared" si="77"/>
        <v>3400</v>
      </c>
      <c r="K1222">
        <f t="shared" si="78"/>
        <v>37</v>
      </c>
      <c r="L1222" t="str">
        <f t="shared" si="79"/>
        <v>OK</v>
      </c>
    </row>
    <row r="1223" spans="1:12" x14ac:dyDescent="0.45">
      <c r="A1223" s="21" t="s">
        <v>1214</v>
      </c>
      <c r="B1223" s="7">
        <v>30</v>
      </c>
      <c r="C1223" s="7">
        <v>30</v>
      </c>
      <c r="D1223" s="7">
        <v>30</v>
      </c>
      <c r="E1223" s="7">
        <v>1</v>
      </c>
      <c r="F1223" s="7">
        <v>1</v>
      </c>
      <c r="G1223" s="16">
        <v>46087</v>
      </c>
      <c r="H1223" s="16" t="str">
        <f t="shared" si="76"/>
        <v>Friday</v>
      </c>
      <c r="I1223" s="12">
        <v>88</v>
      </c>
      <c r="J1223" s="9">
        <f t="shared" si="77"/>
        <v>2640</v>
      </c>
      <c r="K1223">
        <f t="shared" si="78"/>
        <v>30</v>
      </c>
      <c r="L1223" t="str">
        <f t="shared" si="79"/>
        <v>OK</v>
      </c>
    </row>
    <row r="1224" spans="1:12" x14ac:dyDescent="0.45">
      <c r="A1224" s="20" t="s">
        <v>127</v>
      </c>
      <c r="B1224" s="6">
        <v>10</v>
      </c>
      <c r="C1224" s="6">
        <v>7</v>
      </c>
      <c r="D1224" s="6">
        <v>40</v>
      </c>
      <c r="E1224" s="6">
        <v>3</v>
      </c>
      <c r="F1224" s="6">
        <v>2</v>
      </c>
      <c r="G1224" s="15">
        <v>46084</v>
      </c>
      <c r="H1224" s="15" t="str">
        <f t="shared" si="76"/>
        <v>Tuesday</v>
      </c>
      <c r="I1224" s="11">
        <v>60</v>
      </c>
      <c r="J1224" s="24">
        <f t="shared" si="77"/>
        <v>2400</v>
      </c>
      <c r="K1224">
        <f t="shared" si="78"/>
        <v>10</v>
      </c>
      <c r="L1224" t="str">
        <f t="shared" si="79"/>
        <v>OK</v>
      </c>
    </row>
    <row r="1225" spans="1:12" x14ac:dyDescent="0.45">
      <c r="A1225" s="21" t="s">
        <v>146</v>
      </c>
      <c r="B1225" s="7">
        <v>-90</v>
      </c>
      <c r="C1225" s="7">
        <v>0</v>
      </c>
      <c r="D1225" s="7">
        <v>40</v>
      </c>
      <c r="E1225" s="7">
        <v>2</v>
      </c>
      <c r="F1225" s="7">
        <v>2</v>
      </c>
      <c r="G1225" s="16">
        <v>46083</v>
      </c>
      <c r="H1225" s="16" t="str">
        <f t="shared" si="76"/>
        <v>Monday</v>
      </c>
      <c r="I1225" s="12">
        <v>105</v>
      </c>
      <c r="J1225" s="9">
        <f t="shared" si="77"/>
        <v>4200</v>
      </c>
      <c r="K1225">
        <f t="shared" si="78"/>
        <v>0</v>
      </c>
      <c r="L1225" t="str">
        <f t="shared" si="79"/>
        <v>Low Stock</v>
      </c>
    </row>
    <row r="1226" spans="1:12" x14ac:dyDescent="0.45">
      <c r="A1226" s="20" t="s">
        <v>193</v>
      </c>
      <c r="B1226" s="6">
        <v>-40</v>
      </c>
      <c r="C1226" s="6">
        <v>0</v>
      </c>
      <c r="D1226" s="6">
        <v>40</v>
      </c>
      <c r="E1226" s="6">
        <v>2</v>
      </c>
      <c r="F1226" s="6">
        <v>2</v>
      </c>
      <c r="G1226" s="15">
        <v>46086</v>
      </c>
      <c r="H1226" s="15" t="str">
        <f t="shared" si="76"/>
        <v>Thursday</v>
      </c>
      <c r="I1226" s="11">
        <v>100</v>
      </c>
      <c r="J1226" s="24">
        <f t="shared" si="77"/>
        <v>4000</v>
      </c>
      <c r="K1226">
        <f t="shared" si="78"/>
        <v>0</v>
      </c>
      <c r="L1226" t="str">
        <f t="shared" si="79"/>
        <v>Low Stock</v>
      </c>
    </row>
    <row r="1227" spans="1:12" x14ac:dyDescent="0.45">
      <c r="A1227" s="21" t="s">
        <v>827</v>
      </c>
      <c r="B1227" s="7">
        <v>20</v>
      </c>
      <c r="C1227" s="7">
        <v>30</v>
      </c>
      <c r="D1227" s="7">
        <v>20</v>
      </c>
      <c r="E1227" s="7">
        <v>2</v>
      </c>
      <c r="F1227" s="7">
        <v>2</v>
      </c>
      <c r="G1227" s="16">
        <v>46087</v>
      </c>
      <c r="H1227" s="16" t="str">
        <f t="shared" si="76"/>
        <v>Friday</v>
      </c>
      <c r="I1227" s="12">
        <v>79</v>
      </c>
      <c r="J1227" s="9">
        <f t="shared" si="77"/>
        <v>1580</v>
      </c>
      <c r="K1227">
        <f t="shared" si="78"/>
        <v>20</v>
      </c>
      <c r="L1227" t="str">
        <f t="shared" si="79"/>
        <v>OK</v>
      </c>
    </row>
    <row r="1228" spans="1:12" x14ac:dyDescent="0.45">
      <c r="A1228" s="20" t="s">
        <v>879</v>
      </c>
      <c r="B1228" s="6">
        <v>60</v>
      </c>
      <c r="C1228" s="6">
        <v>24</v>
      </c>
      <c r="D1228" s="6">
        <v>75</v>
      </c>
      <c r="E1228" s="6">
        <v>3</v>
      </c>
      <c r="F1228" s="6">
        <v>3</v>
      </c>
      <c r="G1228" s="15">
        <v>46086</v>
      </c>
      <c r="H1228" s="15" t="str">
        <f t="shared" si="76"/>
        <v>Thursday</v>
      </c>
      <c r="I1228" s="11">
        <v>86</v>
      </c>
      <c r="J1228" s="24">
        <f t="shared" si="77"/>
        <v>6450</v>
      </c>
      <c r="K1228">
        <f t="shared" si="78"/>
        <v>60</v>
      </c>
      <c r="L1228" t="str">
        <f t="shared" si="79"/>
        <v>OK</v>
      </c>
    </row>
    <row r="1229" spans="1:12" x14ac:dyDescent="0.45">
      <c r="A1229" s="21" t="s">
        <v>1019</v>
      </c>
      <c r="B1229" s="7">
        <v>30</v>
      </c>
      <c r="C1229" s="7">
        <v>20</v>
      </c>
      <c r="D1229" s="7">
        <v>45</v>
      </c>
      <c r="E1229" s="7">
        <v>3</v>
      </c>
      <c r="F1229" s="7">
        <v>3</v>
      </c>
      <c r="G1229" s="16">
        <v>46087</v>
      </c>
      <c r="H1229" s="16" t="str">
        <f t="shared" si="76"/>
        <v>Friday</v>
      </c>
      <c r="I1229" s="12">
        <v>127</v>
      </c>
      <c r="J1229" s="9">
        <f t="shared" si="77"/>
        <v>5715</v>
      </c>
      <c r="K1229">
        <f t="shared" si="78"/>
        <v>30</v>
      </c>
      <c r="L1229" t="str">
        <f t="shared" si="79"/>
        <v>OK</v>
      </c>
    </row>
    <row r="1230" spans="1:12" x14ac:dyDescent="0.45">
      <c r="A1230" s="20" t="s">
        <v>1059</v>
      </c>
      <c r="B1230" s="6">
        <v>15</v>
      </c>
      <c r="C1230" s="6">
        <v>30</v>
      </c>
      <c r="D1230" s="6">
        <v>15</v>
      </c>
      <c r="E1230" s="6">
        <v>1</v>
      </c>
      <c r="F1230" s="6">
        <v>1</v>
      </c>
      <c r="G1230" s="15">
        <v>46088</v>
      </c>
      <c r="H1230" s="15" t="str">
        <f t="shared" si="76"/>
        <v>Saturday</v>
      </c>
      <c r="I1230" s="11">
        <v>115</v>
      </c>
      <c r="J1230" s="24">
        <f t="shared" si="77"/>
        <v>1725</v>
      </c>
      <c r="K1230">
        <f t="shared" si="78"/>
        <v>15</v>
      </c>
      <c r="L1230" t="str">
        <f t="shared" si="79"/>
        <v>OK</v>
      </c>
    </row>
    <row r="1231" spans="1:12" x14ac:dyDescent="0.45">
      <c r="A1231" s="21" t="s">
        <v>1181</v>
      </c>
      <c r="B1231" s="7">
        <v>120</v>
      </c>
      <c r="C1231" s="7">
        <v>30</v>
      </c>
      <c r="D1231" s="7">
        <v>120</v>
      </c>
      <c r="E1231" s="7">
        <v>2</v>
      </c>
      <c r="F1231" s="7">
        <v>2</v>
      </c>
      <c r="G1231" s="16">
        <v>46082</v>
      </c>
      <c r="H1231" s="16" t="str">
        <f t="shared" si="76"/>
        <v>Sunday</v>
      </c>
      <c r="I1231" s="12">
        <v>69</v>
      </c>
      <c r="J1231" s="9">
        <f t="shared" si="77"/>
        <v>8280</v>
      </c>
      <c r="K1231">
        <f t="shared" si="78"/>
        <v>120</v>
      </c>
      <c r="L1231" t="str">
        <f t="shared" si="79"/>
        <v>OK</v>
      </c>
    </row>
    <row r="1232" spans="1:12" x14ac:dyDescent="0.45">
      <c r="A1232" s="20" t="s">
        <v>1253</v>
      </c>
      <c r="B1232" s="6">
        <v>20</v>
      </c>
      <c r="C1232" s="6">
        <v>30</v>
      </c>
      <c r="D1232" s="6">
        <v>20</v>
      </c>
      <c r="E1232" s="6">
        <v>2</v>
      </c>
      <c r="F1232" s="6">
        <v>1</v>
      </c>
      <c r="G1232" s="15">
        <v>46082</v>
      </c>
      <c r="H1232" s="15" t="str">
        <f t="shared" si="76"/>
        <v>Sunday</v>
      </c>
      <c r="I1232" s="11">
        <v>67</v>
      </c>
      <c r="J1232" s="24">
        <f t="shared" si="77"/>
        <v>1340</v>
      </c>
      <c r="K1232">
        <f t="shared" si="78"/>
        <v>20</v>
      </c>
      <c r="L1232" t="str">
        <f t="shared" si="79"/>
        <v>OK</v>
      </c>
    </row>
    <row r="1233" spans="1:12" x14ac:dyDescent="0.45">
      <c r="A1233" s="21" t="s">
        <v>1267</v>
      </c>
      <c r="B1233" s="7">
        <v>53</v>
      </c>
      <c r="C1233" s="7">
        <v>27</v>
      </c>
      <c r="D1233" s="7">
        <v>57</v>
      </c>
      <c r="E1233" s="7">
        <v>9</v>
      </c>
      <c r="F1233" s="7">
        <v>7</v>
      </c>
      <c r="G1233" s="16">
        <v>46085</v>
      </c>
      <c r="H1233" s="16" t="str">
        <f t="shared" si="76"/>
        <v>Wednesday</v>
      </c>
      <c r="I1233" s="12">
        <v>123</v>
      </c>
      <c r="J1233" s="9">
        <f t="shared" si="77"/>
        <v>7011</v>
      </c>
      <c r="K1233">
        <f t="shared" si="78"/>
        <v>53</v>
      </c>
      <c r="L1233" t="str">
        <f t="shared" si="79"/>
        <v>OK</v>
      </c>
    </row>
    <row r="1234" spans="1:12" x14ac:dyDescent="0.45">
      <c r="A1234" s="20" t="s">
        <v>1268</v>
      </c>
      <c r="B1234" s="6">
        <v>10</v>
      </c>
      <c r="C1234" s="6">
        <v>30</v>
      </c>
      <c r="D1234" s="6">
        <v>10</v>
      </c>
      <c r="E1234" s="6">
        <v>1</v>
      </c>
      <c r="F1234" s="6">
        <v>1</v>
      </c>
      <c r="G1234" s="15">
        <v>46083</v>
      </c>
      <c r="H1234" s="15" t="str">
        <f t="shared" si="76"/>
        <v>Monday</v>
      </c>
      <c r="I1234" s="11">
        <v>74</v>
      </c>
      <c r="J1234" s="24">
        <f t="shared" si="77"/>
        <v>740</v>
      </c>
      <c r="K1234">
        <f t="shared" si="78"/>
        <v>10</v>
      </c>
      <c r="L1234" t="str">
        <f t="shared" si="79"/>
        <v>OK</v>
      </c>
    </row>
    <row r="1235" spans="1:12" x14ac:dyDescent="0.45">
      <c r="A1235" s="21" t="s">
        <v>108</v>
      </c>
      <c r="B1235" s="7">
        <v>0</v>
      </c>
      <c r="C1235" s="7">
        <v>0</v>
      </c>
      <c r="D1235" s="7">
        <v>8</v>
      </c>
      <c r="E1235" s="7">
        <v>1</v>
      </c>
      <c r="F1235" s="7">
        <v>1</v>
      </c>
      <c r="G1235" s="16">
        <v>46085</v>
      </c>
      <c r="H1235" s="16" t="str">
        <f t="shared" si="76"/>
        <v>Wednesday</v>
      </c>
      <c r="I1235" s="12">
        <v>144</v>
      </c>
      <c r="J1235" s="9">
        <f t="shared" si="77"/>
        <v>1152</v>
      </c>
      <c r="K1235">
        <f t="shared" si="78"/>
        <v>0</v>
      </c>
      <c r="L1235" t="str">
        <f t="shared" si="79"/>
        <v>Low Stock</v>
      </c>
    </row>
    <row r="1236" spans="1:12" x14ac:dyDescent="0.45">
      <c r="A1236" s="20" t="s">
        <v>778</v>
      </c>
      <c r="B1236" s="6">
        <v>40</v>
      </c>
      <c r="C1236" s="6">
        <v>30</v>
      </c>
      <c r="D1236" s="6">
        <v>40</v>
      </c>
      <c r="E1236" s="6">
        <v>2</v>
      </c>
      <c r="F1236" s="6">
        <v>2</v>
      </c>
      <c r="G1236" s="15">
        <v>46084</v>
      </c>
      <c r="H1236" s="15" t="str">
        <f t="shared" si="76"/>
        <v>Tuesday</v>
      </c>
      <c r="I1236" s="11">
        <v>93</v>
      </c>
      <c r="J1236" s="24">
        <f t="shared" si="77"/>
        <v>3720</v>
      </c>
      <c r="K1236">
        <f t="shared" si="78"/>
        <v>40</v>
      </c>
      <c r="L1236" t="str">
        <f t="shared" si="79"/>
        <v>OK</v>
      </c>
    </row>
    <row r="1237" spans="1:12" x14ac:dyDescent="0.45">
      <c r="A1237" s="21" t="s">
        <v>823</v>
      </c>
      <c r="B1237" s="7">
        <v>20</v>
      </c>
      <c r="C1237" s="7">
        <v>20</v>
      </c>
      <c r="D1237" s="7">
        <v>30</v>
      </c>
      <c r="E1237" s="7">
        <v>3</v>
      </c>
      <c r="F1237" s="7">
        <v>3</v>
      </c>
      <c r="G1237" s="16">
        <v>46083</v>
      </c>
      <c r="H1237" s="16" t="str">
        <f t="shared" si="76"/>
        <v>Monday</v>
      </c>
      <c r="I1237" s="12">
        <v>122</v>
      </c>
      <c r="J1237" s="9">
        <f t="shared" si="77"/>
        <v>3660</v>
      </c>
      <c r="K1237">
        <f t="shared" si="78"/>
        <v>20</v>
      </c>
      <c r="L1237" t="str">
        <f t="shared" si="79"/>
        <v>OK</v>
      </c>
    </row>
    <row r="1238" spans="1:12" x14ac:dyDescent="0.45">
      <c r="A1238" s="20" t="s">
        <v>880</v>
      </c>
      <c r="B1238" s="6">
        <v>20</v>
      </c>
      <c r="C1238" s="6">
        <v>20</v>
      </c>
      <c r="D1238" s="6">
        <v>30</v>
      </c>
      <c r="E1238" s="6">
        <v>2</v>
      </c>
      <c r="F1238" s="6">
        <v>1</v>
      </c>
      <c r="G1238" s="15">
        <v>46087</v>
      </c>
      <c r="H1238" s="15" t="str">
        <f t="shared" si="76"/>
        <v>Friday</v>
      </c>
      <c r="I1238" s="11">
        <v>131</v>
      </c>
      <c r="J1238" s="24">
        <f t="shared" si="77"/>
        <v>3930</v>
      </c>
      <c r="K1238">
        <f t="shared" si="78"/>
        <v>20</v>
      </c>
      <c r="L1238" t="str">
        <f t="shared" si="79"/>
        <v>OK</v>
      </c>
    </row>
    <row r="1239" spans="1:12" x14ac:dyDescent="0.45">
      <c r="A1239" s="21" t="s">
        <v>902</v>
      </c>
      <c r="B1239" s="7">
        <v>60</v>
      </c>
      <c r="C1239" s="7">
        <v>30</v>
      </c>
      <c r="D1239" s="7">
        <v>60</v>
      </c>
      <c r="E1239" s="7">
        <v>4</v>
      </c>
      <c r="F1239" s="7">
        <v>4</v>
      </c>
      <c r="G1239" s="16">
        <v>46088</v>
      </c>
      <c r="H1239" s="16" t="str">
        <f t="shared" si="76"/>
        <v>Saturday</v>
      </c>
      <c r="I1239" s="12">
        <v>144</v>
      </c>
      <c r="J1239" s="9">
        <f t="shared" si="77"/>
        <v>8640</v>
      </c>
      <c r="K1239">
        <f t="shared" si="78"/>
        <v>60</v>
      </c>
      <c r="L1239" t="str">
        <f t="shared" si="79"/>
        <v>OK</v>
      </c>
    </row>
    <row r="1240" spans="1:12" x14ac:dyDescent="0.45">
      <c r="A1240" s="20" t="s">
        <v>908</v>
      </c>
      <c r="B1240" s="6">
        <v>40</v>
      </c>
      <c r="C1240" s="6">
        <v>30</v>
      </c>
      <c r="D1240" s="6">
        <v>40</v>
      </c>
      <c r="E1240" s="6">
        <v>4</v>
      </c>
      <c r="F1240" s="6">
        <v>4</v>
      </c>
      <c r="G1240" s="15">
        <v>46085</v>
      </c>
      <c r="H1240" s="15" t="str">
        <f t="shared" si="76"/>
        <v>Wednesday</v>
      </c>
      <c r="I1240" s="11">
        <v>140</v>
      </c>
      <c r="J1240" s="24">
        <f t="shared" si="77"/>
        <v>5600</v>
      </c>
      <c r="K1240">
        <f t="shared" si="78"/>
        <v>40</v>
      </c>
      <c r="L1240" t="str">
        <f t="shared" si="79"/>
        <v>OK</v>
      </c>
    </row>
    <row r="1241" spans="1:12" x14ac:dyDescent="0.45">
      <c r="A1241" s="21" t="s">
        <v>1096</v>
      </c>
      <c r="B1241" s="7">
        <v>10</v>
      </c>
      <c r="C1241" s="7">
        <v>30</v>
      </c>
      <c r="D1241" s="7">
        <v>10</v>
      </c>
      <c r="E1241" s="7">
        <v>1</v>
      </c>
      <c r="F1241" s="7">
        <v>1</v>
      </c>
      <c r="G1241" s="16">
        <v>46085</v>
      </c>
      <c r="H1241" s="16" t="str">
        <f t="shared" si="76"/>
        <v>Wednesday</v>
      </c>
      <c r="I1241" s="12">
        <v>99</v>
      </c>
      <c r="J1241" s="9">
        <f t="shared" si="77"/>
        <v>990</v>
      </c>
      <c r="K1241">
        <f t="shared" si="78"/>
        <v>10</v>
      </c>
      <c r="L1241" t="str">
        <f t="shared" si="79"/>
        <v>OK</v>
      </c>
    </row>
    <row r="1242" spans="1:12" x14ac:dyDescent="0.45">
      <c r="A1242" s="20" t="s">
        <v>12</v>
      </c>
      <c r="B1242" s="6">
        <v>40</v>
      </c>
      <c r="C1242" s="6">
        <v>4</v>
      </c>
      <c r="D1242" s="6">
        <v>290</v>
      </c>
      <c r="E1242" s="6">
        <v>18</v>
      </c>
      <c r="F1242" s="6">
        <v>13</v>
      </c>
      <c r="G1242" s="15">
        <v>46082</v>
      </c>
      <c r="H1242" s="15" t="str">
        <f t="shared" si="76"/>
        <v>Sunday</v>
      </c>
      <c r="I1242" s="11">
        <v>65</v>
      </c>
      <c r="J1242" s="24">
        <f t="shared" si="77"/>
        <v>18850</v>
      </c>
      <c r="K1242">
        <f t="shared" si="78"/>
        <v>40</v>
      </c>
      <c r="L1242" t="str">
        <f t="shared" si="79"/>
        <v>OK</v>
      </c>
    </row>
    <row r="1243" spans="1:12" x14ac:dyDescent="0.45">
      <c r="A1243" s="21" t="s">
        <v>15</v>
      </c>
      <c r="B1243" s="7">
        <v>15</v>
      </c>
      <c r="C1243" s="7">
        <v>3</v>
      </c>
      <c r="D1243" s="7">
        <v>120</v>
      </c>
      <c r="E1243" s="7">
        <v>8</v>
      </c>
      <c r="F1243" s="7">
        <v>7</v>
      </c>
      <c r="G1243" s="16">
        <v>46085</v>
      </c>
      <c r="H1243" s="16" t="str">
        <f t="shared" si="76"/>
        <v>Wednesday</v>
      </c>
      <c r="I1243" s="12">
        <v>93</v>
      </c>
      <c r="J1243" s="9">
        <f t="shared" si="77"/>
        <v>11160</v>
      </c>
      <c r="K1243">
        <f t="shared" si="78"/>
        <v>15</v>
      </c>
      <c r="L1243" t="str">
        <f t="shared" si="79"/>
        <v>OK</v>
      </c>
    </row>
    <row r="1244" spans="1:12" x14ac:dyDescent="0.45">
      <c r="A1244" s="20" t="s">
        <v>90</v>
      </c>
      <c r="B1244" s="6">
        <v>10</v>
      </c>
      <c r="C1244" s="6">
        <v>3</v>
      </c>
      <c r="D1244" s="6">
        <v>100</v>
      </c>
      <c r="E1244" s="6">
        <v>6</v>
      </c>
      <c r="F1244" s="6">
        <v>5</v>
      </c>
      <c r="G1244" s="15">
        <v>46087</v>
      </c>
      <c r="H1244" s="15" t="str">
        <f t="shared" si="76"/>
        <v>Friday</v>
      </c>
      <c r="I1244" s="11">
        <v>146</v>
      </c>
      <c r="J1244" s="24">
        <f t="shared" si="77"/>
        <v>14600</v>
      </c>
      <c r="K1244">
        <f t="shared" si="78"/>
        <v>10</v>
      </c>
      <c r="L1244" t="str">
        <f t="shared" si="79"/>
        <v>OK</v>
      </c>
    </row>
    <row r="1245" spans="1:12" x14ac:dyDescent="0.45">
      <c r="A1245" s="21" t="s">
        <v>616</v>
      </c>
      <c r="B1245" s="7">
        <v>12</v>
      </c>
      <c r="C1245" s="7">
        <v>15</v>
      </c>
      <c r="D1245" s="7">
        <v>24</v>
      </c>
      <c r="E1245" s="7">
        <v>3</v>
      </c>
      <c r="F1245" s="7">
        <v>3</v>
      </c>
      <c r="G1245" s="16">
        <v>46085</v>
      </c>
      <c r="H1245" s="16" t="str">
        <f t="shared" si="76"/>
        <v>Wednesday</v>
      </c>
      <c r="I1245" s="12">
        <v>110</v>
      </c>
      <c r="J1245" s="9">
        <f t="shared" si="77"/>
        <v>2640</v>
      </c>
      <c r="K1245">
        <f t="shared" si="78"/>
        <v>12</v>
      </c>
      <c r="L1245" t="str">
        <f t="shared" si="79"/>
        <v>OK</v>
      </c>
    </row>
    <row r="1246" spans="1:12" x14ac:dyDescent="0.45">
      <c r="A1246" s="20" t="s">
        <v>707</v>
      </c>
      <c r="B1246" s="6">
        <v>10</v>
      </c>
      <c r="C1246" s="6">
        <v>15</v>
      </c>
      <c r="D1246" s="6">
        <v>20</v>
      </c>
      <c r="E1246" s="6">
        <v>2</v>
      </c>
      <c r="F1246" s="6">
        <v>2</v>
      </c>
      <c r="G1246" s="15">
        <v>46084</v>
      </c>
      <c r="H1246" s="15" t="str">
        <f t="shared" si="76"/>
        <v>Tuesday</v>
      </c>
      <c r="I1246" s="11">
        <v>142</v>
      </c>
      <c r="J1246" s="24">
        <f t="shared" si="77"/>
        <v>2840</v>
      </c>
      <c r="K1246">
        <f t="shared" si="78"/>
        <v>10</v>
      </c>
      <c r="L1246" t="str">
        <f t="shared" si="79"/>
        <v>OK</v>
      </c>
    </row>
    <row r="1247" spans="1:12" x14ac:dyDescent="0.45">
      <c r="A1247" s="21" t="s">
        <v>892</v>
      </c>
      <c r="B1247" s="7">
        <v>16</v>
      </c>
      <c r="C1247" s="7">
        <v>16</v>
      </c>
      <c r="D1247" s="7">
        <v>30</v>
      </c>
      <c r="E1247" s="7">
        <v>3</v>
      </c>
      <c r="F1247" s="7">
        <v>3</v>
      </c>
      <c r="G1247" s="16">
        <v>46086</v>
      </c>
      <c r="H1247" s="16" t="str">
        <f t="shared" si="76"/>
        <v>Thursday</v>
      </c>
      <c r="I1247" s="12">
        <v>102</v>
      </c>
      <c r="J1247" s="9">
        <f t="shared" si="77"/>
        <v>3060</v>
      </c>
      <c r="K1247">
        <f t="shared" si="78"/>
        <v>16</v>
      </c>
      <c r="L1247" t="str">
        <f t="shared" si="79"/>
        <v>OK</v>
      </c>
    </row>
    <row r="1248" spans="1:12" x14ac:dyDescent="0.45">
      <c r="A1248" s="20" t="s">
        <v>1001</v>
      </c>
      <c r="B1248" s="6">
        <v>20</v>
      </c>
      <c r="C1248" s="6">
        <v>30</v>
      </c>
      <c r="D1248" s="6">
        <v>20</v>
      </c>
      <c r="E1248" s="6">
        <v>2</v>
      </c>
      <c r="F1248" s="6">
        <v>2</v>
      </c>
      <c r="G1248" s="15">
        <v>46085</v>
      </c>
      <c r="H1248" s="15" t="str">
        <f t="shared" si="76"/>
        <v>Wednesday</v>
      </c>
      <c r="I1248" s="11">
        <v>74</v>
      </c>
      <c r="J1248" s="24">
        <f t="shared" si="77"/>
        <v>1480</v>
      </c>
      <c r="K1248">
        <f t="shared" si="78"/>
        <v>20</v>
      </c>
      <c r="L1248" t="str">
        <f t="shared" si="79"/>
        <v>OK</v>
      </c>
    </row>
    <row r="1249" spans="1:12" x14ac:dyDescent="0.45">
      <c r="A1249" s="21" t="s">
        <v>1038</v>
      </c>
      <c r="B1249" s="7">
        <v>20</v>
      </c>
      <c r="C1249" s="7">
        <v>30</v>
      </c>
      <c r="D1249" s="7">
        <v>20</v>
      </c>
      <c r="E1249" s="7">
        <v>1</v>
      </c>
      <c r="F1249" s="7">
        <v>1</v>
      </c>
      <c r="G1249" s="16">
        <v>46088</v>
      </c>
      <c r="H1249" s="16" t="str">
        <f t="shared" si="76"/>
        <v>Saturday</v>
      </c>
      <c r="I1249" s="12">
        <v>124</v>
      </c>
      <c r="J1249" s="9">
        <f t="shared" si="77"/>
        <v>2480</v>
      </c>
      <c r="K1249">
        <f t="shared" si="78"/>
        <v>20</v>
      </c>
      <c r="L1249" t="str">
        <f t="shared" si="79"/>
        <v>OK</v>
      </c>
    </row>
    <row r="1250" spans="1:12" x14ac:dyDescent="0.45">
      <c r="A1250" s="20" t="s">
        <v>1044</v>
      </c>
      <c r="B1250" s="6">
        <v>30</v>
      </c>
      <c r="C1250" s="6">
        <v>30</v>
      </c>
      <c r="D1250" s="6">
        <v>30</v>
      </c>
      <c r="E1250" s="6">
        <v>2</v>
      </c>
      <c r="F1250" s="6">
        <v>2</v>
      </c>
      <c r="G1250" s="15">
        <v>46088</v>
      </c>
      <c r="H1250" s="15" t="str">
        <f t="shared" si="76"/>
        <v>Saturday</v>
      </c>
      <c r="I1250" s="11">
        <v>74</v>
      </c>
      <c r="J1250" s="24">
        <f t="shared" si="77"/>
        <v>2220</v>
      </c>
      <c r="K1250">
        <f t="shared" si="78"/>
        <v>30</v>
      </c>
      <c r="L1250" t="str">
        <f t="shared" si="79"/>
        <v>OK</v>
      </c>
    </row>
    <row r="1251" spans="1:12" x14ac:dyDescent="0.45">
      <c r="A1251" s="21" t="s">
        <v>1092</v>
      </c>
      <c r="B1251" s="7">
        <v>45</v>
      </c>
      <c r="C1251" s="7">
        <v>22</v>
      </c>
      <c r="D1251" s="7">
        <v>60</v>
      </c>
      <c r="E1251" s="7">
        <v>3</v>
      </c>
      <c r="F1251" s="7">
        <v>3</v>
      </c>
      <c r="G1251" s="16">
        <v>46085</v>
      </c>
      <c r="H1251" s="16" t="str">
        <f t="shared" si="76"/>
        <v>Wednesday</v>
      </c>
      <c r="I1251" s="12">
        <v>99</v>
      </c>
      <c r="J1251" s="9">
        <f t="shared" si="77"/>
        <v>5940</v>
      </c>
      <c r="K1251">
        <f t="shared" si="78"/>
        <v>45</v>
      </c>
      <c r="L1251" t="str">
        <f t="shared" si="79"/>
        <v>OK</v>
      </c>
    </row>
    <row r="1252" spans="1:12" x14ac:dyDescent="0.45">
      <c r="A1252" s="20" t="s">
        <v>24</v>
      </c>
      <c r="B1252" s="6">
        <v>-10</v>
      </c>
      <c r="C1252" s="6">
        <v>0</v>
      </c>
      <c r="D1252" s="6">
        <v>20</v>
      </c>
      <c r="E1252" s="6">
        <v>2</v>
      </c>
      <c r="F1252" s="6">
        <v>2</v>
      </c>
      <c r="G1252" s="15">
        <v>46088</v>
      </c>
      <c r="H1252" s="15" t="str">
        <f t="shared" si="76"/>
        <v>Saturday</v>
      </c>
      <c r="I1252" s="11">
        <v>139</v>
      </c>
      <c r="J1252" s="24">
        <f t="shared" si="77"/>
        <v>2780</v>
      </c>
      <c r="K1252">
        <f t="shared" si="78"/>
        <v>0</v>
      </c>
      <c r="L1252" t="str">
        <f t="shared" si="79"/>
        <v>Low Stock</v>
      </c>
    </row>
    <row r="1253" spans="1:12" x14ac:dyDescent="0.45">
      <c r="A1253" s="21" t="s">
        <v>141</v>
      </c>
      <c r="B1253" s="7">
        <v>15</v>
      </c>
      <c r="C1253" s="7">
        <v>7</v>
      </c>
      <c r="D1253" s="7">
        <v>60</v>
      </c>
      <c r="E1253" s="7">
        <v>3</v>
      </c>
      <c r="F1253" s="7">
        <v>3</v>
      </c>
      <c r="G1253" s="16">
        <v>46087</v>
      </c>
      <c r="H1253" s="16" t="str">
        <f t="shared" si="76"/>
        <v>Friday</v>
      </c>
      <c r="I1253" s="12">
        <v>68</v>
      </c>
      <c r="J1253" s="9">
        <f t="shared" si="77"/>
        <v>4080</v>
      </c>
      <c r="K1253">
        <f t="shared" si="78"/>
        <v>15</v>
      </c>
      <c r="L1253" t="str">
        <f t="shared" si="79"/>
        <v>OK</v>
      </c>
    </row>
    <row r="1254" spans="1:12" x14ac:dyDescent="0.45">
      <c r="A1254" s="20" t="s">
        <v>784</v>
      </c>
      <c r="B1254" s="6">
        <v>50</v>
      </c>
      <c r="C1254" s="6">
        <v>25</v>
      </c>
      <c r="D1254" s="6">
        <v>60</v>
      </c>
      <c r="E1254" s="6">
        <v>5</v>
      </c>
      <c r="F1254" s="6">
        <v>5</v>
      </c>
      <c r="G1254" s="15">
        <v>46088</v>
      </c>
      <c r="H1254" s="15" t="str">
        <f t="shared" si="76"/>
        <v>Saturday</v>
      </c>
      <c r="I1254" s="11">
        <v>90</v>
      </c>
      <c r="J1254" s="24">
        <f t="shared" si="77"/>
        <v>5400</v>
      </c>
      <c r="K1254">
        <f t="shared" si="78"/>
        <v>50</v>
      </c>
      <c r="L1254" t="str">
        <f t="shared" si="79"/>
        <v>OK</v>
      </c>
    </row>
    <row r="1255" spans="1:12" x14ac:dyDescent="0.45">
      <c r="A1255" s="21" t="s">
        <v>1029</v>
      </c>
      <c r="B1255" s="7">
        <v>30</v>
      </c>
      <c r="C1255" s="7">
        <v>22</v>
      </c>
      <c r="D1255" s="7">
        <v>40</v>
      </c>
      <c r="E1255" s="7">
        <v>3</v>
      </c>
      <c r="F1255" s="7">
        <v>3</v>
      </c>
      <c r="G1255" s="16">
        <v>46086</v>
      </c>
      <c r="H1255" s="16" t="str">
        <f t="shared" si="76"/>
        <v>Thursday</v>
      </c>
      <c r="I1255" s="12">
        <v>74</v>
      </c>
      <c r="J1255" s="9">
        <f t="shared" si="77"/>
        <v>2960</v>
      </c>
      <c r="K1255">
        <f t="shared" si="78"/>
        <v>30</v>
      </c>
      <c r="L1255" t="str">
        <f t="shared" si="79"/>
        <v>OK</v>
      </c>
    </row>
    <row r="1256" spans="1:12" x14ac:dyDescent="0.45">
      <c r="A1256" s="20" t="s">
        <v>536</v>
      </c>
      <c r="B1256" s="6">
        <v>20</v>
      </c>
      <c r="C1256" s="6">
        <v>10</v>
      </c>
      <c r="D1256" s="6">
        <v>60</v>
      </c>
      <c r="E1256" s="6">
        <v>2</v>
      </c>
      <c r="F1256" s="6">
        <v>2</v>
      </c>
      <c r="G1256" s="15">
        <v>46085</v>
      </c>
      <c r="H1256" s="15" t="str">
        <f t="shared" si="76"/>
        <v>Wednesday</v>
      </c>
      <c r="I1256" s="11">
        <v>104</v>
      </c>
      <c r="J1256" s="24">
        <f t="shared" si="77"/>
        <v>6240</v>
      </c>
      <c r="K1256">
        <f t="shared" si="78"/>
        <v>20</v>
      </c>
      <c r="L1256" t="str">
        <f t="shared" si="79"/>
        <v>OK</v>
      </c>
    </row>
    <row r="1257" spans="1:12" x14ac:dyDescent="0.45">
      <c r="A1257" s="21" t="s">
        <v>614</v>
      </c>
      <c r="B1257" s="7">
        <v>10</v>
      </c>
      <c r="C1257" s="7">
        <v>15</v>
      </c>
      <c r="D1257" s="7">
        <v>20</v>
      </c>
      <c r="E1257" s="7">
        <v>1</v>
      </c>
      <c r="F1257" s="7">
        <v>1</v>
      </c>
      <c r="G1257" s="16">
        <v>46088</v>
      </c>
      <c r="H1257" s="16" t="str">
        <f t="shared" si="76"/>
        <v>Saturday</v>
      </c>
      <c r="I1257" s="12">
        <v>63</v>
      </c>
      <c r="J1257" s="9">
        <f t="shared" si="77"/>
        <v>1260</v>
      </c>
      <c r="K1257">
        <f t="shared" si="78"/>
        <v>10</v>
      </c>
      <c r="L1257" t="str">
        <f t="shared" si="79"/>
        <v>OK</v>
      </c>
    </row>
    <row r="1258" spans="1:12" x14ac:dyDescent="0.45">
      <c r="A1258" s="20" t="s">
        <v>799</v>
      </c>
      <c r="B1258" s="6">
        <v>30</v>
      </c>
      <c r="C1258" s="6">
        <v>22</v>
      </c>
      <c r="D1258" s="6">
        <v>40</v>
      </c>
      <c r="E1258" s="6">
        <v>2</v>
      </c>
      <c r="F1258" s="6">
        <v>2</v>
      </c>
      <c r="G1258" s="15">
        <v>46087</v>
      </c>
      <c r="H1258" s="15" t="str">
        <f t="shared" si="76"/>
        <v>Friday</v>
      </c>
      <c r="I1258" s="11">
        <v>92</v>
      </c>
      <c r="J1258" s="24">
        <f t="shared" si="77"/>
        <v>3680</v>
      </c>
      <c r="K1258">
        <f t="shared" si="78"/>
        <v>30</v>
      </c>
      <c r="L1258" t="str">
        <f t="shared" si="79"/>
        <v>OK</v>
      </c>
    </row>
    <row r="1259" spans="1:12" x14ac:dyDescent="0.45">
      <c r="A1259" s="21" t="s">
        <v>865</v>
      </c>
      <c r="B1259" s="7">
        <v>20</v>
      </c>
      <c r="C1259" s="7">
        <v>30</v>
      </c>
      <c r="D1259" s="7">
        <v>20</v>
      </c>
      <c r="E1259" s="7">
        <v>2</v>
      </c>
      <c r="F1259" s="7">
        <v>2</v>
      </c>
      <c r="G1259" s="16">
        <v>46086</v>
      </c>
      <c r="H1259" s="16" t="str">
        <f t="shared" si="76"/>
        <v>Thursday</v>
      </c>
      <c r="I1259" s="12">
        <v>93</v>
      </c>
      <c r="J1259" s="9">
        <f t="shared" si="77"/>
        <v>1860</v>
      </c>
      <c r="K1259">
        <f t="shared" si="78"/>
        <v>20</v>
      </c>
      <c r="L1259" t="str">
        <f t="shared" si="79"/>
        <v>OK</v>
      </c>
    </row>
    <row r="1260" spans="1:12" x14ac:dyDescent="0.45">
      <c r="A1260" s="20" t="s">
        <v>1054</v>
      </c>
      <c r="B1260" s="6">
        <v>20</v>
      </c>
      <c r="C1260" s="6">
        <v>30</v>
      </c>
      <c r="D1260" s="6">
        <v>20</v>
      </c>
      <c r="E1260" s="6">
        <v>1</v>
      </c>
      <c r="F1260" s="6">
        <v>1</v>
      </c>
      <c r="G1260" s="15">
        <v>46085</v>
      </c>
      <c r="H1260" s="15" t="str">
        <f t="shared" si="76"/>
        <v>Wednesday</v>
      </c>
      <c r="I1260" s="11">
        <v>122</v>
      </c>
      <c r="J1260" s="24">
        <f t="shared" si="77"/>
        <v>2440</v>
      </c>
      <c r="K1260">
        <f t="shared" si="78"/>
        <v>20</v>
      </c>
      <c r="L1260" t="str">
        <f t="shared" si="79"/>
        <v>OK</v>
      </c>
    </row>
    <row r="1261" spans="1:12" x14ac:dyDescent="0.45">
      <c r="A1261" s="21" t="s">
        <v>1206</v>
      </c>
      <c r="B1261" s="7">
        <v>41</v>
      </c>
      <c r="C1261" s="7">
        <v>21</v>
      </c>
      <c r="D1261" s="7">
        <v>56</v>
      </c>
      <c r="E1261" s="7">
        <v>2</v>
      </c>
      <c r="F1261" s="7">
        <v>2</v>
      </c>
      <c r="G1261" s="16">
        <v>46085</v>
      </c>
      <c r="H1261" s="16" t="str">
        <f t="shared" si="76"/>
        <v>Wednesday</v>
      </c>
      <c r="I1261" s="12">
        <v>94</v>
      </c>
      <c r="J1261" s="9">
        <f t="shared" si="77"/>
        <v>5264</v>
      </c>
      <c r="K1261">
        <f t="shared" si="78"/>
        <v>41</v>
      </c>
      <c r="L1261" t="str">
        <f t="shared" si="79"/>
        <v>OK</v>
      </c>
    </row>
    <row r="1262" spans="1:12" x14ac:dyDescent="0.45">
      <c r="A1262" s="20" t="s">
        <v>175</v>
      </c>
      <c r="B1262" s="6">
        <v>10</v>
      </c>
      <c r="C1262" s="6">
        <v>3</v>
      </c>
      <c r="D1262" s="6">
        <v>90</v>
      </c>
      <c r="E1262" s="6">
        <v>7</v>
      </c>
      <c r="F1262" s="6">
        <v>7</v>
      </c>
      <c r="G1262" s="15">
        <v>46087</v>
      </c>
      <c r="H1262" s="15" t="str">
        <f t="shared" si="76"/>
        <v>Friday</v>
      </c>
      <c r="I1262" s="11">
        <v>150</v>
      </c>
      <c r="J1262" s="24">
        <f t="shared" si="77"/>
        <v>13500</v>
      </c>
      <c r="K1262">
        <f t="shared" si="78"/>
        <v>10</v>
      </c>
      <c r="L1262" t="str">
        <f t="shared" si="79"/>
        <v>OK</v>
      </c>
    </row>
    <row r="1263" spans="1:12" x14ac:dyDescent="0.45">
      <c r="A1263" s="21" t="s">
        <v>483</v>
      </c>
      <c r="B1263" s="7">
        <v>0</v>
      </c>
      <c r="C1263" s="7">
        <v>0</v>
      </c>
      <c r="D1263" s="7">
        <v>15</v>
      </c>
      <c r="E1263" s="7">
        <v>1</v>
      </c>
      <c r="F1263" s="7">
        <v>1</v>
      </c>
      <c r="G1263" s="16">
        <v>46085</v>
      </c>
      <c r="H1263" s="16" t="str">
        <f t="shared" si="76"/>
        <v>Wednesday</v>
      </c>
      <c r="I1263" s="12">
        <v>142</v>
      </c>
      <c r="J1263" s="9">
        <f t="shared" si="77"/>
        <v>2130</v>
      </c>
      <c r="K1263">
        <f t="shared" si="78"/>
        <v>0</v>
      </c>
      <c r="L1263" t="str">
        <f t="shared" si="79"/>
        <v>Low Stock</v>
      </c>
    </row>
    <row r="1264" spans="1:12" x14ac:dyDescent="0.45">
      <c r="A1264" s="20" t="s">
        <v>514</v>
      </c>
      <c r="B1264" s="6">
        <v>60</v>
      </c>
      <c r="C1264" s="6">
        <v>10</v>
      </c>
      <c r="D1264" s="6">
        <v>165</v>
      </c>
      <c r="E1264" s="6">
        <v>7</v>
      </c>
      <c r="F1264" s="6">
        <v>7</v>
      </c>
      <c r="G1264" s="15">
        <v>46084</v>
      </c>
      <c r="H1264" s="15" t="str">
        <f t="shared" si="76"/>
        <v>Tuesday</v>
      </c>
      <c r="I1264" s="11">
        <v>132</v>
      </c>
      <c r="J1264" s="24">
        <f t="shared" si="77"/>
        <v>21780</v>
      </c>
      <c r="K1264">
        <f t="shared" si="78"/>
        <v>60</v>
      </c>
      <c r="L1264" t="str">
        <f t="shared" si="79"/>
        <v>OK</v>
      </c>
    </row>
    <row r="1265" spans="1:12" x14ac:dyDescent="0.45">
      <c r="A1265" s="21" t="s">
        <v>776</v>
      </c>
      <c r="B1265" s="7">
        <v>30</v>
      </c>
      <c r="C1265" s="7">
        <v>30</v>
      </c>
      <c r="D1265" s="7">
        <v>30</v>
      </c>
      <c r="E1265" s="7">
        <v>2</v>
      </c>
      <c r="F1265" s="7">
        <v>2</v>
      </c>
      <c r="G1265" s="16">
        <v>46085</v>
      </c>
      <c r="H1265" s="16" t="str">
        <f t="shared" si="76"/>
        <v>Wednesday</v>
      </c>
      <c r="I1265" s="12">
        <v>123</v>
      </c>
      <c r="J1265" s="9">
        <f t="shared" si="77"/>
        <v>3690</v>
      </c>
      <c r="K1265">
        <f t="shared" si="78"/>
        <v>30</v>
      </c>
      <c r="L1265" t="str">
        <f t="shared" si="79"/>
        <v>OK</v>
      </c>
    </row>
    <row r="1266" spans="1:12" x14ac:dyDescent="0.45">
      <c r="A1266" s="20" t="s">
        <v>829</v>
      </c>
      <c r="B1266" s="6">
        <v>70</v>
      </c>
      <c r="C1266" s="6">
        <v>19</v>
      </c>
      <c r="D1266" s="6">
        <v>110</v>
      </c>
      <c r="E1266" s="6">
        <v>5</v>
      </c>
      <c r="F1266" s="6">
        <v>5</v>
      </c>
      <c r="G1266" s="15">
        <v>46088</v>
      </c>
      <c r="H1266" s="15" t="str">
        <f t="shared" si="76"/>
        <v>Saturday</v>
      </c>
      <c r="I1266" s="11">
        <v>148</v>
      </c>
      <c r="J1266" s="24">
        <f t="shared" si="77"/>
        <v>16280</v>
      </c>
      <c r="K1266">
        <f t="shared" si="78"/>
        <v>70</v>
      </c>
      <c r="L1266" t="str">
        <f t="shared" si="79"/>
        <v>OK</v>
      </c>
    </row>
    <row r="1267" spans="1:12" x14ac:dyDescent="0.45">
      <c r="A1267" s="21" t="s">
        <v>871</v>
      </c>
      <c r="B1267" s="7">
        <v>30</v>
      </c>
      <c r="C1267" s="7">
        <v>30</v>
      </c>
      <c r="D1267" s="7">
        <v>30</v>
      </c>
      <c r="E1267" s="7">
        <v>2</v>
      </c>
      <c r="F1267" s="7">
        <v>2</v>
      </c>
      <c r="G1267" s="16">
        <v>46082</v>
      </c>
      <c r="H1267" s="16" t="str">
        <f t="shared" si="76"/>
        <v>Sunday</v>
      </c>
      <c r="I1267" s="12">
        <v>94</v>
      </c>
      <c r="J1267" s="9">
        <f t="shared" si="77"/>
        <v>2820</v>
      </c>
      <c r="K1267">
        <f t="shared" si="78"/>
        <v>30</v>
      </c>
      <c r="L1267" t="str">
        <f t="shared" si="79"/>
        <v>OK</v>
      </c>
    </row>
    <row r="1268" spans="1:12" x14ac:dyDescent="0.45">
      <c r="A1268" s="20" t="s">
        <v>913</v>
      </c>
      <c r="B1268" s="6">
        <v>30</v>
      </c>
      <c r="C1268" s="6">
        <v>18</v>
      </c>
      <c r="D1268" s="6">
        <v>50</v>
      </c>
      <c r="E1268" s="6">
        <v>2</v>
      </c>
      <c r="F1268" s="6">
        <v>2</v>
      </c>
      <c r="G1268" s="15">
        <v>46088</v>
      </c>
      <c r="H1268" s="15" t="str">
        <f t="shared" si="76"/>
        <v>Saturday</v>
      </c>
      <c r="I1268" s="11">
        <v>89</v>
      </c>
      <c r="J1268" s="24">
        <f t="shared" si="77"/>
        <v>4450</v>
      </c>
      <c r="K1268">
        <f t="shared" si="78"/>
        <v>30</v>
      </c>
      <c r="L1268" t="str">
        <f t="shared" si="79"/>
        <v>OK</v>
      </c>
    </row>
    <row r="1269" spans="1:12" x14ac:dyDescent="0.45">
      <c r="A1269" s="21" t="s">
        <v>1013</v>
      </c>
      <c r="B1269" s="7">
        <v>30</v>
      </c>
      <c r="C1269" s="7">
        <v>30</v>
      </c>
      <c r="D1269" s="7">
        <v>30</v>
      </c>
      <c r="E1269" s="7">
        <v>1</v>
      </c>
      <c r="F1269" s="7">
        <v>1</v>
      </c>
      <c r="G1269" s="16">
        <v>46088</v>
      </c>
      <c r="H1269" s="16" t="str">
        <f t="shared" si="76"/>
        <v>Saturday</v>
      </c>
      <c r="I1269" s="12">
        <v>85</v>
      </c>
      <c r="J1269" s="9">
        <f t="shared" si="77"/>
        <v>2550</v>
      </c>
      <c r="K1269">
        <f t="shared" si="78"/>
        <v>30</v>
      </c>
      <c r="L1269" t="str">
        <f t="shared" si="79"/>
        <v>OK</v>
      </c>
    </row>
    <row r="1270" spans="1:12" x14ac:dyDescent="0.45">
      <c r="A1270" s="22" t="s">
        <v>1074</v>
      </c>
      <c r="B1270" s="8">
        <v>90</v>
      </c>
      <c r="C1270" s="8">
        <v>30</v>
      </c>
      <c r="D1270" s="8">
        <v>90</v>
      </c>
      <c r="E1270" s="8">
        <v>3</v>
      </c>
      <c r="F1270" s="8">
        <v>3</v>
      </c>
      <c r="G1270" s="17">
        <v>46088</v>
      </c>
      <c r="H1270" s="17" t="str">
        <f t="shared" si="76"/>
        <v>Saturday</v>
      </c>
      <c r="I1270" s="13">
        <v>80</v>
      </c>
      <c r="J1270" s="24">
        <f t="shared" si="77"/>
        <v>7200</v>
      </c>
      <c r="K1270">
        <f t="shared" si="78"/>
        <v>90</v>
      </c>
      <c r="L1270" t="str">
        <f t="shared" si="79"/>
        <v>OK</v>
      </c>
    </row>
  </sheetData>
  <phoneticPr fontId="3" type="noConversion"/>
  <conditionalFormatting sqref="L1:L1048576">
    <cfRule type="containsText" dxfId="2" priority="1" operator="containsText" text="Ok">
      <formula>NOT(ISERROR(SEARCH("Ok",L1)))</formula>
    </cfRule>
    <cfRule type="containsText" dxfId="1" priority="2" operator="containsText" text="Low Stock">
      <formula>NOT(ISERROR(SEARCH("Low Stock",L1)))</formula>
    </cfRule>
    <cfRule type="expression" dxfId="0" priority="3">
      <formula>"Low Stock"</formula>
    </cfRule>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96C2A-1BC6-48B0-8AEE-4296AAF9AA1A}">
  <sheetPr codeName="Sheet4">
    <tabColor rgb="FF27AE60"/>
  </sheetPr>
  <dimension ref="A3:F24"/>
  <sheetViews>
    <sheetView workbookViewId="0">
      <selection activeCell="A3" sqref="A3:B6"/>
    </sheetView>
  </sheetViews>
  <sheetFormatPr defaultRowHeight="14.25" x14ac:dyDescent="0.45"/>
  <cols>
    <col min="1" max="1" width="12.06640625" bestFit="1" customWidth="1"/>
    <col min="2" max="2" width="17.3984375" bestFit="1" customWidth="1"/>
    <col min="3" max="3" width="10.265625" bestFit="1" customWidth="1"/>
    <col min="4" max="4" width="11.59765625" bestFit="1" customWidth="1"/>
  </cols>
  <sheetData>
    <row r="3" spans="1:6" x14ac:dyDescent="0.45">
      <c r="A3" s="1" t="s">
        <v>1271</v>
      </c>
      <c r="B3" t="s">
        <v>1291</v>
      </c>
    </row>
    <row r="4" spans="1:6" x14ac:dyDescent="0.45">
      <c r="A4" s="2" t="s">
        <v>1289</v>
      </c>
      <c r="B4">
        <v>707</v>
      </c>
    </row>
    <row r="5" spans="1:6" x14ac:dyDescent="0.45">
      <c r="A5" s="2" t="s">
        <v>1290</v>
      </c>
      <c r="B5">
        <v>559</v>
      </c>
    </row>
    <row r="6" spans="1:6" x14ac:dyDescent="0.45">
      <c r="A6" s="2" t="s">
        <v>1272</v>
      </c>
      <c r="B6">
        <v>1266</v>
      </c>
    </row>
    <row r="9" spans="1:6" x14ac:dyDescent="0.45">
      <c r="D9" s="28"/>
    </row>
    <row r="10" spans="1:6" x14ac:dyDescent="0.45">
      <c r="D10" s="29"/>
    </row>
    <row r="11" spans="1:6" x14ac:dyDescent="0.45">
      <c r="D11" s="30"/>
    </row>
    <row r="12" spans="1:6" x14ac:dyDescent="0.45">
      <c r="D12" s="31"/>
    </row>
    <row r="13" spans="1:6" x14ac:dyDescent="0.45">
      <c r="D13" s="32"/>
      <c r="F13" s="33"/>
    </row>
    <row r="14" spans="1:6" x14ac:dyDescent="0.45">
      <c r="F14" s="34"/>
    </row>
    <row r="19" spans="1:1" x14ac:dyDescent="0.45">
      <c r="A19" t="s">
        <v>1273</v>
      </c>
    </row>
    <row r="20" spans="1:1" x14ac:dyDescent="0.45">
      <c r="A20" s="25">
        <v>52495</v>
      </c>
    </row>
    <row r="23" spans="1:1" x14ac:dyDescent="0.45">
      <c r="A23" t="s">
        <v>1292</v>
      </c>
    </row>
    <row r="24" spans="1:1" x14ac:dyDescent="0.45">
      <c r="A24" s="25">
        <v>5920739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69B6A-5278-4BED-AF42-F95ED9B72917}">
  <sheetPr codeName="Sheet3">
    <tabColor rgb="FFD5F5E3"/>
  </sheetPr>
  <dimension ref="A2:H24"/>
  <sheetViews>
    <sheetView topLeftCell="A2" workbookViewId="0">
      <selection activeCell="G21" sqref="G21"/>
    </sheetView>
  </sheetViews>
  <sheetFormatPr defaultRowHeight="14.25" x14ac:dyDescent="0.45"/>
  <cols>
    <col min="1" max="1" width="12.06640625" bestFit="1" customWidth="1"/>
    <col min="2" max="2" width="12.3984375" bestFit="1" customWidth="1"/>
    <col min="4" max="4" width="12.06640625" bestFit="1" customWidth="1"/>
    <col min="5" max="5" width="9.53125" bestFit="1" customWidth="1"/>
    <col min="6" max="6" width="14.1328125" bestFit="1" customWidth="1"/>
    <col min="7" max="7" width="30.1328125" bestFit="1" customWidth="1"/>
    <col min="8" max="8" width="12.3984375" bestFit="1" customWidth="1"/>
    <col min="9" max="9" width="30.1328125" bestFit="1" customWidth="1"/>
    <col min="10" max="10" width="14.1328125" bestFit="1" customWidth="1"/>
  </cols>
  <sheetData>
    <row r="2" spans="1:8" x14ac:dyDescent="0.45">
      <c r="A2" s="1" t="s">
        <v>1271</v>
      </c>
      <c r="B2" t="s">
        <v>1284</v>
      </c>
      <c r="D2" s="1" t="s">
        <v>1271</v>
      </c>
      <c r="E2" t="s">
        <v>1284</v>
      </c>
      <c r="G2" s="1" t="s">
        <v>1271</v>
      </c>
      <c r="H2" t="s">
        <v>1284</v>
      </c>
    </row>
    <row r="3" spans="1:8" x14ac:dyDescent="0.45">
      <c r="A3" s="18">
        <v>46082</v>
      </c>
      <c r="B3" s="47">
        <v>714612</v>
      </c>
      <c r="D3" s="2" t="s">
        <v>1280</v>
      </c>
      <c r="E3" s="47">
        <v>463882</v>
      </c>
      <c r="G3" s="2" t="s">
        <v>510</v>
      </c>
      <c r="H3">
        <v>170880</v>
      </c>
    </row>
    <row r="4" spans="1:8" x14ac:dyDescent="0.45">
      <c r="A4" s="18">
        <v>46083</v>
      </c>
      <c r="B4" s="47">
        <v>1080630</v>
      </c>
      <c r="D4" s="2" t="s">
        <v>1274</v>
      </c>
      <c r="E4" s="47">
        <v>620886</v>
      </c>
      <c r="G4" s="2" t="s">
        <v>522</v>
      </c>
      <c r="H4">
        <v>160800</v>
      </c>
    </row>
    <row r="5" spans="1:8" x14ac:dyDescent="0.45">
      <c r="A5" s="18">
        <v>46084</v>
      </c>
      <c r="B5" s="47">
        <v>877202</v>
      </c>
      <c r="D5" s="2" t="s">
        <v>1275</v>
      </c>
      <c r="E5" s="47">
        <v>1017802</v>
      </c>
      <c r="G5" s="2" t="s">
        <v>503</v>
      </c>
      <c r="H5">
        <v>151680</v>
      </c>
    </row>
    <row r="6" spans="1:8" x14ac:dyDescent="0.45">
      <c r="A6" s="18">
        <v>46085</v>
      </c>
      <c r="B6" s="47">
        <v>821829</v>
      </c>
      <c r="D6" s="2" t="s">
        <v>1276</v>
      </c>
      <c r="E6" s="47">
        <v>868835</v>
      </c>
      <c r="G6" s="2" t="s">
        <v>199</v>
      </c>
      <c r="H6">
        <v>107604</v>
      </c>
    </row>
    <row r="7" spans="1:8" x14ac:dyDescent="0.45">
      <c r="A7" s="18">
        <v>46086</v>
      </c>
      <c r="B7" s="47">
        <v>876833</v>
      </c>
      <c r="D7" s="2" t="s">
        <v>1277</v>
      </c>
      <c r="E7" s="47">
        <v>668443</v>
      </c>
      <c r="G7" s="2" t="s">
        <v>507</v>
      </c>
      <c r="H7">
        <v>90780</v>
      </c>
    </row>
    <row r="8" spans="1:8" x14ac:dyDescent="0.45">
      <c r="A8" s="18">
        <v>46087</v>
      </c>
      <c r="B8" s="47">
        <v>792281</v>
      </c>
      <c r="D8" s="2" t="s">
        <v>1278</v>
      </c>
      <c r="E8" s="47">
        <v>794959</v>
      </c>
      <c r="G8" s="2" t="s">
        <v>739</v>
      </c>
      <c r="H8">
        <v>81780</v>
      </c>
    </row>
    <row r="9" spans="1:8" x14ac:dyDescent="0.45">
      <c r="A9" s="18">
        <v>46088</v>
      </c>
      <c r="B9" s="47">
        <v>757352</v>
      </c>
      <c r="D9" s="2" t="s">
        <v>1279</v>
      </c>
      <c r="E9" s="47">
        <v>1485932</v>
      </c>
      <c r="G9" s="2" t="s">
        <v>515</v>
      </c>
      <c r="H9">
        <v>79800</v>
      </c>
    </row>
    <row r="10" spans="1:8" x14ac:dyDescent="0.45">
      <c r="A10" s="18" t="s">
        <v>1272</v>
      </c>
      <c r="B10" s="47">
        <v>5920739</v>
      </c>
      <c r="D10" s="2" t="s">
        <v>1272</v>
      </c>
      <c r="E10" s="47">
        <v>5920739</v>
      </c>
      <c r="G10" s="2" t="s">
        <v>715</v>
      </c>
      <c r="H10">
        <v>79560</v>
      </c>
    </row>
    <row r="11" spans="1:8" x14ac:dyDescent="0.45">
      <c r="G11" s="2" t="s">
        <v>952</v>
      </c>
      <c r="H11">
        <v>76320</v>
      </c>
    </row>
    <row r="12" spans="1:8" x14ac:dyDescent="0.45">
      <c r="G12" s="2" t="s">
        <v>742</v>
      </c>
      <c r="H12">
        <v>67860</v>
      </c>
    </row>
    <row r="13" spans="1:8" x14ac:dyDescent="0.45">
      <c r="G13" s="2" t="s">
        <v>1272</v>
      </c>
      <c r="H13">
        <v>1067064</v>
      </c>
    </row>
    <row r="16" spans="1:8" x14ac:dyDescent="0.45">
      <c r="A16" s="1" t="s">
        <v>1271</v>
      </c>
      <c r="B16" t="s">
        <v>1285</v>
      </c>
      <c r="D16" s="1" t="s">
        <v>1271</v>
      </c>
      <c r="E16" t="s">
        <v>1285</v>
      </c>
    </row>
    <row r="17" spans="1:5" x14ac:dyDescent="0.45">
      <c r="A17" s="18">
        <v>46082</v>
      </c>
      <c r="B17">
        <v>6543</v>
      </c>
      <c r="D17" s="18">
        <v>46082</v>
      </c>
      <c r="E17" s="47">
        <v>6543</v>
      </c>
    </row>
    <row r="18" spans="1:5" x14ac:dyDescent="0.45">
      <c r="A18" s="18">
        <v>46083</v>
      </c>
      <c r="B18">
        <v>8951</v>
      </c>
      <c r="D18" s="18">
        <v>46083</v>
      </c>
      <c r="E18" s="47">
        <v>8951</v>
      </c>
    </row>
    <row r="19" spans="1:5" x14ac:dyDescent="0.45">
      <c r="A19" s="18">
        <v>46084</v>
      </c>
      <c r="B19">
        <v>8390</v>
      </c>
      <c r="D19" s="18">
        <v>46084</v>
      </c>
      <c r="E19" s="47">
        <v>8390</v>
      </c>
    </row>
    <row r="20" spans="1:5" x14ac:dyDescent="0.45">
      <c r="A20" s="18">
        <v>46085</v>
      </c>
      <c r="B20">
        <v>7162</v>
      </c>
      <c r="D20" s="18">
        <v>46085</v>
      </c>
      <c r="E20" s="47">
        <v>7162</v>
      </c>
    </row>
    <row r="21" spans="1:5" x14ac:dyDescent="0.45">
      <c r="A21" s="18">
        <v>46086</v>
      </c>
      <c r="B21">
        <v>7846</v>
      </c>
      <c r="D21" s="18">
        <v>46086</v>
      </c>
      <c r="E21" s="47">
        <v>7846</v>
      </c>
    </row>
    <row r="22" spans="1:5" x14ac:dyDescent="0.45">
      <c r="A22" s="18">
        <v>46087</v>
      </c>
      <c r="B22">
        <v>6701</v>
      </c>
      <c r="D22" s="18">
        <v>46087</v>
      </c>
      <c r="E22" s="47">
        <v>6701</v>
      </c>
    </row>
    <row r="23" spans="1:5" x14ac:dyDescent="0.45">
      <c r="A23" s="18">
        <v>46088</v>
      </c>
      <c r="B23">
        <v>6902</v>
      </c>
      <c r="D23" s="18">
        <v>46088</v>
      </c>
      <c r="E23" s="47">
        <v>6902</v>
      </c>
    </row>
    <row r="24" spans="1:5" x14ac:dyDescent="0.45">
      <c r="A24" s="18" t="s">
        <v>1272</v>
      </c>
      <c r="B24">
        <v>52495</v>
      </c>
      <c r="D24" s="18" t="s">
        <v>1272</v>
      </c>
      <c r="E24" s="47">
        <v>52495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0F447-FB87-4369-AEAE-3A11CB1D1FA7}">
  <sheetPr codeName="Sheet7">
    <tabColor rgb="FF2E86C1"/>
  </sheetPr>
  <dimension ref="A1:AT2"/>
  <sheetViews>
    <sheetView showGridLines="0" zoomScale="63" zoomScaleNormal="100" workbookViewId="0">
      <selection activeCell="K60" sqref="K60"/>
    </sheetView>
  </sheetViews>
  <sheetFormatPr defaultRowHeight="14.25" x14ac:dyDescent="0.45"/>
  <cols>
    <col min="1" max="16384" width="9.06640625" style="27"/>
  </cols>
  <sheetData>
    <row r="1" spans="1:46" ht="14.25" customHeight="1" x14ac:dyDescent="0.85">
      <c r="A1" s="35" t="s">
        <v>1293</v>
      </c>
      <c r="B1" s="36"/>
      <c r="C1" s="36"/>
      <c r="D1" s="36"/>
      <c r="E1" s="36"/>
      <c r="F1" s="36"/>
      <c r="G1" s="36"/>
      <c r="H1" s="36"/>
      <c r="I1" s="36"/>
      <c r="J1" s="36"/>
      <c r="K1" s="36"/>
      <c r="L1" s="36"/>
      <c r="M1" s="36"/>
      <c r="N1" s="36"/>
      <c r="O1" s="36"/>
      <c r="P1" s="36"/>
      <c r="Q1" s="36"/>
      <c r="R1" s="36"/>
      <c r="S1" s="36"/>
      <c r="T1" s="36"/>
      <c r="U1" s="36"/>
      <c r="V1" s="36"/>
      <c r="W1" s="37"/>
      <c r="X1" s="41"/>
      <c r="Y1" s="42"/>
      <c r="Z1" s="42"/>
      <c r="AA1" s="42"/>
      <c r="AB1" s="42"/>
      <c r="AC1" s="42"/>
      <c r="AD1" s="42"/>
      <c r="AE1" s="42"/>
      <c r="AF1" s="42"/>
      <c r="AG1" s="42"/>
      <c r="AH1" s="42"/>
      <c r="AI1" s="42"/>
      <c r="AJ1" s="42"/>
      <c r="AK1" s="42"/>
      <c r="AL1" s="42"/>
      <c r="AM1" s="42"/>
      <c r="AN1" s="42"/>
      <c r="AO1" s="42"/>
      <c r="AP1" s="42"/>
      <c r="AQ1" s="42"/>
      <c r="AR1" s="42"/>
      <c r="AS1" s="42"/>
      <c r="AT1" s="43"/>
    </row>
    <row r="2" spans="1:46" ht="14.65" customHeight="1" thickBot="1" x14ac:dyDescent="0.9">
      <c r="A2" s="38"/>
      <c r="B2" s="39"/>
      <c r="C2" s="39"/>
      <c r="D2" s="39"/>
      <c r="E2" s="39"/>
      <c r="F2" s="39"/>
      <c r="G2" s="39"/>
      <c r="H2" s="39"/>
      <c r="I2" s="39"/>
      <c r="J2" s="39"/>
      <c r="K2" s="39"/>
      <c r="L2" s="39"/>
      <c r="M2" s="39"/>
      <c r="N2" s="39"/>
      <c r="O2" s="39"/>
      <c r="P2" s="39"/>
      <c r="Q2" s="39"/>
      <c r="R2" s="39"/>
      <c r="S2" s="39"/>
      <c r="T2" s="39"/>
      <c r="U2" s="39"/>
      <c r="V2" s="39"/>
      <c r="W2" s="40"/>
      <c r="X2" s="44"/>
      <c r="Y2" s="45"/>
      <c r="Z2" s="45"/>
      <c r="AA2" s="45"/>
      <c r="AB2" s="45"/>
      <c r="AC2" s="45"/>
      <c r="AD2" s="45"/>
      <c r="AE2" s="45"/>
      <c r="AF2" s="45"/>
      <c r="AG2" s="45"/>
      <c r="AH2" s="45"/>
      <c r="AI2" s="45"/>
      <c r="AJ2" s="45"/>
      <c r="AK2" s="45"/>
      <c r="AL2" s="45"/>
      <c r="AM2" s="45"/>
      <c r="AN2" s="45"/>
      <c r="AO2" s="45"/>
      <c r="AP2" s="45"/>
      <c r="AQ2" s="45"/>
      <c r="AR2" s="45"/>
      <c r="AS2" s="45"/>
      <c r="AT2" s="46"/>
    </row>
  </sheetData>
  <mergeCells count="3">
    <mergeCell ref="A1:W2"/>
    <mergeCell ref="X1:AT1"/>
    <mergeCell ref="X2:AT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3E005-5378-4138-B8B6-4875BCB2235B}">
  <sheetPr>
    <tabColor rgb="FFECE0D1"/>
  </sheetPr>
  <dimension ref="A1:A22"/>
  <sheetViews>
    <sheetView showGridLines="0" tabSelected="1" workbookViewId="0">
      <selection activeCell="A27" sqref="A27"/>
    </sheetView>
  </sheetViews>
  <sheetFormatPr defaultRowHeight="14.25" x14ac:dyDescent="0.45"/>
  <cols>
    <col min="1" max="1" width="93.796875" style="4" bestFit="1" customWidth="1"/>
    <col min="2" max="16384" width="9.06640625" style="4"/>
  </cols>
  <sheetData>
    <row r="1" spans="1:1" x14ac:dyDescent="0.45">
      <c r="A1" s="48" t="s">
        <v>1294</v>
      </c>
    </row>
    <row r="2" spans="1:1" x14ac:dyDescent="0.45">
      <c r="A2" s="4" t="s">
        <v>1295</v>
      </c>
    </row>
    <row r="6" spans="1:1" x14ac:dyDescent="0.45">
      <c r="A6" s="48" t="s">
        <v>1296</v>
      </c>
    </row>
    <row r="7" spans="1:1" x14ac:dyDescent="0.45">
      <c r="A7" s="4" t="s">
        <v>1297</v>
      </c>
    </row>
    <row r="11" spans="1:1" x14ac:dyDescent="0.45">
      <c r="A11" s="48" t="s">
        <v>1298</v>
      </c>
    </row>
    <row r="12" spans="1:1" x14ac:dyDescent="0.45">
      <c r="A12" s="4" t="s">
        <v>1299</v>
      </c>
    </row>
    <row r="16" spans="1:1" x14ac:dyDescent="0.45">
      <c r="A16" s="48" t="s">
        <v>1300</v>
      </c>
    </row>
    <row r="17" spans="1:1" x14ac:dyDescent="0.45">
      <c r="A17" s="4" t="s">
        <v>1301</v>
      </c>
    </row>
    <row r="21" spans="1:1" x14ac:dyDescent="0.45">
      <c r="A21" s="48" t="s">
        <v>1302</v>
      </c>
    </row>
    <row r="22" spans="1:1" x14ac:dyDescent="0.45">
      <c r="A22" s="4" t="s">
        <v>1303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Props1.xml><?xml version="1.0" encoding="utf-8"?>
<ds:datastoreItem xmlns:ds="http://schemas.openxmlformats.org/officeDocument/2006/customXml" ds:itemID="{7841844B-1611-4368-9F4A-74E97A70D0FD}">
  <ds:schemaRefs/>
</ds:datastoreItem>
</file>

<file path=customXml/itemProps2.xml><?xml version="1.0" encoding="utf-8"?>
<ds:datastoreItem xmlns:ds="http://schemas.openxmlformats.org/officeDocument/2006/customXml" ds:itemID="{EF5FA8B0-D45E-41AA-B608-8EEB0BB6D414}">
  <ds:schemaRefs/>
</ds:datastoreItem>
</file>

<file path=customXml/itemProps3.xml><?xml version="1.0" encoding="utf-8"?>
<ds:datastoreItem xmlns:ds="http://schemas.openxmlformats.org/officeDocument/2006/customXml" ds:itemID="{2590502A-5037-4F58-AEC9-93F401F97E80}">
  <ds:schemaRefs/>
</ds:datastoreItem>
</file>

<file path=customXml/itemProps4.xml><?xml version="1.0" encoding="utf-8"?>
<ds:datastoreItem xmlns:ds="http://schemas.openxmlformats.org/officeDocument/2006/customXml" ds:itemID="{520C993A-46D4-4A5F-A35C-3AD2D693F63D}">
  <ds:schemaRefs/>
</ds:datastoreItem>
</file>

<file path=customXml/itemProps5.xml><?xml version="1.0" encoding="utf-8"?>
<ds:datastoreItem xmlns:ds="http://schemas.openxmlformats.org/officeDocument/2006/customXml" ds:itemID="{8CD86C4C-0AFA-4DC8-9C9C-7BF771B2E289}">
  <ds:schemaRefs/>
</ds:datastoreItem>
</file>

<file path=customXml/itemProps6.xml><?xml version="1.0" encoding="utf-8"?>
<ds:datastoreItem xmlns:ds="http://schemas.openxmlformats.org/officeDocument/2006/customXml" ds:itemID="{65DA6796-BDB6-44BA-BA40-1EC4B7A063F1}">
  <ds:schemaRefs/>
</ds:datastoreItem>
</file>

<file path=customXml/itemProps7.xml><?xml version="1.0" encoding="utf-8"?>
<ds:datastoreItem xmlns:ds="http://schemas.openxmlformats.org/officeDocument/2006/customXml" ds:itemID="{BED985B3-DC56-4F4C-9AC4-02F6FE85C6D2}">
  <ds:schemaRefs>
    <ds:schemaRef ds:uri="http://schemas.microsoft.com/DataMashup"/>
  </ds:schemaRefs>
</ds:datastoreItem>
</file>

<file path=customXml/itemProps8.xml><?xml version="1.0" encoding="utf-8"?>
<ds:datastoreItem xmlns:ds="http://schemas.openxmlformats.org/officeDocument/2006/customXml" ds:itemID="{A5B67F07-ED8F-46A0-9C61-D947C0697918}">
  <ds:schemaRefs/>
</ds:datastoreItem>
</file>

<file path=customXml/itemProps9.xml><?xml version="1.0" encoding="utf-8"?>
<ds:datastoreItem xmlns:ds="http://schemas.openxmlformats.org/officeDocument/2006/customXml" ds:itemID="{E38E59D5-2DDA-479B-BF26-C3DE6FDC4E6A}">
  <ds:schemaRefs/>
</ds:datastoreItem>
</file>

<file path=customXml/itemProps10.xml><?xml version="1.0" encoding="utf-8"?>
<ds:datastoreItem xmlns:ds="http://schemas.openxmlformats.org/officeDocument/2006/customXml" ds:itemID="{721F9B19-27A7-4DFC-9ECC-AE364237C9E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Sheet3</vt:lpstr>
      <vt:lpstr>Sales_Data</vt:lpstr>
      <vt:lpstr>pivot_Data2</vt:lpstr>
      <vt:lpstr>Pivot_Data</vt:lpstr>
      <vt:lpstr>Dashboard</vt:lpstr>
      <vt:lpstr>Objectives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 chaudhary</dc:creator>
  <cp:lastModifiedBy>ananya chaudhary</cp:lastModifiedBy>
  <dcterms:created xsi:type="dcterms:W3CDTF">2026-04-10T18:40:01Z</dcterms:created>
  <dcterms:modified xsi:type="dcterms:W3CDTF">2026-04-19T14:44:37Z</dcterms:modified>
</cp:coreProperties>
</file>